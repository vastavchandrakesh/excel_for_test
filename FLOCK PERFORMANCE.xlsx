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stav.c.kalivarapu\Downloads\"/>
    </mc:Choice>
  </mc:AlternateContent>
  <xr:revisionPtr revIDLastSave="0" documentId="13_ncr:1_{B491FA81-429C-488C-8009-198E43BF2B32}" xr6:coauthVersionLast="47" xr6:coauthVersionMax="47" xr10:uidLastSave="{00000000-0000-0000-0000-000000000000}"/>
  <bookViews>
    <workbookView xWindow="-110" yWindow="-110" windowWidth="19420" windowHeight="11500" xr2:uid="{6F92EB8F-CD9B-419C-A0A1-C94D3A2CD980}"/>
  </bookViews>
  <sheets>
    <sheet name="flock performance sheet" sheetId="3" r:id="rId1"/>
    <sheet name="Sheet3" sheetId="4" r:id="rId2"/>
    <sheet name="Sheet4" sheetId="5" r:id="rId3"/>
    <sheet name="Sheet1" sheetId="1" r:id="rId4"/>
    <sheet name="Sheet2" sheetId="2" r:id="rId5"/>
    <sheet name="formula and explination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 a="1"/>
  <c r="F4" i="1" s="1"/>
  <c r="F5" i="1" a="1"/>
  <c r="F5" i="1" s="1"/>
  <c r="H5" i="1" s="1"/>
  <c r="F6" i="1" a="1"/>
  <c r="F6" i="1"/>
  <c r="F7" i="1" a="1"/>
  <c r="F7" i="1" s="1"/>
  <c r="H7" i="1" s="1"/>
  <c r="F8" i="1" a="1"/>
  <c r="F8" i="1"/>
  <c r="H8" i="1" s="1"/>
  <c r="F9" i="1" a="1"/>
  <c r="F9" i="1"/>
  <c r="H9" i="1" s="1"/>
  <c r="F10" i="1" a="1"/>
  <c r="F10" i="1" s="1"/>
  <c r="H10" i="1" s="1"/>
  <c r="F11" i="1" a="1"/>
  <c r="F11" i="1" s="1"/>
  <c r="H11" i="1" s="1"/>
  <c r="F12" i="1" a="1"/>
  <c r="F12" i="1" s="1"/>
  <c r="H12" i="1" s="1"/>
  <c r="F13" i="1" a="1"/>
  <c r="F13" i="1" s="1"/>
  <c r="H13" i="1" s="1"/>
  <c r="F14" i="1" a="1"/>
  <c r="F14" i="1"/>
  <c r="H14" i="1" s="1"/>
  <c r="F15" i="1" a="1"/>
  <c r="F15" i="1"/>
  <c r="H15" i="1" s="1"/>
  <c r="F16" i="1" a="1"/>
  <c r="F16" i="1" s="1"/>
  <c r="H16" i="1" s="1"/>
  <c r="F17" i="1" a="1"/>
  <c r="F17" i="1" s="1"/>
  <c r="H17" i="1" s="1"/>
  <c r="F18" i="1" a="1"/>
  <c r="F18" i="1"/>
  <c r="H18" i="1" s="1"/>
  <c r="F19" i="1" a="1"/>
  <c r="F19" i="1"/>
  <c r="H19" i="1" s="1"/>
  <c r="F20" i="1" a="1"/>
  <c r="F20" i="1"/>
  <c r="H20" i="1" s="1"/>
  <c r="F21" i="1" a="1"/>
  <c r="F21" i="1"/>
  <c r="H21" i="1" s="1"/>
  <c r="F22" i="1" a="1"/>
  <c r="F22" i="1" s="1"/>
  <c r="H22" i="1" s="1"/>
  <c r="F23" i="1" a="1"/>
  <c r="F23" i="1" s="1"/>
  <c r="H23" i="1" s="1"/>
  <c r="F24" i="1" a="1"/>
  <c r="F24" i="1" s="1"/>
  <c r="H24" i="1" s="1"/>
  <c r="F25" i="1" a="1"/>
  <c r="F25" i="1"/>
  <c r="H25" i="1" s="1"/>
  <c r="F26" i="1" a="1"/>
  <c r="F26" i="1" s="1"/>
  <c r="H26" i="1" s="1"/>
  <c r="F27" i="1" a="1"/>
  <c r="F27" i="1"/>
  <c r="H27" i="1" s="1"/>
  <c r="F28" i="1" a="1"/>
  <c r="F28" i="1"/>
  <c r="H28" i="1" s="1"/>
  <c r="F29" i="1" a="1"/>
  <c r="F29" i="1" s="1"/>
  <c r="H29" i="1" s="1"/>
  <c r="F30" i="1" a="1"/>
  <c r="F30" i="1"/>
  <c r="F31" i="1" a="1"/>
  <c r="F31" i="1"/>
  <c r="F32" i="1" a="1"/>
  <c r="F32" i="1"/>
  <c r="H32" i="1" s="1"/>
  <c r="F33" i="1" a="1"/>
  <c r="F33" i="1"/>
  <c r="H33" i="1" s="1"/>
  <c r="F34" i="1" a="1"/>
  <c r="F34" i="1"/>
  <c r="F35" i="1" a="1"/>
  <c r="F35" i="1" s="1"/>
  <c r="H35" i="1" s="1"/>
  <c r="F36" i="1" a="1"/>
  <c r="F36" i="1" s="1"/>
  <c r="H36" i="1" s="1"/>
  <c r="F37" i="1" a="1"/>
  <c r="F37" i="1" s="1"/>
  <c r="H37" i="1" s="1"/>
  <c r="F38" i="1" a="1"/>
  <c r="F38" i="1"/>
  <c r="F39" i="1" a="1"/>
  <c r="F39" i="1" s="1"/>
  <c r="H39" i="1" s="1"/>
  <c r="F40" i="1" a="1"/>
  <c r="F40" i="1" s="1"/>
  <c r="H40" i="1" s="1"/>
  <c r="F41" i="1" a="1"/>
  <c r="F41" i="1" s="1"/>
  <c r="H41" i="1" s="1"/>
  <c r="F42" i="1" a="1"/>
  <c r="F42" i="1"/>
  <c r="H42" i="1" s="1"/>
  <c r="F43" i="1" a="1"/>
  <c r="F43" i="1" s="1"/>
  <c r="H43" i="1" s="1"/>
  <c r="F44" i="1" a="1"/>
  <c r="F44" i="1" s="1"/>
  <c r="H44" i="1" s="1"/>
  <c r="F45" i="1" a="1"/>
  <c r="F45" i="1"/>
  <c r="H45" i="1" s="1"/>
  <c r="F46" i="1" a="1"/>
  <c r="F46" i="1" s="1"/>
  <c r="H46" i="1" s="1"/>
  <c r="F47" i="1" a="1"/>
  <c r="F47" i="1" s="1"/>
  <c r="H47" i="1" s="1"/>
  <c r="F48" i="1" a="1"/>
  <c r="F48" i="1"/>
  <c r="H48" i="1" s="1"/>
  <c r="F49" i="1" a="1"/>
  <c r="F49" i="1"/>
  <c r="H49" i="1" s="1"/>
  <c r="F50" i="1" a="1"/>
  <c r="F50" i="1" s="1"/>
  <c r="H50" i="1" s="1"/>
  <c r="F51" i="1" a="1"/>
  <c r="F51" i="1" s="1"/>
  <c r="H51" i="1" s="1"/>
  <c r="F52" i="1" a="1"/>
  <c r="F52" i="1" s="1"/>
  <c r="H52" i="1" s="1"/>
  <c r="F53" i="1" a="1"/>
  <c r="F53" i="1" s="1"/>
  <c r="H53" i="1" s="1"/>
  <c r="F54" i="1" a="1"/>
  <c r="F54" i="1" s="1"/>
  <c r="H54" i="1" s="1"/>
  <c r="F55" i="1" a="1"/>
  <c r="F55" i="1"/>
  <c r="F56" i="1" a="1"/>
  <c r="F56" i="1"/>
  <c r="H56" i="1" s="1"/>
  <c r="F57" i="1" a="1"/>
  <c r="F57" i="1" s="1"/>
  <c r="H57" i="1" s="1"/>
  <c r="F58" i="1" a="1"/>
  <c r="F58" i="1" s="1"/>
  <c r="H58" i="1" s="1"/>
  <c r="F59" i="1" a="1"/>
  <c r="F59" i="1" s="1"/>
  <c r="H59" i="1" s="1"/>
  <c r="F60" i="1" a="1"/>
  <c r="F60" i="1"/>
  <c r="F61" i="1" a="1"/>
  <c r="F61" i="1" s="1"/>
  <c r="H61" i="1" s="1"/>
  <c r="F62" i="1" a="1"/>
  <c r="F62" i="1"/>
  <c r="H62" i="1" s="1"/>
  <c r="F63" i="1" a="1"/>
  <c r="F63" i="1"/>
  <c r="H63" i="1" s="1"/>
  <c r="F64" i="1" a="1"/>
  <c r="F64" i="1" s="1"/>
  <c r="H64" i="1" s="1"/>
  <c r="F65" i="1" a="1"/>
  <c r="F65" i="1" s="1"/>
  <c r="H65" i="1" s="1"/>
  <c r="F66" i="1" a="1"/>
  <c r="F66" i="1" s="1"/>
  <c r="H66" i="1" s="1"/>
  <c r="F67" i="1" a="1"/>
  <c r="F67" i="1"/>
  <c r="H67" i="1" s="1"/>
  <c r="F68" i="1" a="1"/>
  <c r="F68" i="1" s="1"/>
  <c r="H68" i="1" s="1"/>
  <c r="F69" i="1" a="1"/>
  <c r="F69" i="1"/>
  <c r="H69" i="1" s="1"/>
  <c r="F70" i="1" a="1"/>
  <c r="F70" i="1" s="1"/>
  <c r="H70" i="1" s="1"/>
  <c r="F71" i="1" a="1"/>
  <c r="F71" i="1" s="1"/>
  <c r="H71" i="1" s="1"/>
  <c r="F72" i="1" a="1"/>
  <c r="F72" i="1" s="1"/>
  <c r="H72" i="1" s="1"/>
  <c r="F73" i="1" a="1"/>
  <c r="F73" i="1" s="1"/>
  <c r="H73" i="1" s="1"/>
  <c r="F74" i="1" a="1"/>
  <c r="F74" i="1" s="1"/>
  <c r="H74" i="1" s="1"/>
  <c r="F75" i="1" a="1"/>
  <c r="F75" i="1" s="1"/>
  <c r="H75" i="1" s="1"/>
  <c r="F76" i="1" a="1"/>
  <c r="F76" i="1" s="1"/>
  <c r="H76" i="1" s="1"/>
  <c r="F77" i="1" a="1"/>
  <c r="F77" i="1" s="1"/>
  <c r="H77" i="1" s="1"/>
  <c r="F78" i="1" a="1"/>
  <c r="F78" i="1"/>
  <c r="H78" i="1" s="1"/>
  <c r="F79" i="1" a="1"/>
  <c r="F79" i="1" s="1"/>
  <c r="H79" i="1" s="1"/>
  <c r="F80" i="1" a="1"/>
  <c r="F80" i="1" s="1"/>
  <c r="H80" i="1" s="1"/>
  <c r="F81" i="1" a="1"/>
  <c r="F81" i="1" s="1"/>
  <c r="H81" i="1" s="1"/>
  <c r="F82" i="1" a="1"/>
  <c r="F82" i="1" s="1"/>
  <c r="H82" i="1" s="1"/>
  <c r="F83" i="1" a="1"/>
  <c r="F83" i="1" s="1"/>
  <c r="H83" i="1" s="1"/>
  <c r="F84" i="1" a="1"/>
  <c r="F84" i="1"/>
  <c r="H84" i="1" s="1"/>
  <c r="F85" i="1" a="1"/>
  <c r="F85" i="1"/>
  <c r="H85" i="1" s="1"/>
  <c r="H30" i="1"/>
  <c r="H34" i="1"/>
  <c r="H38" i="1"/>
  <c r="C4" i="1" a="1"/>
  <c r="C4" i="1" s="1"/>
  <c r="C5" i="1" a="1"/>
  <c r="C5" i="1"/>
  <c r="C6" i="1" a="1"/>
  <c r="C6" i="1" s="1"/>
  <c r="C7" i="1" a="1"/>
  <c r="C7" i="1" s="1"/>
  <c r="C8" i="1" a="1"/>
  <c r="C8" i="1" s="1"/>
  <c r="C9" i="1" a="1"/>
  <c r="C9" i="1" s="1"/>
  <c r="C10" i="1" a="1"/>
  <c r="C10" i="1" s="1"/>
  <c r="C11" i="1" a="1"/>
  <c r="C11" i="1" s="1"/>
  <c r="C12" i="1" a="1"/>
  <c r="C12" i="1" s="1"/>
  <c r="C13" i="1" a="1"/>
  <c r="C13" i="1" s="1"/>
  <c r="C14" i="1" a="1"/>
  <c r="C14" i="1"/>
  <c r="C15" i="1" a="1"/>
  <c r="C15" i="1" s="1"/>
  <c r="C16" i="1" a="1"/>
  <c r="C16" i="1" s="1"/>
  <c r="C17" i="1" a="1"/>
  <c r="C17" i="1" s="1"/>
  <c r="C18" i="1" a="1"/>
  <c r="C18" i="1" s="1"/>
  <c r="C19" i="1" a="1"/>
  <c r="C19" i="1" s="1"/>
  <c r="C20" i="1" a="1"/>
  <c r="C20" i="1" s="1"/>
  <c r="C21" i="1" a="1"/>
  <c r="C21" i="1" s="1"/>
  <c r="C22" i="1" a="1"/>
  <c r="C22" i="1" s="1"/>
  <c r="C23" i="1" a="1"/>
  <c r="C23" i="1"/>
  <c r="C24" i="1" a="1"/>
  <c r="C24" i="1" s="1"/>
  <c r="C25" i="1" a="1"/>
  <c r="C25" i="1" s="1"/>
  <c r="C26" i="1" a="1"/>
  <c r="C26" i="1" s="1"/>
  <c r="C27" i="1" a="1"/>
  <c r="C27" i="1" s="1"/>
  <c r="C28" i="1" a="1"/>
  <c r="C28" i="1" s="1"/>
  <c r="C29" i="1" a="1"/>
  <c r="C29" i="1"/>
  <c r="C30" i="1" a="1"/>
  <c r="C30" i="1" s="1"/>
  <c r="C31" i="1" a="1"/>
  <c r="C31" i="1" s="1"/>
  <c r="C32" i="1" a="1"/>
  <c r="C32" i="1" s="1"/>
  <c r="C33" i="1" a="1"/>
  <c r="C33" i="1" s="1"/>
  <c r="C34" i="1" a="1"/>
  <c r="C34" i="1" s="1"/>
  <c r="C35" i="1" a="1"/>
  <c r="C35" i="1"/>
  <c r="C36" i="1" a="1"/>
  <c r="C36" i="1" s="1"/>
  <c r="C37" i="1" a="1"/>
  <c r="C37" i="1" s="1"/>
  <c r="C38" i="1" a="1"/>
  <c r="C38" i="1" s="1"/>
  <c r="C39" i="1" a="1"/>
  <c r="C39" i="1" s="1"/>
  <c r="C40" i="1" a="1"/>
  <c r="C40" i="1" s="1"/>
  <c r="C41" i="1" a="1"/>
  <c r="C41" i="1"/>
  <c r="C42" i="1" a="1"/>
  <c r="C42" i="1" s="1"/>
  <c r="C43" i="1" a="1"/>
  <c r="C43" i="1" s="1"/>
  <c r="C44" i="1" a="1"/>
  <c r="C44" i="1" s="1"/>
  <c r="C45" i="1" a="1"/>
  <c r="C45" i="1" s="1"/>
  <c r="C46" i="1" a="1"/>
  <c r="C46" i="1" s="1"/>
  <c r="C47" i="1" a="1"/>
  <c r="C47" i="1" s="1"/>
  <c r="C48" i="1" a="1"/>
  <c r="C48" i="1" s="1"/>
  <c r="C49" i="1" a="1"/>
  <c r="C49" i="1" s="1"/>
  <c r="C50" i="1" a="1"/>
  <c r="C50" i="1" s="1"/>
  <c r="C51" i="1" a="1"/>
  <c r="C51" i="1" s="1"/>
  <c r="C52" i="1" a="1"/>
  <c r="C52" i="1" s="1"/>
  <c r="C53" i="1" a="1"/>
  <c r="C53" i="1" s="1"/>
  <c r="C54" i="1" a="1"/>
  <c r="C54" i="1" s="1"/>
  <c r="C55" i="1" a="1"/>
  <c r="C55" i="1" s="1"/>
  <c r="C56" i="1" a="1"/>
  <c r="C56" i="1" s="1"/>
  <c r="C57" i="1" a="1"/>
  <c r="C57" i="1" s="1"/>
  <c r="C58" i="1" a="1"/>
  <c r="C58" i="1" s="1"/>
  <c r="C59" i="1" a="1"/>
  <c r="C59" i="1" s="1"/>
  <c r="C60" i="1" a="1"/>
  <c r="C60" i="1" s="1"/>
  <c r="C61" i="1" a="1"/>
  <c r="C61" i="1" s="1"/>
  <c r="C62" i="1" a="1"/>
  <c r="C62" i="1" s="1"/>
  <c r="C63" i="1" a="1"/>
  <c r="C63" i="1" s="1"/>
  <c r="C64" i="1" a="1"/>
  <c r="C64" i="1" s="1"/>
  <c r="C65" i="1" a="1"/>
  <c r="C65" i="1" s="1"/>
  <c r="C66" i="1" a="1"/>
  <c r="C66" i="1" s="1"/>
  <c r="C67" i="1" a="1"/>
  <c r="C67" i="1" s="1"/>
  <c r="C68" i="1" a="1"/>
  <c r="C68" i="1" s="1"/>
  <c r="C69" i="1" a="1"/>
  <c r="C69" i="1" s="1"/>
  <c r="C70" i="1" a="1"/>
  <c r="C70" i="1" s="1"/>
  <c r="C71" i="1" a="1"/>
  <c r="C71" i="1" s="1"/>
  <c r="C72" i="1" a="1"/>
  <c r="C72" i="1" s="1"/>
  <c r="C73" i="1" a="1"/>
  <c r="C73" i="1" s="1"/>
  <c r="C74" i="1" a="1"/>
  <c r="C74" i="1" s="1"/>
  <c r="C75" i="1" a="1"/>
  <c r="C75" i="1" s="1"/>
  <c r="C76" i="1" a="1"/>
  <c r="C76" i="1" s="1"/>
  <c r="C77" i="1" a="1"/>
  <c r="C77" i="1" s="1"/>
  <c r="C78" i="1" a="1"/>
  <c r="C78" i="1" s="1"/>
  <c r="C79" i="1" a="1"/>
  <c r="C79" i="1" s="1"/>
  <c r="C80" i="1" a="1"/>
  <c r="C80" i="1" s="1"/>
  <c r="C81" i="1" a="1"/>
  <c r="C81" i="1" s="1"/>
  <c r="C82" i="1" a="1"/>
  <c r="C82" i="1" s="1"/>
  <c r="C83" i="1" a="1"/>
  <c r="C83" i="1" s="1"/>
  <c r="C84" i="1" a="1"/>
  <c r="C84" i="1" s="1"/>
  <c r="C85" i="1" a="1"/>
  <c r="C85" i="1" s="1"/>
  <c r="C731" i="3"/>
  <c r="C730" i="3"/>
  <c r="C729" i="3"/>
  <c r="C728" i="3"/>
  <c r="C727" i="3"/>
  <c r="C726" i="3"/>
  <c r="C725" i="3"/>
  <c r="C724" i="3"/>
  <c r="C723" i="3"/>
  <c r="C722" i="3"/>
  <c r="C721" i="3"/>
  <c r="C720" i="3"/>
  <c r="C719" i="3"/>
  <c r="C718" i="3"/>
  <c r="C717" i="3"/>
  <c r="C716" i="3"/>
  <c r="C715" i="3"/>
  <c r="C714" i="3"/>
  <c r="C713" i="3"/>
  <c r="C712" i="3"/>
  <c r="C711" i="3"/>
  <c r="C710" i="3"/>
  <c r="C709" i="3"/>
  <c r="C708" i="3"/>
  <c r="C707" i="3"/>
  <c r="C706" i="3"/>
  <c r="C705" i="3"/>
  <c r="C704" i="3"/>
  <c r="C703" i="3"/>
  <c r="C702" i="3"/>
  <c r="C701" i="3"/>
  <c r="C700" i="3"/>
  <c r="C699" i="3"/>
  <c r="C698" i="3"/>
  <c r="C697" i="3"/>
  <c r="C696" i="3"/>
  <c r="C695" i="3"/>
  <c r="C694" i="3"/>
  <c r="C693" i="3"/>
  <c r="C692" i="3"/>
  <c r="C691" i="3"/>
  <c r="C690" i="3"/>
  <c r="C689" i="3"/>
  <c r="C688" i="3"/>
  <c r="C687" i="3"/>
  <c r="C686" i="3"/>
  <c r="C685" i="3"/>
  <c r="C684" i="3"/>
  <c r="C683" i="3"/>
  <c r="C682" i="3"/>
  <c r="C681" i="3"/>
  <c r="C680" i="3"/>
  <c r="C679" i="3"/>
  <c r="C678" i="3"/>
  <c r="C677" i="3"/>
  <c r="C676" i="3"/>
  <c r="C675" i="3"/>
  <c r="C674" i="3"/>
  <c r="C673" i="3"/>
  <c r="C672" i="3"/>
  <c r="C671" i="3"/>
  <c r="C670" i="3"/>
  <c r="C669" i="3"/>
  <c r="C668" i="3"/>
  <c r="C667" i="3"/>
  <c r="C666" i="3"/>
  <c r="C665" i="3"/>
  <c r="C664" i="3"/>
  <c r="C663" i="3"/>
  <c r="C662" i="3"/>
  <c r="C661" i="3"/>
  <c r="C660" i="3"/>
  <c r="C659" i="3"/>
  <c r="C658" i="3"/>
  <c r="C657" i="3"/>
  <c r="C656" i="3"/>
  <c r="C655" i="3"/>
  <c r="C654" i="3"/>
  <c r="C653" i="3"/>
  <c r="C652" i="3"/>
  <c r="C651" i="3"/>
  <c r="C650" i="3"/>
  <c r="C649" i="3"/>
  <c r="C648" i="3"/>
  <c r="C647" i="3"/>
  <c r="C646" i="3"/>
  <c r="C645" i="3"/>
  <c r="C644" i="3"/>
  <c r="C643" i="3"/>
  <c r="C642" i="3"/>
  <c r="C641" i="3"/>
  <c r="C640" i="3"/>
  <c r="C639" i="3"/>
  <c r="C638" i="3"/>
  <c r="C637" i="3"/>
  <c r="C636" i="3"/>
  <c r="C635" i="3"/>
  <c r="C634" i="3"/>
  <c r="C633" i="3"/>
  <c r="C632" i="3"/>
  <c r="C631" i="3"/>
  <c r="C630" i="3"/>
  <c r="C629" i="3"/>
  <c r="C628" i="3"/>
  <c r="C627" i="3"/>
  <c r="C626" i="3"/>
  <c r="C625" i="3"/>
  <c r="C624" i="3"/>
  <c r="C623" i="3"/>
  <c r="C622" i="3"/>
  <c r="C621" i="3"/>
  <c r="C620" i="3"/>
  <c r="C619" i="3"/>
  <c r="C618" i="3"/>
  <c r="C617" i="3"/>
  <c r="C616" i="3"/>
  <c r="C615" i="3"/>
  <c r="C614" i="3"/>
  <c r="C613" i="3"/>
  <c r="C612" i="3"/>
  <c r="C611" i="3"/>
  <c r="C610" i="3"/>
  <c r="C609" i="3"/>
  <c r="C608" i="3"/>
  <c r="C607" i="3"/>
  <c r="C606" i="3"/>
  <c r="C605" i="3"/>
  <c r="C604" i="3"/>
  <c r="C603" i="3"/>
  <c r="C602" i="3"/>
  <c r="C601" i="3"/>
  <c r="C600" i="3"/>
  <c r="C599" i="3"/>
  <c r="C598" i="3"/>
  <c r="C597" i="3"/>
  <c r="C596" i="3"/>
  <c r="C595" i="3"/>
  <c r="C594" i="3"/>
  <c r="C593" i="3"/>
  <c r="C592" i="3"/>
  <c r="C591" i="3"/>
  <c r="C590" i="3"/>
  <c r="C589" i="3"/>
  <c r="C588" i="3"/>
  <c r="C587" i="3"/>
  <c r="C586" i="3"/>
  <c r="C585" i="3"/>
  <c r="C584" i="3"/>
  <c r="C583" i="3"/>
  <c r="C582" i="3"/>
  <c r="C581" i="3"/>
  <c r="C580" i="3"/>
  <c r="C579" i="3"/>
  <c r="C578" i="3"/>
  <c r="C577" i="3"/>
  <c r="C576" i="3"/>
  <c r="C575" i="3"/>
  <c r="C574" i="3"/>
  <c r="C573" i="3"/>
  <c r="C572" i="3"/>
  <c r="C571" i="3"/>
  <c r="C570" i="3"/>
  <c r="C569" i="3"/>
  <c r="C568" i="3"/>
  <c r="C567" i="3"/>
  <c r="C566" i="3"/>
  <c r="C565" i="3"/>
  <c r="C564" i="3"/>
  <c r="C563" i="3"/>
  <c r="C562" i="3"/>
  <c r="C561" i="3"/>
  <c r="C560" i="3"/>
  <c r="C559" i="3"/>
  <c r="C558" i="3"/>
  <c r="C557" i="3"/>
  <c r="C556" i="3"/>
  <c r="C555" i="3"/>
  <c r="C554" i="3"/>
  <c r="C553" i="3"/>
  <c r="C552" i="3"/>
  <c r="C551" i="3"/>
  <c r="C550" i="3"/>
  <c r="C549" i="3"/>
  <c r="C548" i="3"/>
  <c r="C547" i="3"/>
  <c r="C546" i="3"/>
  <c r="C545" i="3"/>
  <c r="C544" i="3"/>
  <c r="C543" i="3"/>
  <c r="C542" i="3"/>
  <c r="C541" i="3"/>
  <c r="C540" i="3"/>
  <c r="C539" i="3"/>
  <c r="C538" i="3"/>
  <c r="C537" i="3"/>
  <c r="C536" i="3"/>
  <c r="C535" i="3"/>
  <c r="C534" i="3"/>
  <c r="C533" i="3"/>
  <c r="C532" i="3"/>
  <c r="C531" i="3"/>
  <c r="C530" i="3"/>
  <c r="C529" i="3"/>
  <c r="C528" i="3"/>
  <c r="C527" i="3"/>
  <c r="C526" i="3"/>
  <c r="C525" i="3"/>
  <c r="C524" i="3"/>
  <c r="C523" i="3"/>
  <c r="C522" i="3"/>
  <c r="C521" i="3"/>
  <c r="C520" i="3"/>
  <c r="C519" i="3"/>
  <c r="C518" i="3"/>
  <c r="C517" i="3"/>
  <c r="C516" i="3"/>
  <c r="C515" i="3"/>
  <c r="C514" i="3"/>
  <c r="C513" i="3"/>
  <c r="C512" i="3"/>
  <c r="C511" i="3"/>
  <c r="C510" i="3"/>
  <c r="C509" i="3"/>
  <c r="C508" i="3"/>
  <c r="C507" i="3"/>
  <c r="C506" i="3"/>
  <c r="C505" i="3"/>
  <c r="C504" i="3"/>
  <c r="C503" i="3"/>
  <c r="C502" i="3"/>
  <c r="C501" i="3"/>
  <c r="C500" i="3"/>
  <c r="C499" i="3"/>
  <c r="C498" i="3"/>
  <c r="C497" i="3"/>
  <c r="C496" i="3"/>
  <c r="C495" i="3"/>
  <c r="C494" i="3"/>
  <c r="C493" i="3"/>
  <c r="C492" i="3"/>
  <c r="C491" i="3"/>
  <c r="C490" i="3"/>
  <c r="C489" i="3"/>
  <c r="C488" i="3"/>
  <c r="C487" i="3"/>
  <c r="C486" i="3"/>
  <c r="C485" i="3"/>
  <c r="C484" i="3"/>
  <c r="C483" i="3"/>
  <c r="C482" i="3"/>
  <c r="C481" i="3"/>
  <c r="C480" i="3"/>
  <c r="C479" i="3"/>
  <c r="C478" i="3"/>
  <c r="C477" i="3"/>
  <c r="C476" i="3"/>
  <c r="C475" i="3"/>
  <c r="C474" i="3"/>
  <c r="C473" i="3"/>
  <c r="C472" i="3"/>
  <c r="C471" i="3"/>
  <c r="C470" i="3"/>
  <c r="C469" i="3"/>
  <c r="C468" i="3"/>
  <c r="C467" i="3"/>
  <c r="C466" i="3"/>
  <c r="C465" i="3"/>
  <c r="C464" i="3"/>
  <c r="C463" i="3"/>
  <c r="C462" i="3"/>
  <c r="C461" i="3"/>
  <c r="C460" i="3"/>
  <c r="C459" i="3"/>
  <c r="C458" i="3"/>
  <c r="C457" i="3"/>
  <c r="C456" i="3"/>
  <c r="C455" i="3"/>
  <c r="C454" i="3"/>
  <c r="C453" i="3"/>
  <c r="C452" i="3"/>
  <c r="C451" i="3"/>
  <c r="C450" i="3"/>
  <c r="C449" i="3"/>
  <c r="C448" i="3"/>
  <c r="C447" i="3"/>
  <c r="C446" i="3"/>
  <c r="C445" i="3"/>
  <c r="C444" i="3"/>
  <c r="C443" i="3"/>
  <c r="C442" i="3"/>
  <c r="C441" i="3"/>
  <c r="C440" i="3"/>
  <c r="C439" i="3"/>
  <c r="C438" i="3"/>
  <c r="C437" i="3"/>
  <c r="C436" i="3"/>
  <c r="C435" i="3"/>
  <c r="C434" i="3"/>
  <c r="C433" i="3"/>
  <c r="C432" i="3"/>
  <c r="C431" i="3"/>
  <c r="C430" i="3"/>
  <c r="C429" i="3"/>
  <c r="C428" i="3"/>
  <c r="C427" i="3"/>
  <c r="C426" i="3"/>
  <c r="C425" i="3"/>
  <c r="C424" i="3"/>
  <c r="C423" i="3"/>
  <c r="C422" i="3"/>
  <c r="C421" i="3"/>
  <c r="C420" i="3"/>
  <c r="C419" i="3"/>
  <c r="C418" i="3"/>
  <c r="C417" i="3"/>
  <c r="C416" i="3"/>
  <c r="C415" i="3"/>
  <c r="C414" i="3"/>
  <c r="C413" i="3"/>
  <c r="C412" i="3"/>
  <c r="C411" i="3"/>
  <c r="C410" i="3"/>
  <c r="C409" i="3"/>
  <c r="C408" i="3"/>
  <c r="C407" i="3"/>
  <c r="C406" i="3"/>
  <c r="C405" i="3"/>
  <c r="C404" i="3"/>
  <c r="C403" i="3"/>
  <c r="C402" i="3"/>
  <c r="C401" i="3"/>
  <c r="C400" i="3"/>
  <c r="C399" i="3"/>
  <c r="C398" i="3"/>
  <c r="C397" i="3"/>
  <c r="C396" i="3"/>
  <c r="C395" i="3"/>
  <c r="C394" i="3"/>
  <c r="C393" i="3"/>
  <c r="C392" i="3"/>
  <c r="C391" i="3"/>
  <c r="C390" i="3"/>
  <c r="C389" i="3"/>
  <c r="C388" i="3"/>
  <c r="C387" i="3"/>
  <c r="C386" i="3"/>
  <c r="C385" i="3"/>
  <c r="C384" i="3"/>
  <c r="C383" i="3"/>
  <c r="C382" i="3"/>
  <c r="C381" i="3"/>
  <c r="C380" i="3"/>
  <c r="C379" i="3"/>
  <c r="C378" i="3"/>
  <c r="C377" i="3"/>
  <c r="C376" i="3"/>
  <c r="C375" i="3"/>
  <c r="C374" i="3"/>
  <c r="C373" i="3"/>
  <c r="C372" i="3"/>
  <c r="C371" i="3"/>
  <c r="C370" i="3"/>
  <c r="C369" i="3"/>
  <c r="C368" i="3"/>
  <c r="C367" i="3"/>
  <c r="C366" i="3"/>
  <c r="C365" i="3"/>
  <c r="C364" i="3"/>
  <c r="C363" i="3"/>
  <c r="C362" i="3"/>
  <c r="C361" i="3"/>
  <c r="C360" i="3"/>
  <c r="C359" i="3"/>
  <c r="C358" i="3"/>
  <c r="C357" i="3"/>
  <c r="C356" i="3"/>
  <c r="C355" i="3"/>
  <c r="C354" i="3"/>
  <c r="C353" i="3"/>
  <c r="C352" i="3"/>
  <c r="C351" i="3"/>
  <c r="C350" i="3"/>
  <c r="C349" i="3"/>
  <c r="C348" i="3"/>
  <c r="C347" i="3"/>
  <c r="C346" i="3"/>
  <c r="C345" i="3"/>
  <c r="C344" i="3"/>
  <c r="C343" i="3"/>
  <c r="C342" i="3"/>
  <c r="C341" i="3"/>
  <c r="C340" i="3"/>
  <c r="C339" i="3"/>
  <c r="C338" i="3"/>
  <c r="C337" i="3"/>
  <c r="C336" i="3"/>
  <c r="C335" i="3"/>
  <c r="C334" i="3"/>
  <c r="C333" i="3"/>
  <c r="C332" i="3"/>
  <c r="C331" i="3"/>
  <c r="C330" i="3"/>
  <c r="C329" i="3"/>
  <c r="C328" i="3"/>
  <c r="C327" i="3"/>
  <c r="C326" i="3"/>
  <c r="C325" i="3"/>
  <c r="C324" i="3"/>
  <c r="C323" i="3"/>
  <c r="C322" i="3"/>
  <c r="C321" i="3"/>
  <c r="C320" i="3"/>
  <c r="C319" i="3"/>
  <c r="C318" i="3"/>
  <c r="C317" i="3"/>
  <c r="C316" i="3"/>
  <c r="C315" i="3"/>
  <c r="C314" i="3"/>
  <c r="C313" i="3"/>
  <c r="C312" i="3"/>
  <c r="C311" i="3"/>
  <c r="C310" i="3"/>
  <c r="C309" i="3"/>
  <c r="C308" i="3"/>
  <c r="C307" i="3"/>
  <c r="C306" i="3"/>
  <c r="C305" i="3"/>
  <c r="C304" i="3"/>
  <c r="C303" i="3"/>
  <c r="C302" i="3"/>
  <c r="C301" i="3"/>
  <c r="C300" i="3"/>
  <c r="C299" i="3"/>
  <c r="C298" i="3"/>
  <c r="C297" i="3"/>
  <c r="C296" i="3"/>
  <c r="C295" i="3"/>
  <c r="C294" i="3"/>
  <c r="C293" i="3"/>
  <c r="C292" i="3"/>
  <c r="C291" i="3"/>
  <c r="C290" i="3"/>
  <c r="C289" i="3"/>
  <c r="C288" i="3"/>
  <c r="C287" i="3"/>
  <c r="C286" i="3"/>
  <c r="C285" i="3"/>
  <c r="C284" i="3"/>
  <c r="C283" i="3"/>
  <c r="C282" i="3"/>
  <c r="C281" i="3"/>
  <c r="C280" i="3"/>
  <c r="C279" i="3"/>
  <c r="C278" i="3"/>
  <c r="C277" i="3"/>
  <c r="C276" i="3"/>
  <c r="C275" i="3"/>
  <c r="C274" i="3"/>
  <c r="C273" i="3"/>
  <c r="C272" i="3"/>
  <c r="C271" i="3"/>
  <c r="C270" i="3"/>
  <c r="C269" i="3"/>
  <c r="C268" i="3"/>
  <c r="C267" i="3"/>
  <c r="C266" i="3"/>
  <c r="C265" i="3"/>
  <c r="C264" i="3"/>
  <c r="C263" i="3"/>
  <c r="C262" i="3"/>
  <c r="C261" i="3"/>
  <c r="C260" i="3"/>
  <c r="C259" i="3"/>
  <c r="C258" i="3"/>
  <c r="C257" i="3"/>
  <c r="C256" i="3"/>
  <c r="C255" i="3"/>
  <c r="C254" i="3"/>
  <c r="C253" i="3"/>
  <c r="C252" i="3"/>
  <c r="C251" i="3"/>
  <c r="C250" i="3"/>
  <c r="C249" i="3"/>
  <c r="C248" i="3"/>
  <c r="C247" i="3"/>
  <c r="C246" i="3"/>
  <c r="C245" i="3"/>
  <c r="C244" i="3"/>
  <c r="C243" i="3"/>
  <c r="C242" i="3"/>
  <c r="C241" i="3"/>
  <c r="C240" i="3"/>
  <c r="C239" i="3"/>
  <c r="C238" i="3"/>
  <c r="C237" i="3"/>
  <c r="C236" i="3"/>
  <c r="C235" i="3"/>
  <c r="C234" i="3"/>
  <c r="C233" i="3"/>
  <c r="C232" i="3"/>
  <c r="C231" i="3"/>
  <c r="C230" i="3"/>
  <c r="C229" i="3"/>
  <c r="C228" i="3"/>
  <c r="C227" i="3"/>
  <c r="C226" i="3"/>
  <c r="C225" i="3"/>
  <c r="C224" i="3"/>
  <c r="C223" i="3"/>
  <c r="C222" i="3"/>
  <c r="C221" i="3"/>
  <c r="C220" i="3"/>
  <c r="C219" i="3"/>
  <c r="C218" i="3"/>
  <c r="C217" i="3"/>
  <c r="C216" i="3"/>
  <c r="C215" i="3"/>
  <c r="C214" i="3"/>
  <c r="C213" i="3"/>
  <c r="C212" i="3"/>
  <c r="C211" i="3"/>
  <c r="C210" i="3"/>
  <c r="C209" i="3"/>
  <c r="C208" i="3"/>
  <c r="C207" i="3"/>
  <c r="C206" i="3"/>
  <c r="C205" i="3"/>
  <c r="C204" i="3"/>
  <c r="C203" i="3"/>
  <c r="C202" i="3"/>
  <c r="C201" i="3"/>
  <c r="C200" i="3"/>
  <c r="C199" i="3"/>
  <c r="C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H4" i="3"/>
  <c r="L4" i="3" s="1"/>
  <c r="N4" i="3" s="1"/>
  <c r="H3" i="3"/>
  <c r="O3" i="3" s="1"/>
  <c r="H6" i="1"/>
  <c r="H60" i="1"/>
  <c r="H31" i="1"/>
  <c r="H55" i="1"/>
  <c r="G4" i="1" l="1"/>
  <c r="H4" i="1"/>
  <c r="I4" i="1" s="1"/>
  <c r="I5" i="1" s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E87" i="1" s="1"/>
  <c r="B5" i="1"/>
  <c r="B6" i="1" s="1"/>
  <c r="D6" i="1" s="1"/>
  <c r="D4" i="1"/>
  <c r="E4" i="1" s="1"/>
  <c r="L3" i="3"/>
  <c r="E5" i="3"/>
  <c r="H5" i="3" s="1"/>
  <c r="L5" i="3" s="1"/>
  <c r="N5" i="3" s="1"/>
  <c r="O4" i="3"/>
  <c r="N3" i="3"/>
  <c r="D5" i="1" l="1"/>
  <c r="E5" i="1" s="1"/>
  <c r="E6" i="1" s="1"/>
  <c r="G5" i="1"/>
  <c r="G6" i="1"/>
  <c r="B7" i="1"/>
  <c r="D7" i="1" s="1"/>
  <c r="O5" i="3"/>
  <c r="E6" i="3"/>
  <c r="H6" i="3" s="1"/>
  <c r="L6" i="3" s="1"/>
  <c r="N6" i="3" s="1"/>
  <c r="E7" i="3"/>
  <c r="H7" i="3" s="1"/>
  <c r="O7" i="3" s="1"/>
  <c r="O6" i="3"/>
  <c r="B8" i="1"/>
  <c r="G7" i="1"/>
  <c r="E7" i="1" l="1"/>
  <c r="L7" i="3"/>
  <c r="N7" i="3" s="1"/>
  <c r="E8" i="3"/>
  <c r="H8" i="3" s="1"/>
  <c r="O8" i="3" s="1"/>
  <c r="D8" i="1"/>
  <c r="B9" i="1"/>
  <c r="G8" i="1"/>
  <c r="E8" i="1" l="1"/>
  <c r="L8" i="3"/>
  <c r="N8" i="3" s="1"/>
  <c r="E9" i="3"/>
  <c r="H9" i="3" s="1"/>
  <c r="L9" i="3" s="1"/>
  <c r="N9" i="3" s="1"/>
  <c r="O9" i="3"/>
  <c r="G9" i="1"/>
  <c r="B10" i="1"/>
  <c r="D9" i="1"/>
  <c r="E9" i="1" l="1"/>
  <c r="E10" i="3"/>
  <c r="H10" i="3" s="1"/>
  <c r="O10" i="3" s="1"/>
  <c r="B11" i="1"/>
  <c r="G10" i="1"/>
  <c r="D10" i="1"/>
  <c r="E10" i="1" l="1"/>
  <c r="L10" i="3"/>
  <c r="N10" i="3" s="1"/>
  <c r="E11" i="3"/>
  <c r="H11" i="3" s="1"/>
  <c r="O11" i="3" s="1"/>
  <c r="G11" i="1"/>
  <c r="B12" i="1"/>
  <c r="D11" i="1"/>
  <c r="E11" i="1" l="1"/>
  <c r="L11" i="3"/>
  <c r="N11" i="3" s="1"/>
  <c r="E12" i="3"/>
  <c r="H12" i="3" s="1"/>
  <c r="L12" i="3" s="1"/>
  <c r="N12" i="3" s="1"/>
  <c r="O12" i="3"/>
  <c r="E13" i="3"/>
  <c r="H13" i="3" s="1"/>
  <c r="G12" i="1"/>
  <c r="D12" i="1"/>
  <c r="B13" i="1"/>
  <c r="E12" i="1" l="1"/>
  <c r="L13" i="3"/>
  <c r="N13" i="3" s="1"/>
  <c r="E14" i="3"/>
  <c r="H14" i="3" s="1"/>
  <c r="O13" i="3"/>
  <c r="G13" i="1"/>
  <c r="D13" i="1"/>
  <c r="B14" i="1"/>
  <c r="E13" i="1" l="1"/>
  <c r="L14" i="3"/>
  <c r="N14" i="3" s="1"/>
  <c r="E15" i="3"/>
  <c r="H15" i="3" s="1"/>
  <c r="O14" i="3"/>
  <c r="D14" i="1"/>
  <c r="E14" i="1" s="1"/>
  <c r="B15" i="1"/>
  <c r="G14" i="1"/>
  <c r="O15" i="3" l="1"/>
  <c r="E16" i="3"/>
  <c r="H16" i="3" s="1"/>
  <c r="L15" i="3"/>
  <c r="N15" i="3" s="1"/>
  <c r="B16" i="1"/>
  <c r="D15" i="1"/>
  <c r="E15" i="1" s="1"/>
  <c r="G15" i="1"/>
  <c r="O16" i="3" l="1"/>
  <c r="E17" i="3"/>
  <c r="H17" i="3" s="1"/>
  <c r="L16" i="3"/>
  <c r="N16" i="3" s="1"/>
  <c r="B17" i="1"/>
  <c r="G16" i="1"/>
  <c r="D16" i="1"/>
  <c r="E16" i="1" s="1"/>
  <c r="L17" i="3" l="1"/>
  <c r="N17" i="3" s="1"/>
  <c r="E18" i="3"/>
  <c r="H18" i="3" s="1"/>
  <c r="O17" i="3"/>
  <c r="B18" i="1"/>
  <c r="G17" i="1"/>
  <c r="D17" i="1"/>
  <c r="E17" i="1" s="1"/>
  <c r="L18" i="3" l="1"/>
  <c r="N18" i="3" s="1"/>
  <c r="E19" i="3"/>
  <c r="H19" i="3" s="1"/>
  <c r="O18" i="3"/>
  <c r="B19" i="1"/>
  <c r="G18" i="1"/>
  <c r="D18" i="1"/>
  <c r="E18" i="1" s="1"/>
  <c r="L19" i="3" l="1"/>
  <c r="N19" i="3" s="1"/>
  <c r="E20" i="3"/>
  <c r="H20" i="3" s="1"/>
  <c r="O19" i="3"/>
  <c r="B20" i="1"/>
  <c r="G19" i="1"/>
  <c r="D19" i="1"/>
  <c r="E19" i="1" s="1"/>
  <c r="O20" i="3" l="1"/>
  <c r="L20" i="3"/>
  <c r="N20" i="3" s="1"/>
  <c r="E21" i="3"/>
  <c r="H21" i="3" s="1"/>
  <c r="B21" i="1"/>
  <c r="G20" i="1"/>
  <c r="D20" i="1"/>
  <c r="E20" i="1" s="1"/>
  <c r="O21" i="3" l="1"/>
  <c r="L21" i="3"/>
  <c r="N21" i="3" s="1"/>
  <c r="E22" i="3"/>
  <c r="H22" i="3" s="1"/>
  <c r="G21" i="1"/>
  <c r="D21" i="1"/>
  <c r="E21" i="1" s="1"/>
  <c r="B22" i="1"/>
  <c r="E23" i="3" l="1"/>
  <c r="H23" i="3" s="1"/>
  <c r="O22" i="3"/>
  <c r="L22" i="3"/>
  <c r="N22" i="3" s="1"/>
  <c r="G22" i="1"/>
  <c r="D22" i="1"/>
  <c r="E22" i="1" s="1"/>
  <c r="B23" i="1"/>
  <c r="E24" i="3" l="1"/>
  <c r="H24" i="3" s="1"/>
  <c r="O23" i="3"/>
  <c r="L23" i="3"/>
  <c r="N23" i="3" s="1"/>
  <c r="D23" i="1"/>
  <c r="E23" i="1" s="1"/>
  <c r="G23" i="1"/>
  <c r="B24" i="1"/>
  <c r="E25" i="3" l="1"/>
  <c r="H25" i="3" s="1"/>
  <c r="O24" i="3"/>
  <c r="L24" i="3"/>
  <c r="N24" i="3" s="1"/>
  <c r="G24" i="1"/>
  <c r="D24" i="1"/>
  <c r="E24" i="1" s="1"/>
  <c r="B25" i="1"/>
  <c r="E26" i="3" l="1"/>
  <c r="H26" i="3" s="1"/>
  <c r="O25" i="3"/>
  <c r="L25" i="3"/>
  <c r="N25" i="3" s="1"/>
  <c r="G25" i="1"/>
  <c r="D25" i="1"/>
  <c r="E25" i="1" s="1"/>
  <c r="B26" i="1"/>
  <c r="E27" i="3" l="1"/>
  <c r="H27" i="3" s="1"/>
  <c r="O26" i="3"/>
  <c r="L26" i="3"/>
  <c r="N26" i="3" s="1"/>
  <c r="D26" i="1"/>
  <c r="E26" i="1" s="1"/>
  <c r="G26" i="1"/>
  <c r="B27" i="1"/>
  <c r="E28" i="3" l="1"/>
  <c r="H28" i="3" s="1"/>
  <c r="O27" i="3"/>
  <c r="L27" i="3"/>
  <c r="N27" i="3" s="1"/>
  <c r="G27" i="1"/>
  <c r="D27" i="1"/>
  <c r="E27" i="1" s="1"/>
  <c r="B28" i="1"/>
  <c r="E29" i="3" l="1"/>
  <c r="H29" i="3" s="1"/>
  <c r="L28" i="3"/>
  <c r="N28" i="3" s="1"/>
  <c r="O28" i="3"/>
  <c r="B29" i="1"/>
  <c r="G28" i="1"/>
  <c r="D28" i="1"/>
  <c r="E28" i="1" s="1"/>
  <c r="E30" i="3" l="1"/>
  <c r="H30" i="3" s="1"/>
  <c r="O29" i="3"/>
  <c r="L29" i="3"/>
  <c r="N29" i="3" s="1"/>
  <c r="B30" i="1"/>
  <c r="D29" i="1"/>
  <c r="E29" i="1" s="1"/>
  <c r="G29" i="1"/>
  <c r="E31" i="3" l="1"/>
  <c r="H31" i="3" s="1"/>
  <c r="O30" i="3"/>
  <c r="L30" i="3"/>
  <c r="N30" i="3" s="1"/>
  <c r="B31" i="1"/>
  <c r="G30" i="1"/>
  <c r="D30" i="1"/>
  <c r="E30" i="1" s="1"/>
  <c r="E32" i="3" l="1"/>
  <c r="H32" i="3" s="1"/>
  <c r="L31" i="3"/>
  <c r="N31" i="3" s="1"/>
  <c r="O31" i="3"/>
  <c r="B32" i="1"/>
  <c r="D31" i="1"/>
  <c r="E31" i="1" s="1"/>
  <c r="G31" i="1"/>
  <c r="E33" i="3" l="1"/>
  <c r="H33" i="3" s="1"/>
  <c r="O32" i="3"/>
  <c r="L32" i="3"/>
  <c r="N32" i="3" s="1"/>
  <c r="G32" i="1"/>
  <c r="B33" i="1"/>
  <c r="D32" i="1"/>
  <c r="E32" i="1" s="1"/>
  <c r="E34" i="3" l="1"/>
  <c r="H34" i="3" s="1"/>
  <c r="O33" i="3"/>
  <c r="L33" i="3"/>
  <c r="N33" i="3" s="1"/>
  <c r="D33" i="1"/>
  <c r="E33" i="1" s="1"/>
  <c r="G33" i="1"/>
  <c r="B34" i="1"/>
  <c r="E35" i="3" l="1"/>
  <c r="H35" i="3" s="1"/>
  <c r="O34" i="3"/>
  <c r="L34" i="3"/>
  <c r="N34" i="3" s="1"/>
  <c r="G34" i="1"/>
  <c r="B35" i="1"/>
  <c r="D34" i="1"/>
  <c r="E34" i="1" s="1"/>
  <c r="E36" i="3" l="1"/>
  <c r="H36" i="3" s="1"/>
  <c r="O35" i="3"/>
  <c r="L35" i="3"/>
  <c r="N35" i="3" s="1"/>
  <c r="B36" i="1"/>
  <c r="D35" i="1"/>
  <c r="E35" i="1" s="1"/>
  <c r="G35" i="1"/>
  <c r="E37" i="3" l="1"/>
  <c r="H37" i="3" s="1"/>
  <c r="L36" i="3"/>
  <c r="N36" i="3" s="1"/>
  <c r="O36" i="3"/>
  <c r="G36" i="1"/>
  <c r="B37" i="1"/>
  <c r="D36" i="1"/>
  <c r="E36" i="1" s="1"/>
  <c r="E38" i="3" l="1"/>
  <c r="H38" i="3" s="1"/>
  <c r="O37" i="3"/>
  <c r="L37" i="3"/>
  <c r="N37" i="3" s="1"/>
  <c r="D37" i="1"/>
  <c r="E37" i="1" s="1"/>
  <c r="G37" i="1"/>
  <c r="B38" i="1"/>
  <c r="E39" i="3" l="1"/>
  <c r="H39" i="3" s="1"/>
  <c r="L38" i="3"/>
  <c r="N38" i="3" s="1"/>
  <c r="O38" i="3"/>
  <c r="D38" i="1"/>
  <c r="E38" i="1" s="1"/>
  <c r="G38" i="1"/>
  <c r="B39" i="1"/>
  <c r="E40" i="3" l="1"/>
  <c r="H40" i="3" s="1"/>
  <c r="L39" i="3"/>
  <c r="N39" i="3" s="1"/>
  <c r="O39" i="3"/>
  <c r="G39" i="1"/>
  <c r="B40" i="1"/>
  <c r="D39" i="1"/>
  <c r="E39" i="1" s="1"/>
  <c r="E41" i="3" l="1"/>
  <c r="H41" i="3" s="1"/>
  <c r="L40" i="3"/>
  <c r="N40" i="3" s="1"/>
  <c r="O40" i="3"/>
  <c r="B41" i="1"/>
  <c r="D40" i="1"/>
  <c r="E40" i="1" s="1"/>
  <c r="G40" i="1"/>
  <c r="E42" i="3" l="1"/>
  <c r="H42" i="3" s="1"/>
  <c r="L41" i="3"/>
  <c r="N41" i="3" s="1"/>
  <c r="O41" i="3"/>
  <c r="B42" i="1"/>
  <c r="G41" i="1"/>
  <c r="D41" i="1"/>
  <c r="E41" i="1" s="1"/>
  <c r="E43" i="3" l="1"/>
  <c r="H43" i="3" s="1"/>
  <c r="O42" i="3"/>
  <c r="L42" i="3"/>
  <c r="N42" i="3" s="1"/>
  <c r="B43" i="1"/>
  <c r="D42" i="1"/>
  <c r="E42" i="1" s="1"/>
  <c r="G42" i="1"/>
  <c r="E44" i="3" l="1"/>
  <c r="H44" i="3" s="1"/>
  <c r="O43" i="3"/>
  <c r="L43" i="3"/>
  <c r="N43" i="3" s="1"/>
  <c r="B44" i="1"/>
  <c r="D43" i="1"/>
  <c r="E43" i="1" s="1"/>
  <c r="G43" i="1"/>
  <c r="E45" i="3" l="1"/>
  <c r="H45" i="3" s="1"/>
  <c r="O44" i="3"/>
  <c r="L44" i="3"/>
  <c r="N44" i="3" s="1"/>
  <c r="B45" i="1"/>
  <c r="G44" i="1"/>
  <c r="D44" i="1"/>
  <c r="E44" i="1" s="1"/>
  <c r="E46" i="3" l="1"/>
  <c r="H46" i="3" s="1"/>
  <c r="O45" i="3"/>
  <c r="L45" i="3"/>
  <c r="N45" i="3" s="1"/>
  <c r="D45" i="1"/>
  <c r="E45" i="1" s="1"/>
  <c r="B46" i="1"/>
  <c r="G45" i="1"/>
  <c r="E47" i="3" l="1"/>
  <c r="H47" i="3" s="1"/>
  <c r="O46" i="3"/>
  <c r="L46" i="3"/>
  <c r="N46" i="3" s="1"/>
  <c r="B47" i="1"/>
  <c r="G46" i="1"/>
  <c r="D46" i="1"/>
  <c r="E46" i="1" s="1"/>
  <c r="E48" i="3" l="1"/>
  <c r="H48" i="3" s="1"/>
  <c r="O47" i="3"/>
  <c r="L47" i="3"/>
  <c r="N47" i="3" s="1"/>
  <c r="D47" i="1"/>
  <c r="E47" i="1" s="1"/>
  <c r="G47" i="1"/>
  <c r="B48" i="1"/>
  <c r="E49" i="3" l="1"/>
  <c r="H49" i="3" s="1"/>
  <c r="L48" i="3"/>
  <c r="N48" i="3" s="1"/>
  <c r="O48" i="3"/>
  <c r="G48" i="1"/>
  <c r="D48" i="1"/>
  <c r="B49" i="1"/>
  <c r="E48" i="1"/>
  <c r="E50" i="3" l="1"/>
  <c r="H50" i="3" s="1"/>
  <c r="O49" i="3"/>
  <c r="L49" i="3"/>
  <c r="N49" i="3" s="1"/>
  <c r="D49" i="1"/>
  <c r="E49" i="1" s="1"/>
  <c r="B50" i="1"/>
  <c r="G49" i="1"/>
  <c r="E51" i="3" l="1"/>
  <c r="H51" i="3" s="1"/>
  <c r="O50" i="3"/>
  <c r="L50" i="3"/>
  <c r="N50" i="3" s="1"/>
  <c r="D50" i="1"/>
  <c r="E50" i="1" s="1"/>
  <c r="G50" i="1"/>
  <c r="B51" i="1"/>
  <c r="E52" i="3" l="1"/>
  <c r="H52" i="3" s="1"/>
  <c r="O51" i="3"/>
  <c r="L51" i="3"/>
  <c r="N51" i="3" s="1"/>
  <c r="D51" i="1"/>
  <c r="E51" i="1" s="1"/>
  <c r="G51" i="1"/>
  <c r="B52" i="1"/>
  <c r="E53" i="3" l="1"/>
  <c r="H53" i="3" s="1"/>
  <c r="L52" i="3"/>
  <c r="N52" i="3" s="1"/>
  <c r="O52" i="3"/>
  <c r="B53" i="1"/>
  <c r="G52" i="1"/>
  <c r="D52" i="1"/>
  <c r="E52" i="1" s="1"/>
  <c r="E54" i="3" l="1"/>
  <c r="H54" i="3" s="1"/>
  <c r="O53" i="3"/>
  <c r="L53" i="3"/>
  <c r="N53" i="3" s="1"/>
  <c r="B54" i="1"/>
  <c r="G53" i="1"/>
  <c r="D53" i="1"/>
  <c r="E53" i="1" s="1"/>
  <c r="E55" i="3" l="1"/>
  <c r="H55" i="3" s="1"/>
  <c r="O54" i="3"/>
  <c r="L54" i="3"/>
  <c r="N54" i="3" s="1"/>
  <c r="B55" i="1"/>
  <c r="G54" i="1"/>
  <c r="D54" i="1"/>
  <c r="E54" i="1" s="1"/>
  <c r="E56" i="3" l="1"/>
  <c r="H56" i="3" s="1"/>
  <c r="L55" i="3"/>
  <c r="N55" i="3" s="1"/>
  <c r="O55" i="3"/>
  <c r="B56" i="1"/>
  <c r="D55" i="1"/>
  <c r="E55" i="1" s="1"/>
  <c r="G55" i="1"/>
  <c r="E57" i="3" l="1"/>
  <c r="H57" i="3" s="1"/>
  <c r="O56" i="3"/>
  <c r="L56" i="3"/>
  <c r="N56" i="3" s="1"/>
  <c r="B57" i="1"/>
  <c r="D56" i="1"/>
  <c r="E56" i="1" s="1"/>
  <c r="G56" i="1"/>
  <c r="E58" i="3" l="1"/>
  <c r="H58" i="3" s="1"/>
  <c r="L57" i="3"/>
  <c r="N57" i="3" s="1"/>
  <c r="O57" i="3"/>
  <c r="G57" i="1"/>
  <c r="B58" i="1"/>
  <c r="D57" i="1"/>
  <c r="E57" i="1" s="1"/>
  <c r="E59" i="3" l="1"/>
  <c r="H59" i="3" s="1"/>
  <c r="L58" i="3"/>
  <c r="N58" i="3" s="1"/>
  <c r="O58" i="3"/>
  <c r="B59" i="1"/>
  <c r="G58" i="1"/>
  <c r="D58" i="1"/>
  <c r="E58" i="1" s="1"/>
  <c r="E60" i="3" l="1"/>
  <c r="H60" i="3" s="1"/>
  <c r="L59" i="3"/>
  <c r="N59" i="3" s="1"/>
  <c r="O59" i="3"/>
  <c r="G59" i="1"/>
  <c r="D59" i="1"/>
  <c r="E59" i="1" s="1"/>
  <c r="B60" i="1"/>
  <c r="E61" i="3" l="1"/>
  <c r="H61" i="3" s="1"/>
  <c r="O60" i="3"/>
  <c r="L60" i="3"/>
  <c r="N60" i="3" s="1"/>
  <c r="D60" i="1"/>
  <c r="E60" i="1" s="1"/>
  <c r="B61" i="1"/>
  <c r="G60" i="1"/>
  <c r="E62" i="3" l="1"/>
  <c r="H62" i="3" s="1"/>
  <c r="L61" i="3"/>
  <c r="N61" i="3" s="1"/>
  <c r="O61" i="3"/>
  <c r="G61" i="1"/>
  <c r="D61" i="1"/>
  <c r="E61" i="1" s="1"/>
  <c r="B62" i="1"/>
  <c r="E63" i="3" l="1"/>
  <c r="H63" i="3" s="1"/>
  <c r="O62" i="3"/>
  <c r="L62" i="3"/>
  <c r="N62" i="3" s="1"/>
  <c r="D62" i="1"/>
  <c r="E62" i="1" s="1"/>
  <c r="G62" i="1"/>
  <c r="B63" i="1"/>
  <c r="E64" i="3" l="1"/>
  <c r="H64" i="3" s="1"/>
  <c r="O63" i="3"/>
  <c r="L63" i="3"/>
  <c r="N63" i="3" s="1"/>
  <c r="D63" i="1"/>
  <c r="E63" i="1" s="1"/>
  <c r="B64" i="1"/>
  <c r="G63" i="1"/>
  <c r="E65" i="3" l="1"/>
  <c r="H65" i="3" s="1"/>
  <c r="L64" i="3"/>
  <c r="N64" i="3" s="1"/>
  <c r="O64" i="3"/>
  <c r="B65" i="1"/>
  <c r="D64" i="1"/>
  <c r="G64" i="1"/>
  <c r="E64" i="1"/>
  <c r="E66" i="3" l="1"/>
  <c r="H66" i="3" s="1"/>
  <c r="L65" i="3"/>
  <c r="N65" i="3" s="1"/>
  <c r="O65" i="3"/>
  <c r="G65" i="1"/>
  <c r="B66" i="1"/>
  <c r="D65" i="1"/>
  <c r="E65" i="1" s="1"/>
  <c r="E67" i="3" l="1"/>
  <c r="H67" i="3" s="1"/>
  <c r="O66" i="3"/>
  <c r="L66" i="3"/>
  <c r="N66" i="3" s="1"/>
  <c r="D66" i="1"/>
  <c r="E66" i="1" s="1"/>
  <c r="B67" i="1"/>
  <c r="G66" i="1"/>
  <c r="E68" i="3" l="1"/>
  <c r="H68" i="3" s="1"/>
  <c r="O67" i="3"/>
  <c r="L67" i="3"/>
  <c r="N67" i="3" s="1"/>
  <c r="D67" i="1"/>
  <c r="E67" i="1" s="1"/>
  <c r="G67" i="1"/>
  <c r="B68" i="1"/>
  <c r="E69" i="3" l="1"/>
  <c r="H69" i="3" s="1"/>
  <c r="O68" i="3"/>
  <c r="L68" i="3"/>
  <c r="N68" i="3" s="1"/>
  <c r="G68" i="1"/>
  <c r="B69" i="1"/>
  <c r="D68" i="1"/>
  <c r="E68" i="1" s="1"/>
  <c r="E70" i="3" l="1"/>
  <c r="H70" i="3" s="1"/>
  <c r="O69" i="3"/>
  <c r="L69" i="3"/>
  <c r="N69" i="3" s="1"/>
  <c r="D69" i="1"/>
  <c r="E69" i="1" s="1"/>
  <c r="B70" i="1"/>
  <c r="G69" i="1"/>
  <c r="E71" i="3" l="1"/>
  <c r="H71" i="3" s="1"/>
  <c r="O70" i="3"/>
  <c r="L70" i="3"/>
  <c r="N70" i="3" s="1"/>
  <c r="G70" i="1"/>
  <c r="B71" i="1"/>
  <c r="D70" i="1"/>
  <c r="E70" i="1" s="1"/>
  <c r="E72" i="3" l="1"/>
  <c r="H72" i="3" s="1"/>
  <c r="O71" i="3"/>
  <c r="L71" i="3"/>
  <c r="N71" i="3" s="1"/>
  <c r="G71" i="1"/>
  <c r="B72" i="1"/>
  <c r="D71" i="1"/>
  <c r="E71" i="1" s="1"/>
  <c r="E73" i="3" l="1"/>
  <c r="H73" i="3" s="1"/>
  <c r="O72" i="3"/>
  <c r="L72" i="3"/>
  <c r="N72" i="3" s="1"/>
  <c r="D72" i="1"/>
  <c r="E72" i="1" s="1"/>
  <c r="G72" i="1"/>
  <c r="B73" i="1"/>
  <c r="E74" i="3" l="1"/>
  <c r="H74" i="3" s="1"/>
  <c r="O73" i="3"/>
  <c r="L73" i="3"/>
  <c r="N73" i="3" s="1"/>
  <c r="D73" i="1"/>
  <c r="E73" i="1" s="1"/>
  <c r="G73" i="1"/>
  <c r="B74" i="1"/>
  <c r="E75" i="3" l="1"/>
  <c r="H75" i="3" s="1"/>
  <c r="O74" i="3"/>
  <c r="L74" i="3"/>
  <c r="N74" i="3" s="1"/>
  <c r="G74" i="1"/>
  <c r="B75" i="1"/>
  <c r="D74" i="1"/>
  <c r="E74" i="1" s="1"/>
  <c r="E76" i="3" l="1"/>
  <c r="H76" i="3" s="1"/>
  <c r="L75" i="3"/>
  <c r="N75" i="3" s="1"/>
  <c r="O75" i="3"/>
  <c r="D75" i="1"/>
  <c r="E75" i="1" s="1"/>
  <c r="B76" i="1"/>
  <c r="G75" i="1"/>
  <c r="E77" i="3" l="1"/>
  <c r="H77" i="3" s="1"/>
  <c r="L76" i="3"/>
  <c r="N76" i="3" s="1"/>
  <c r="O76" i="3"/>
  <c r="B77" i="1"/>
  <c r="D76" i="1"/>
  <c r="E76" i="1" s="1"/>
  <c r="G76" i="1"/>
  <c r="E78" i="3" l="1"/>
  <c r="H78" i="3" s="1"/>
  <c r="L77" i="3"/>
  <c r="N77" i="3" s="1"/>
  <c r="O77" i="3"/>
  <c r="G77" i="1"/>
  <c r="B78" i="1"/>
  <c r="D77" i="1"/>
  <c r="E77" i="1" s="1"/>
  <c r="E79" i="3" l="1"/>
  <c r="H79" i="3" s="1"/>
  <c r="L78" i="3"/>
  <c r="N78" i="3" s="1"/>
  <c r="O78" i="3"/>
  <c r="D78" i="1"/>
  <c r="E78" i="1" s="1"/>
  <c r="G78" i="1"/>
  <c r="B79" i="1"/>
  <c r="E80" i="3" l="1"/>
  <c r="H80" i="3" s="1"/>
  <c r="O79" i="3"/>
  <c r="L79" i="3"/>
  <c r="N79" i="3" s="1"/>
  <c r="D79" i="1"/>
  <c r="E79" i="1" s="1"/>
  <c r="B80" i="1"/>
  <c r="G79" i="1"/>
  <c r="E81" i="3" l="1"/>
  <c r="H81" i="3" s="1"/>
  <c r="O80" i="3"/>
  <c r="L80" i="3"/>
  <c r="N80" i="3" s="1"/>
  <c r="G80" i="1"/>
  <c r="B81" i="1"/>
  <c r="D80" i="1"/>
  <c r="E80" i="1" s="1"/>
  <c r="E82" i="3" l="1"/>
  <c r="H82" i="3" s="1"/>
  <c r="O81" i="3"/>
  <c r="L81" i="3"/>
  <c r="N81" i="3" s="1"/>
  <c r="D81" i="1"/>
  <c r="E81" i="1" s="1"/>
  <c r="G81" i="1"/>
  <c r="B82" i="1"/>
  <c r="E83" i="3" l="1"/>
  <c r="H83" i="3" s="1"/>
  <c r="O82" i="3"/>
  <c r="L82" i="3"/>
  <c r="N82" i="3" s="1"/>
  <c r="B83" i="1"/>
  <c r="D82" i="1"/>
  <c r="E82" i="1" s="1"/>
  <c r="G82" i="1"/>
  <c r="E84" i="3" l="1"/>
  <c r="H84" i="3" s="1"/>
  <c r="O83" i="3"/>
  <c r="L83" i="3"/>
  <c r="N83" i="3" s="1"/>
  <c r="G83" i="1"/>
  <c r="B84" i="1"/>
  <c r="D83" i="1"/>
  <c r="E83" i="1" s="1"/>
  <c r="E85" i="3" l="1"/>
  <c r="H85" i="3" s="1"/>
  <c r="O84" i="3"/>
  <c r="L84" i="3"/>
  <c r="N84" i="3" s="1"/>
  <c r="D84" i="1"/>
  <c r="E84" i="1" s="1"/>
  <c r="B85" i="1"/>
  <c r="G84" i="1"/>
  <c r="E86" i="3" l="1"/>
  <c r="H86" i="3" s="1"/>
  <c r="L85" i="3"/>
  <c r="N85" i="3" s="1"/>
  <c r="O85" i="3"/>
  <c r="G85" i="1"/>
  <c r="D85" i="1"/>
  <c r="E85" i="1" s="1"/>
  <c r="E88" i="1" s="1"/>
  <c r="E87" i="3" l="1"/>
  <c r="H87" i="3" s="1"/>
  <c r="O86" i="3"/>
  <c r="L86" i="3"/>
  <c r="N86" i="3" s="1"/>
  <c r="E88" i="3" l="1"/>
  <c r="H88" i="3" s="1"/>
  <c r="O87" i="3"/>
  <c r="L87" i="3"/>
  <c r="N87" i="3" s="1"/>
  <c r="E89" i="3" l="1"/>
  <c r="H89" i="3" s="1"/>
  <c r="L88" i="3"/>
  <c r="N88" i="3" s="1"/>
  <c r="O88" i="3"/>
  <c r="E90" i="3" l="1"/>
  <c r="H90" i="3" s="1"/>
  <c r="L89" i="3"/>
  <c r="N89" i="3" s="1"/>
  <c r="O89" i="3"/>
  <c r="E91" i="3" l="1"/>
  <c r="H91" i="3" s="1"/>
  <c r="L90" i="3"/>
  <c r="N90" i="3" s="1"/>
  <c r="O90" i="3"/>
  <c r="E92" i="3" l="1"/>
  <c r="H92" i="3" s="1"/>
  <c r="O91" i="3"/>
  <c r="L91" i="3"/>
  <c r="N91" i="3" s="1"/>
  <c r="E93" i="3" l="1"/>
  <c r="H93" i="3" s="1"/>
  <c r="O92" i="3"/>
  <c r="L92" i="3"/>
  <c r="N92" i="3" s="1"/>
  <c r="E94" i="3" l="1"/>
  <c r="H94" i="3" s="1"/>
  <c r="O93" i="3"/>
  <c r="L93" i="3"/>
  <c r="N93" i="3" s="1"/>
  <c r="E95" i="3" l="1"/>
  <c r="H95" i="3" s="1"/>
  <c r="O94" i="3"/>
  <c r="L94" i="3"/>
  <c r="N94" i="3" s="1"/>
  <c r="E96" i="3" l="1"/>
  <c r="H96" i="3" s="1"/>
  <c r="L95" i="3"/>
  <c r="N95" i="3" s="1"/>
  <c r="O95" i="3"/>
  <c r="E97" i="3" l="1"/>
  <c r="H97" i="3" s="1"/>
  <c r="O96" i="3"/>
  <c r="L96" i="3"/>
  <c r="N96" i="3" s="1"/>
  <c r="E98" i="3" l="1"/>
  <c r="H98" i="3" s="1"/>
  <c r="O97" i="3"/>
  <c r="L97" i="3"/>
  <c r="N97" i="3" s="1"/>
  <c r="E99" i="3" l="1"/>
  <c r="H99" i="3" s="1"/>
  <c r="L98" i="3"/>
  <c r="N98" i="3" s="1"/>
  <c r="O98" i="3"/>
  <c r="E100" i="3" l="1"/>
  <c r="H100" i="3" s="1"/>
  <c r="O99" i="3"/>
  <c r="L99" i="3"/>
  <c r="N99" i="3" s="1"/>
  <c r="E101" i="3" l="1"/>
  <c r="H101" i="3" s="1"/>
  <c r="L100" i="3"/>
  <c r="N100" i="3" s="1"/>
  <c r="O100" i="3"/>
  <c r="E102" i="3" l="1"/>
  <c r="H102" i="3" s="1"/>
  <c r="O101" i="3"/>
  <c r="L101" i="3"/>
  <c r="N101" i="3" s="1"/>
  <c r="E103" i="3" l="1"/>
  <c r="H103" i="3" s="1"/>
  <c r="O102" i="3"/>
  <c r="L102" i="3"/>
  <c r="N102" i="3" s="1"/>
  <c r="E104" i="3" l="1"/>
  <c r="H104" i="3" s="1"/>
  <c r="L103" i="3"/>
  <c r="N103" i="3" s="1"/>
  <c r="O103" i="3"/>
  <c r="E105" i="3" l="1"/>
  <c r="H105" i="3" s="1"/>
  <c r="O104" i="3"/>
  <c r="L104" i="3"/>
  <c r="N104" i="3" s="1"/>
  <c r="E106" i="3" l="1"/>
  <c r="H106" i="3" s="1"/>
  <c r="O105" i="3"/>
  <c r="L105" i="3"/>
  <c r="N105" i="3" s="1"/>
  <c r="E107" i="3" l="1"/>
  <c r="H107" i="3" s="1"/>
  <c r="O106" i="3"/>
  <c r="L106" i="3"/>
  <c r="N106" i="3" s="1"/>
  <c r="E108" i="3" l="1"/>
  <c r="H108" i="3" s="1"/>
  <c r="O107" i="3"/>
  <c r="L107" i="3"/>
  <c r="N107" i="3" s="1"/>
  <c r="E109" i="3" l="1"/>
  <c r="H109" i="3" s="1"/>
  <c r="L108" i="3"/>
  <c r="N108" i="3" s="1"/>
  <c r="O108" i="3"/>
  <c r="E110" i="3" l="1"/>
  <c r="H110" i="3" s="1"/>
  <c r="L109" i="3"/>
  <c r="N109" i="3" s="1"/>
  <c r="O109" i="3"/>
  <c r="E111" i="3" l="1"/>
  <c r="H111" i="3" s="1"/>
  <c r="O110" i="3"/>
  <c r="L110" i="3"/>
  <c r="N110" i="3" s="1"/>
  <c r="E112" i="3" l="1"/>
  <c r="H112" i="3" s="1"/>
  <c r="O111" i="3"/>
  <c r="L111" i="3"/>
  <c r="N111" i="3" s="1"/>
  <c r="E113" i="3" l="1"/>
  <c r="H113" i="3" s="1"/>
  <c r="L112" i="3"/>
  <c r="N112" i="3" s="1"/>
  <c r="O112" i="3"/>
  <c r="E114" i="3" l="1"/>
  <c r="H114" i="3" s="1"/>
  <c r="O113" i="3"/>
  <c r="L113" i="3"/>
  <c r="N113" i="3" s="1"/>
  <c r="E115" i="3" l="1"/>
  <c r="H115" i="3" s="1"/>
  <c r="O114" i="3"/>
  <c r="L114" i="3"/>
  <c r="N114" i="3" s="1"/>
  <c r="E116" i="3" l="1"/>
  <c r="H116" i="3" s="1"/>
  <c r="L115" i="3"/>
  <c r="N115" i="3" s="1"/>
  <c r="O115" i="3"/>
  <c r="E117" i="3" l="1"/>
  <c r="H117" i="3" s="1"/>
  <c r="O116" i="3"/>
  <c r="L116" i="3"/>
  <c r="N116" i="3" s="1"/>
  <c r="E118" i="3" l="1"/>
  <c r="H118" i="3" s="1"/>
  <c r="O117" i="3"/>
  <c r="L117" i="3"/>
  <c r="N117" i="3" s="1"/>
  <c r="E119" i="3" l="1"/>
  <c r="H119" i="3" s="1"/>
  <c r="O118" i="3"/>
  <c r="L118" i="3"/>
  <c r="N118" i="3" s="1"/>
  <c r="E120" i="3" l="1"/>
  <c r="H120" i="3" s="1"/>
  <c r="O119" i="3"/>
  <c r="L119" i="3"/>
  <c r="N119" i="3" s="1"/>
  <c r="E121" i="3" l="1"/>
  <c r="H121" i="3" s="1"/>
  <c r="O120" i="3"/>
  <c r="L120" i="3"/>
  <c r="N120" i="3" s="1"/>
  <c r="E122" i="3" l="1"/>
  <c r="H122" i="3" s="1"/>
  <c r="O121" i="3"/>
  <c r="L121" i="3"/>
  <c r="N121" i="3" s="1"/>
  <c r="E123" i="3" l="1"/>
  <c r="H123" i="3" s="1"/>
  <c r="O122" i="3"/>
  <c r="L122" i="3"/>
  <c r="N122" i="3" s="1"/>
  <c r="E124" i="3" l="1"/>
  <c r="H124" i="3" s="1"/>
  <c r="O123" i="3"/>
  <c r="L123" i="3"/>
  <c r="N123" i="3" s="1"/>
  <c r="E125" i="3" l="1"/>
  <c r="H125" i="3" s="1"/>
  <c r="L124" i="3"/>
  <c r="N124" i="3" s="1"/>
  <c r="O124" i="3"/>
  <c r="E126" i="3" l="1"/>
  <c r="H126" i="3" s="1"/>
  <c r="L125" i="3"/>
  <c r="N125" i="3" s="1"/>
  <c r="O125" i="3"/>
  <c r="E127" i="3" l="1"/>
  <c r="H127" i="3" s="1"/>
  <c r="L126" i="3"/>
  <c r="N126" i="3" s="1"/>
  <c r="O126" i="3"/>
  <c r="E128" i="3" l="1"/>
  <c r="H128" i="3" s="1"/>
  <c r="L127" i="3"/>
  <c r="N127" i="3" s="1"/>
  <c r="O127" i="3"/>
  <c r="E129" i="3" l="1"/>
  <c r="H129" i="3" s="1"/>
  <c r="O128" i="3"/>
  <c r="L128" i="3"/>
  <c r="N128" i="3" s="1"/>
  <c r="E130" i="3" l="1"/>
  <c r="H130" i="3" s="1"/>
  <c r="O129" i="3"/>
  <c r="L129" i="3"/>
  <c r="N129" i="3" s="1"/>
  <c r="E131" i="3" l="1"/>
  <c r="H131" i="3" s="1"/>
  <c r="O130" i="3"/>
  <c r="L130" i="3"/>
  <c r="N130" i="3" s="1"/>
  <c r="E132" i="3" l="1"/>
  <c r="H132" i="3" s="1"/>
  <c r="O131" i="3"/>
  <c r="L131" i="3"/>
  <c r="N131" i="3" s="1"/>
  <c r="E133" i="3" l="1"/>
  <c r="H133" i="3" s="1"/>
  <c r="O132" i="3"/>
  <c r="L132" i="3"/>
  <c r="N132" i="3" s="1"/>
  <c r="E134" i="3" l="1"/>
  <c r="H134" i="3" s="1"/>
  <c r="O133" i="3"/>
  <c r="L133" i="3"/>
  <c r="N133" i="3" s="1"/>
  <c r="E135" i="3" l="1"/>
  <c r="H135" i="3" s="1"/>
  <c r="O134" i="3"/>
  <c r="L134" i="3"/>
  <c r="N134" i="3" s="1"/>
  <c r="E136" i="3" l="1"/>
  <c r="H136" i="3" s="1"/>
  <c r="O135" i="3"/>
  <c r="L135" i="3"/>
  <c r="N135" i="3" s="1"/>
  <c r="E137" i="3" l="1"/>
  <c r="H137" i="3" s="1"/>
  <c r="L136" i="3"/>
  <c r="N136" i="3" s="1"/>
  <c r="O136" i="3"/>
  <c r="E138" i="3" l="1"/>
  <c r="H138" i="3" s="1"/>
  <c r="L137" i="3"/>
  <c r="N137" i="3" s="1"/>
  <c r="O137" i="3"/>
  <c r="E139" i="3" l="1"/>
  <c r="H139" i="3" s="1"/>
  <c r="L138" i="3"/>
  <c r="N138" i="3" s="1"/>
  <c r="O138" i="3"/>
  <c r="E140" i="3" l="1"/>
  <c r="H140" i="3" s="1"/>
  <c r="O139" i="3"/>
  <c r="L139" i="3"/>
  <c r="N139" i="3" s="1"/>
  <c r="E141" i="3" l="1"/>
  <c r="H141" i="3" s="1"/>
  <c r="L140" i="3"/>
  <c r="N140" i="3" s="1"/>
  <c r="O140" i="3"/>
  <c r="E142" i="3" l="1"/>
  <c r="H142" i="3" s="1"/>
  <c r="O141" i="3"/>
  <c r="L141" i="3"/>
  <c r="N141" i="3" s="1"/>
  <c r="E143" i="3" l="1"/>
  <c r="H143" i="3" s="1"/>
  <c r="O142" i="3"/>
  <c r="L142" i="3"/>
  <c r="N142" i="3" s="1"/>
  <c r="E144" i="3" l="1"/>
  <c r="H144" i="3" s="1"/>
  <c r="L143" i="3"/>
  <c r="N143" i="3" s="1"/>
  <c r="O143" i="3"/>
  <c r="E145" i="3" l="1"/>
  <c r="H145" i="3" s="1"/>
  <c r="O144" i="3"/>
  <c r="L144" i="3"/>
  <c r="N144" i="3" s="1"/>
  <c r="E146" i="3" l="1"/>
  <c r="H146" i="3" s="1"/>
  <c r="O145" i="3"/>
  <c r="L145" i="3"/>
  <c r="N145" i="3" s="1"/>
  <c r="E147" i="3" l="1"/>
  <c r="H147" i="3" s="1"/>
  <c r="L146" i="3"/>
  <c r="N146" i="3" s="1"/>
  <c r="O146" i="3"/>
  <c r="E148" i="3" l="1"/>
  <c r="H148" i="3" s="1"/>
  <c r="L147" i="3"/>
  <c r="N147" i="3" s="1"/>
  <c r="O147" i="3"/>
  <c r="E149" i="3" l="1"/>
  <c r="H149" i="3" s="1"/>
  <c r="L148" i="3"/>
  <c r="N148" i="3" s="1"/>
  <c r="O148" i="3"/>
  <c r="E150" i="3" l="1"/>
  <c r="H150" i="3" s="1"/>
  <c r="O149" i="3"/>
  <c r="L149" i="3"/>
  <c r="N149" i="3" s="1"/>
  <c r="E151" i="3" l="1"/>
  <c r="H151" i="3" s="1"/>
  <c r="O150" i="3"/>
  <c r="L150" i="3"/>
  <c r="N150" i="3" s="1"/>
  <c r="E152" i="3" l="1"/>
  <c r="H152" i="3" s="1"/>
  <c r="O151" i="3"/>
  <c r="L151" i="3"/>
  <c r="N151" i="3" s="1"/>
  <c r="E153" i="3" l="1"/>
  <c r="H153" i="3" s="1"/>
  <c r="O152" i="3"/>
  <c r="L152" i="3"/>
  <c r="N152" i="3" s="1"/>
  <c r="E154" i="3" l="1"/>
  <c r="H154" i="3" s="1"/>
  <c r="O153" i="3"/>
  <c r="L153" i="3"/>
  <c r="N153" i="3" s="1"/>
  <c r="E155" i="3" l="1"/>
  <c r="H155" i="3" s="1"/>
  <c r="O154" i="3"/>
  <c r="L154" i="3"/>
  <c r="N154" i="3" s="1"/>
  <c r="E156" i="3" l="1"/>
  <c r="H156" i="3" s="1"/>
  <c r="L155" i="3"/>
  <c r="N155" i="3" s="1"/>
  <c r="O155" i="3"/>
  <c r="E157" i="3" l="1"/>
  <c r="H157" i="3" s="1"/>
  <c r="O156" i="3"/>
  <c r="L156" i="3"/>
  <c r="N156" i="3" s="1"/>
  <c r="E158" i="3" l="1"/>
  <c r="H158" i="3" s="1"/>
  <c r="L157" i="3"/>
  <c r="N157" i="3" s="1"/>
  <c r="O157" i="3"/>
  <c r="E159" i="3" l="1"/>
  <c r="H159" i="3" s="1"/>
  <c r="O158" i="3"/>
  <c r="L158" i="3"/>
  <c r="N158" i="3" s="1"/>
  <c r="E160" i="3" l="1"/>
  <c r="H160" i="3" s="1"/>
  <c r="O159" i="3"/>
  <c r="L159" i="3"/>
  <c r="N159" i="3" s="1"/>
  <c r="E161" i="3" l="1"/>
  <c r="H161" i="3" s="1"/>
  <c r="L160" i="3"/>
  <c r="N160" i="3" s="1"/>
  <c r="O160" i="3"/>
  <c r="E162" i="3" l="1"/>
  <c r="H162" i="3" s="1"/>
  <c r="L161" i="3"/>
  <c r="N161" i="3" s="1"/>
  <c r="O161" i="3"/>
  <c r="E163" i="3" l="1"/>
  <c r="H163" i="3" s="1"/>
  <c r="O162" i="3"/>
  <c r="L162" i="3"/>
  <c r="N162" i="3" s="1"/>
  <c r="E164" i="3" l="1"/>
  <c r="H164" i="3" s="1"/>
  <c r="O163" i="3"/>
  <c r="L163" i="3"/>
  <c r="N163" i="3" s="1"/>
  <c r="E165" i="3" l="1"/>
  <c r="H165" i="3" s="1"/>
  <c r="O164" i="3"/>
  <c r="L164" i="3"/>
  <c r="N164" i="3" s="1"/>
  <c r="E166" i="3" l="1"/>
  <c r="H166" i="3" s="1"/>
  <c r="O165" i="3"/>
  <c r="L165" i="3"/>
  <c r="N165" i="3" s="1"/>
  <c r="E167" i="3" l="1"/>
  <c r="H167" i="3" s="1"/>
  <c r="O166" i="3"/>
  <c r="L166" i="3"/>
  <c r="N166" i="3" s="1"/>
  <c r="E168" i="3" l="1"/>
  <c r="H168" i="3" s="1"/>
  <c r="O167" i="3"/>
  <c r="L167" i="3"/>
  <c r="N167" i="3" s="1"/>
  <c r="E169" i="3" l="1"/>
  <c r="H169" i="3" s="1"/>
  <c r="O168" i="3"/>
  <c r="L168" i="3"/>
  <c r="N168" i="3" s="1"/>
  <c r="E170" i="3" l="1"/>
  <c r="H170" i="3" s="1"/>
  <c r="O169" i="3"/>
  <c r="L169" i="3"/>
  <c r="N169" i="3" s="1"/>
  <c r="E171" i="3" l="1"/>
  <c r="H171" i="3" s="1"/>
  <c r="O170" i="3"/>
  <c r="L170" i="3"/>
  <c r="N170" i="3" s="1"/>
  <c r="E172" i="3" l="1"/>
  <c r="H172" i="3" s="1"/>
  <c r="L171" i="3"/>
  <c r="N171" i="3" s="1"/>
  <c r="O171" i="3"/>
  <c r="E173" i="3" l="1"/>
  <c r="H173" i="3" s="1"/>
  <c r="L172" i="3"/>
  <c r="N172" i="3" s="1"/>
  <c r="O172" i="3"/>
  <c r="E174" i="3" l="1"/>
  <c r="H174" i="3" s="1"/>
  <c r="O173" i="3"/>
  <c r="L173" i="3"/>
  <c r="N173" i="3" s="1"/>
  <c r="E175" i="3" l="1"/>
  <c r="H175" i="3" s="1"/>
  <c r="L174" i="3"/>
  <c r="N174" i="3" s="1"/>
  <c r="O174" i="3"/>
  <c r="E176" i="3" l="1"/>
  <c r="H176" i="3" s="1"/>
  <c r="O175" i="3"/>
  <c r="L175" i="3"/>
  <c r="N175" i="3" s="1"/>
  <c r="E177" i="3" l="1"/>
  <c r="H177" i="3" s="1"/>
  <c r="L176" i="3"/>
  <c r="N176" i="3" s="1"/>
  <c r="O176" i="3"/>
  <c r="E178" i="3" l="1"/>
  <c r="H178" i="3" s="1"/>
  <c r="L177" i="3"/>
  <c r="N177" i="3" s="1"/>
  <c r="O177" i="3"/>
  <c r="E179" i="3" l="1"/>
  <c r="H179" i="3" s="1"/>
  <c r="O178" i="3"/>
  <c r="L178" i="3"/>
  <c r="N178" i="3" s="1"/>
  <c r="E180" i="3" l="1"/>
  <c r="H180" i="3" s="1"/>
  <c r="O179" i="3"/>
  <c r="L179" i="3"/>
  <c r="N179" i="3" s="1"/>
  <c r="E181" i="3" l="1"/>
  <c r="H181" i="3" s="1"/>
  <c r="L180" i="3"/>
  <c r="N180" i="3" s="1"/>
  <c r="O180" i="3"/>
  <c r="E182" i="3" l="1"/>
  <c r="H182" i="3" s="1"/>
  <c r="O181" i="3"/>
  <c r="L181" i="3"/>
  <c r="N181" i="3" s="1"/>
  <c r="E183" i="3" l="1"/>
  <c r="H183" i="3" s="1"/>
  <c r="O182" i="3"/>
  <c r="L182" i="3"/>
  <c r="N182" i="3" s="1"/>
  <c r="E184" i="3" l="1"/>
  <c r="H184" i="3" s="1"/>
  <c r="O183" i="3"/>
  <c r="L183" i="3"/>
  <c r="N183" i="3" s="1"/>
  <c r="E185" i="3" l="1"/>
  <c r="H185" i="3" s="1"/>
  <c r="L184" i="3"/>
  <c r="N184" i="3" s="1"/>
  <c r="O184" i="3"/>
  <c r="E186" i="3" l="1"/>
  <c r="H186" i="3" s="1"/>
  <c r="O185" i="3"/>
  <c r="L185" i="3"/>
  <c r="N185" i="3" s="1"/>
  <c r="E187" i="3" l="1"/>
  <c r="H187" i="3" s="1"/>
  <c r="L186" i="3"/>
  <c r="N186" i="3" s="1"/>
  <c r="O186" i="3"/>
  <c r="E188" i="3" l="1"/>
  <c r="H188" i="3" s="1"/>
  <c r="L187" i="3"/>
  <c r="N187" i="3" s="1"/>
  <c r="O187" i="3"/>
  <c r="E189" i="3" l="1"/>
  <c r="H189" i="3" s="1"/>
  <c r="L188" i="3"/>
  <c r="N188" i="3" s="1"/>
  <c r="O188" i="3"/>
  <c r="E190" i="3" l="1"/>
  <c r="H190" i="3" s="1"/>
  <c r="O189" i="3"/>
  <c r="L189" i="3"/>
  <c r="N189" i="3" s="1"/>
  <c r="E191" i="3" l="1"/>
  <c r="H191" i="3" s="1"/>
  <c r="O190" i="3"/>
  <c r="L190" i="3"/>
  <c r="N190" i="3" s="1"/>
  <c r="E192" i="3" l="1"/>
  <c r="H192" i="3" s="1"/>
  <c r="O191" i="3"/>
  <c r="L191" i="3"/>
  <c r="N191" i="3" s="1"/>
  <c r="E193" i="3" l="1"/>
  <c r="H193" i="3" s="1"/>
  <c r="O192" i="3"/>
  <c r="L192" i="3"/>
  <c r="N192" i="3" s="1"/>
  <c r="E194" i="3" l="1"/>
  <c r="H194" i="3" s="1"/>
  <c r="O193" i="3"/>
  <c r="L193" i="3"/>
  <c r="N193" i="3" s="1"/>
  <c r="E195" i="3" l="1"/>
  <c r="H195" i="3" s="1"/>
  <c r="O194" i="3"/>
  <c r="L194" i="3"/>
  <c r="N194" i="3" s="1"/>
  <c r="E196" i="3" l="1"/>
  <c r="H196" i="3" s="1"/>
  <c r="O195" i="3"/>
  <c r="L195" i="3"/>
  <c r="N195" i="3" s="1"/>
  <c r="E197" i="3" l="1"/>
  <c r="H197" i="3" s="1"/>
  <c r="L196" i="3"/>
  <c r="N196" i="3" s="1"/>
  <c r="O196" i="3"/>
  <c r="E198" i="3" l="1"/>
  <c r="H198" i="3" s="1"/>
  <c r="O197" i="3"/>
  <c r="L197" i="3"/>
  <c r="N197" i="3" s="1"/>
  <c r="E199" i="3" l="1"/>
  <c r="H199" i="3" s="1"/>
  <c r="O198" i="3"/>
  <c r="L198" i="3"/>
  <c r="N198" i="3" s="1"/>
  <c r="E200" i="3" l="1"/>
  <c r="H200" i="3" s="1"/>
  <c r="O199" i="3"/>
  <c r="L199" i="3"/>
  <c r="N199" i="3" s="1"/>
  <c r="E201" i="3" l="1"/>
  <c r="H201" i="3" s="1"/>
  <c r="L200" i="3"/>
  <c r="N200" i="3" s="1"/>
  <c r="O200" i="3"/>
  <c r="E202" i="3" l="1"/>
  <c r="H202" i="3" s="1"/>
  <c r="L201" i="3"/>
  <c r="N201" i="3" s="1"/>
  <c r="O201" i="3"/>
  <c r="E203" i="3" l="1"/>
  <c r="H203" i="3" s="1"/>
  <c r="O202" i="3"/>
  <c r="L202" i="3"/>
  <c r="N202" i="3" s="1"/>
  <c r="E204" i="3" l="1"/>
  <c r="H204" i="3" s="1"/>
  <c r="O203" i="3"/>
  <c r="L203" i="3"/>
  <c r="N203" i="3" s="1"/>
  <c r="E205" i="3" l="1"/>
  <c r="H205" i="3" s="1"/>
  <c r="O204" i="3"/>
  <c r="L204" i="3"/>
  <c r="N204" i="3" s="1"/>
  <c r="E206" i="3" l="1"/>
  <c r="H206" i="3" s="1"/>
  <c r="L205" i="3"/>
  <c r="N205" i="3" s="1"/>
  <c r="O205" i="3"/>
  <c r="E207" i="3" l="1"/>
  <c r="H207" i="3" s="1"/>
  <c r="O206" i="3"/>
  <c r="L206" i="3"/>
  <c r="N206" i="3" s="1"/>
  <c r="E208" i="3" l="1"/>
  <c r="H208" i="3" s="1"/>
  <c r="O207" i="3"/>
  <c r="L207" i="3"/>
  <c r="N207" i="3" s="1"/>
  <c r="E209" i="3" l="1"/>
  <c r="H209" i="3" s="1"/>
  <c r="L208" i="3"/>
  <c r="N208" i="3" s="1"/>
  <c r="O208" i="3"/>
  <c r="E210" i="3" l="1"/>
  <c r="H210" i="3" s="1"/>
  <c r="L209" i="3"/>
  <c r="N209" i="3" s="1"/>
  <c r="O209" i="3"/>
  <c r="E211" i="3" l="1"/>
  <c r="H211" i="3" s="1"/>
  <c r="L210" i="3"/>
  <c r="N210" i="3" s="1"/>
  <c r="O210" i="3"/>
  <c r="E212" i="3" l="1"/>
  <c r="H212" i="3" s="1"/>
  <c r="O211" i="3"/>
  <c r="L211" i="3"/>
  <c r="N211" i="3" s="1"/>
  <c r="E213" i="3" l="1"/>
  <c r="H213" i="3" s="1"/>
  <c r="O212" i="3"/>
  <c r="L212" i="3"/>
  <c r="N212" i="3" s="1"/>
  <c r="E214" i="3" l="1"/>
  <c r="H214" i="3" s="1"/>
  <c r="O213" i="3"/>
  <c r="L213" i="3"/>
  <c r="N213" i="3" s="1"/>
  <c r="E215" i="3" l="1"/>
  <c r="H215" i="3" s="1"/>
  <c r="L214" i="3"/>
  <c r="N214" i="3" s="1"/>
  <c r="O214" i="3"/>
  <c r="E216" i="3" l="1"/>
  <c r="H216" i="3" s="1"/>
  <c r="O215" i="3"/>
  <c r="L215" i="3"/>
  <c r="N215" i="3" s="1"/>
  <c r="E217" i="3" l="1"/>
  <c r="H217" i="3" s="1"/>
  <c r="O216" i="3"/>
  <c r="L216" i="3"/>
  <c r="N216" i="3" s="1"/>
  <c r="E218" i="3" l="1"/>
  <c r="H218" i="3" s="1"/>
  <c r="O217" i="3"/>
  <c r="L217" i="3"/>
  <c r="N217" i="3" s="1"/>
  <c r="E219" i="3" l="1"/>
  <c r="H219" i="3" s="1"/>
  <c r="L218" i="3"/>
  <c r="N218" i="3" s="1"/>
  <c r="O218" i="3"/>
  <c r="E220" i="3" l="1"/>
  <c r="H220" i="3" s="1"/>
  <c r="L219" i="3"/>
  <c r="N219" i="3" s="1"/>
  <c r="O219" i="3"/>
  <c r="E221" i="3" l="1"/>
  <c r="H221" i="3" s="1"/>
  <c r="L220" i="3"/>
  <c r="N220" i="3" s="1"/>
  <c r="O220" i="3"/>
  <c r="E222" i="3" l="1"/>
  <c r="H222" i="3" s="1"/>
  <c r="L221" i="3"/>
  <c r="N221" i="3" s="1"/>
  <c r="O221" i="3"/>
  <c r="E223" i="3" l="1"/>
  <c r="H223" i="3" s="1"/>
  <c r="O222" i="3"/>
  <c r="L222" i="3"/>
  <c r="N222" i="3" s="1"/>
  <c r="E224" i="3" l="1"/>
  <c r="H224" i="3" s="1"/>
  <c r="O223" i="3"/>
  <c r="L223" i="3"/>
  <c r="N223" i="3" s="1"/>
  <c r="E225" i="3" l="1"/>
  <c r="H225" i="3" s="1"/>
  <c r="O224" i="3"/>
  <c r="L224" i="3"/>
  <c r="N224" i="3" s="1"/>
  <c r="E226" i="3" l="1"/>
  <c r="H226" i="3" s="1"/>
  <c r="O225" i="3"/>
  <c r="L225" i="3"/>
  <c r="N225" i="3" s="1"/>
  <c r="E227" i="3" l="1"/>
  <c r="H227" i="3" s="1"/>
  <c r="L226" i="3"/>
  <c r="N226" i="3" s="1"/>
  <c r="O226" i="3"/>
  <c r="E228" i="3" l="1"/>
  <c r="H228" i="3" s="1"/>
  <c r="O227" i="3"/>
  <c r="L227" i="3"/>
  <c r="N227" i="3" s="1"/>
  <c r="E229" i="3" l="1"/>
  <c r="H229" i="3" s="1"/>
  <c r="L228" i="3"/>
  <c r="N228" i="3" s="1"/>
  <c r="O228" i="3"/>
  <c r="E230" i="3" l="1"/>
  <c r="H230" i="3" s="1"/>
  <c r="O229" i="3"/>
  <c r="L229" i="3"/>
  <c r="N229" i="3" s="1"/>
  <c r="E231" i="3" l="1"/>
  <c r="H231" i="3" s="1"/>
  <c r="O230" i="3"/>
  <c r="L230" i="3"/>
  <c r="N230" i="3" s="1"/>
  <c r="E232" i="3" l="1"/>
  <c r="H232" i="3" s="1"/>
  <c r="O231" i="3"/>
  <c r="L231" i="3"/>
  <c r="N231" i="3" s="1"/>
  <c r="E233" i="3" l="1"/>
  <c r="H233" i="3" s="1"/>
  <c r="L232" i="3"/>
  <c r="N232" i="3" s="1"/>
  <c r="O232" i="3"/>
  <c r="E234" i="3" l="1"/>
  <c r="H234" i="3" s="1"/>
  <c r="O233" i="3"/>
  <c r="L233" i="3"/>
  <c r="N233" i="3" s="1"/>
  <c r="E235" i="3" l="1"/>
  <c r="H235" i="3" s="1"/>
  <c r="O234" i="3"/>
  <c r="L234" i="3"/>
  <c r="N234" i="3" s="1"/>
  <c r="E236" i="3" l="1"/>
  <c r="H236" i="3" s="1"/>
  <c r="L235" i="3"/>
  <c r="N235" i="3" s="1"/>
  <c r="O235" i="3"/>
  <c r="E237" i="3" l="1"/>
  <c r="H237" i="3" s="1"/>
  <c r="L236" i="3"/>
  <c r="N236" i="3" s="1"/>
  <c r="O236" i="3"/>
  <c r="E238" i="3" l="1"/>
  <c r="H238" i="3" s="1"/>
  <c r="O237" i="3"/>
  <c r="L237" i="3"/>
  <c r="N237" i="3" s="1"/>
  <c r="E239" i="3" l="1"/>
  <c r="H239" i="3" s="1"/>
  <c r="O238" i="3"/>
  <c r="L238" i="3"/>
  <c r="N238" i="3" s="1"/>
  <c r="E240" i="3" l="1"/>
  <c r="H240" i="3" s="1"/>
  <c r="O239" i="3"/>
  <c r="L239" i="3"/>
  <c r="N239" i="3" s="1"/>
  <c r="E241" i="3" l="1"/>
  <c r="H241" i="3" s="1"/>
  <c r="O240" i="3"/>
  <c r="L240" i="3"/>
  <c r="N240" i="3" s="1"/>
  <c r="E242" i="3" l="1"/>
  <c r="H242" i="3" s="1"/>
  <c r="O241" i="3"/>
  <c r="L241" i="3"/>
  <c r="N241" i="3" s="1"/>
  <c r="E243" i="3" l="1"/>
  <c r="H243" i="3" s="1"/>
  <c r="L242" i="3"/>
  <c r="N242" i="3" s="1"/>
  <c r="O242" i="3"/>
  <c r="E244" i="3" l="1"/>
  <c r="H244" i="3" s="1"/>
  <c r="L243" i="3"/>
  <c r="N243" i="3" s="1"/>
  <c r="O243" i="3"/>
  <c r="E245" i="3" l="1"/>
  <c r="H245" i="3" s="1"/>
  <c r="L244" i="3"/>
  <c r="N244" i="3" s="1"/>
  <c r="O244" i="3"/>
  <c r="E246" i="3" l="1"/>
  <c r="H246" i="3" s="1"/>
  <c r="L245" i="3"/>
  <c r="N245" i="3" s="1"/>
  <c r="O245" i="3"/>
  <c r="E247" i="3" l="1"/>
  <c r="H247" i="3" s="1"/>
  <c r="L246" i="3"/>
  <c r="N246" i="3" s="1"/>
  <c r="O246" i="3"/>
  <c r="E248" i="3" l="1"/>
  <c r="H248" i="3" s="1"/>
  <c r="O247" i="3"/>
  <c r="L247" i="3"/>
  <c r="N247" i="3" s="1"/>
  <c r="E249" i="3" l="1"/>
  <c r="H249" i="3" s="1"/>
  <c r="O248" i="3"/>
  <c r="L248" i="3"/>
  <c r="N248" i="3" s="1"/>
  <c r="E250" i="3" l="1"/>
  <c r="H250" i="3" s="1"/>
  <c r="O249" i="3"/>
  <c r="L249" i="3"/>
  <c r="N249" i="3" s="1"/>
  <c r="E251" i="3" l="1"/>
  <c r="H251" i="3" s="1"/>
  <c r="O250" i="3"/>
  <c r="L250" i="3"/>
  <c r="N250" i="3" s="1"/>
  <c r="E252" i="3" l="1"/>
  <c r="H252" i="3" s="1"/>
  <c r="L251" i="3"/>
  <c r="N251" i="3" s="1"/>
  <c r="O251" i="3"/>
  <c r="E253" i="3" l="1"/>
  <c r="H253" i="3" s="1"/>
  <c r="O252" i="3"/>
  <c r="L252" i="3"/>
  <c r="N252" i="3" s="1"/>
  <c r="E254" i="3" l="1"/>
  <c r="H254" i="3" s="1"/>
  <c r="O253" i="3"/>
  <c r="L253" i="3"/>
  <c r="N253" i="3" s="1"/>
  <c r="E255" i="3" l="1"/>
  <c r="H255" i="3" s="1"/>
  <c r="O254" i="3"/>
  <c r="L254" i="3"/>
  <c r="N254" i="3" s="1"/>
  <c r="E256" i="3" l="1"/>
  <c r="H256" i="3" s="1"/>
  <c r="O255" i="3"/>
  <c r="L255" i="3"/>
  <c r="N255" i="3" s="1"/>
  <c r="E257" i="3" l="1"/>
  <c r="H257" i="3" s="1"/>
  <c r="L256" i="3"/>
  <c r="N256" i="3" s="1"/>
  <c r="O256" i="3"/>
  <c r="E258" i="3" l="1"/>
  <c r="H258" i="3" s="1"/>
  <c r="L257" i="3"/>
  <c r="N257" i="3" s="1"/>
  <c r="O257" i="3"/>
  <c r="E259" i="3" l="1"/>
  <c r="H259" i="3" s="1"/>
  <c r="O258" i="3"/>
  <c r="L258" i="3"/>
  <c r="N258" i="3" s="1"/>
  <c r="E260" i="3" l="1"/>
  <c r="H260" i="3" s="1"/>
  <c r="L259" i="3"/>
  <c r="N259" i="3" s="1"/>
  <c r="O259" i="3"/>
  <c r="E261" i="3" l="1"/>
  <c r="H261" i="3" s="1"/>
  <c r="O260" i="3"/>
  <c r="L260" i="3"/>
  <c r="N260" i="3" s="1"/>
  <c r="E262" i="3" l="1"/>
  <c r="H262" i="3" s="1"/>
  <c r="O261" i="3"/>
  <c r="L261" i="3"/>
  <c r="N261" i="3" s="1"/>
  <c r="E263" i="3" l="1"/>
  <c r="H263" i="3" s="1"/>
  <c r="O262" i="3"/>
  <c r="L262" i="3"/>
  <c r="N262" i="3" s="1"/>
  <c r="E264" i="3" l="1"/>
  <c r="H264" i="3" s="1"/>
  <c r="O263" i="3"/>
  <c r="L263" i="3"/>
  <c r="N263" i="3" s="1"/>
  <c r="E265" i="3" l="1"/>
  <c r="H265" i="3" s="1"/>
  <c r="O264" i="3"/>
  <c r="L264" i="3"/>
  <c r="N264" i="3" s="1"/>
  <c r="E266" i="3" l="1"/>
  <c r="H266" i="3" s="1"/>
  <c r="L265" i="3"/>
  <c r="N265" i="3" s="1"/>
  <c r="O265" i="3"/>
  <c r="E267" i="3" l="1"/>
  <c r="H267" i="3" s="1"/>
  <c r="O266" i="3"/>
  <c r="L266" i="3"/>
  <c r="N266" i="3" s="1"/>
  <c r="E268" i="3" l="1"/>
  <c r="H268" i="3" s="1"/>
  <c r="L267" i="3"/>
  <c r="N267" i="3" s="1"/>
  <c r="O267" i="3"/>
  <c r="E269" i="3" l="1"/>
  <c r="H269" i="3" s="1"/>
  <c r="L268" i="3"/>
  <c r="N268" i="3" s="1"/>
  <c r="O268" i="3"/>
  <c r="E270" i="3" l="1"/>
  <c r="H270" i="3" s="1"/>
  <c r="L269" i="3"/>
  <c r="N269" i="3" s="1"/>
  <c r="O269" i="3"/>
  <c r="E271" i="3" l="1"/>
  <c r="H271" i="3" s="1"/>
  <c r="L270" i="3"/>
  <c r="N270" i="3" s="1"/>
  <c r="O270" i="3"/>
  <c r="E272" i="3" l="1"/>
  <c r="H272" i="3" s="1"/>
  <c r="L271" i="3"/>
  <c r="N271" i="3" s="1"/>
  <c r="O271" i="3"/>
  <c r="E273" i="3" l="1"/>
  <c r="H273" i="3" s="1"/>
  <c r="O272" i="3"/>
  <c r="L272" i="3"/>
  <c r="N272" i="3" s="1"/>
  <c r="E274" i="3" l="1"/>
  <c r="H274" i="3" s="1"/>
  <c r="O273" i="3"/>
  <c r="L273" i="3"/>
  <c r="N273" i="3" s="1"/>
  <c r="E275" i="3" l="1"/>
  <c r="H275" i="3" s="1"/>
  <c r="O274" i="3"/>
  <c r="L274" i="3"/>
  <c r="N274" i="3" s="1"/>
  <c r="E276" i="3" l="1"/>
  <c r="H276" i="3" s="1"/>
  <c r="O275" i="3"/>
  <c r="L275" i="3"/>
  <c r="N275" i="3" s="1"/>
  <c r="E277" i="3" l="1"/>
  <c r="H277" i="3" s="1"/>
  <c r="O276" i="3"/>
  <c r="L276" i="3"/>
  <c r="N276" i="3" s="1"/>
  <c r="E278" i="3" l="1"/>
  <c r="H278" i="3" s="1"/>
  <c r="L277" i="3"/>
  <c r="N277" i="3" s="1"/>
  <c r="O277" i="3"/>
  <c r="E279" i="3" l="1"/>
  <c r="H279" i="3" s="1"/>
  <c r="O278" i="3"/>
  <c r="L278" i="3"/>
  <c r="N278" i="3" s="1"/>
  <c r="E280" i="3" l="1"/>
  <c r="H280" i="3" s="1"/>
  <c r="L279" i="3"/>
  <c r="N279" i="3" s="1"/>
  <c r="O279" i="3"/>
  <c r="E281" i="3" l="1"/>
  <c r="H281" i="3" s="1"/>
  <c r="L280" i="3"/>
  <c r="N280" i="3" s="1"/>
  <c r="O280" i="3"/>
  <c r="E282" i="3" l="1"/>
  <c r="H282" i="3" s="1"/>
  <c r="O281" i="3"/>
  <c r="L281" i="3"/>
  <c r="N281" i="3" s="1"/>
  <c r="E283" i="3" l="1"/>
  <c r="H283" i="3" s="1"/>
  <c r="L282" i="3"/>
  <c r="N282" i="3" s="1"/>
  <c r="O282" i="3"/>
  <c r="E284" i="3" l="1"/>
  <c r="H284" i="3" s="1"/>
  <c r="O283" i="3"/>
  <c r="L283" i="3"/>
  <c r="N283" i="3" s="1"/>
  <c r="E285" i="3" l="1"/>
  <c r="H285" i="3" s="1"/>
  <c r="O284" i="3"/>
  <c r="L284" i="3"/>
  <c r="N284" i="3" s="1"/>
  <c r="E286" i="3" l="1"/>
  <c r="H286" i="3" s="1"/>
  <c r="O285" i="3"/>
  <c r="L285" i="3"/>
  <c r="N285" i="3" s="1"/>
  <c r="E287" i="3" l="1"/>
  <c r="H287" i="3" s="1"/>
  <c r="L286" i="3"/>
  <c r="N286" i="3" s="1"/>
  <c r="O286" i="3"/>
  <c r="E288" i="3" l="1"/>
  <c r="H288" i="3" s="1"/>
  <c r="O287" i="3"/>
  <c r="L287" i="3"/>
  <c r="N287" i="3" s="1"/>
  <c r="E289" i="3" l="1"/>
  <c r="H289" i="3" s="1"/>
  <c r="L288" i="3"/>
  <c r="N288" i="3" s="1"/>
  <c r="O288" i="3"/>
  <c r="E290" i="3" l="1"/>
  <c r="H290" i="3" s="1"/>
  <c r="O289" i="3"/>
  <c r="L289" i="3"/>
  <c r="N289" i="3" s="1"/>
  <c r="E291" i="3" l="1"/>
  <c r="H291" i="3" s="1"/>
  <c r="O290" i="3"/>
  <c r="L290" i="3"/>
  <c r="N290" i="3" s="1"/>
  <c r="E292" i="3" l="1"/>
  <c r="H292" i="3" s="1"/>
  <c r="O291" i="3"/>
  <c r="L291" i="3"/>
  <c r="N291" i="3" s="1"/>
  <c r="E293" i="3" l="1"/>
  <c r="H293" i="3" s="1"/>
  <c r="L292" i="3"/>
  <c r="N292" i="3" s="1"/>
  <c r="O292" i="3"/>
  <c r="E294" i="3" l="1"/>
  <c r="H294" i="3" s="1"/>
  <c r="O293" i="3"/>
  <c r="L293" i="3"/>
  <c r="N293" i="3" s="1"/>
  <c r="E295" i="3" l="1"/>
  <c r="H295" i="3" s="1"/>
  <c r="O294" i="3"/>
  <c r="L294" i="3"/>
  <c r="N294" i="3" s="1"/>
  <c r="E296" i="3" l="1"/>
  <c r="H296" i="3" s="1"/>
  <c r="L295" i="3"/>
  <c r="N295" i="3" s="1"/>
  <c r="O295" i="3"/>
  <c r="E297" i="3" l="1"/>
  <c r="H297" i="3" s="1"/>
  <c r="L296" i="3"/>
  <c r="N296" i="3" s="1"/>
  <c r="O296" i="3"/>
  <c r="E298" i="3" l="1"/>
  <c r="H298" i="3" s="1"/>
  <c r="O297" i="3"/>
  <c r="L297" i="3"/>
  <c r="N297" i="3" s="1"/>
  <c r="E299" i="3" l="1"/>
  <c r="H299" i="3" s="1"/>
  <c r="L298" i="3"/>
  <c r="N298" i="3" s="1"/>
  <c r="O298" i="3"/>
  <c r="E300" i="3" l="1"/>
  <c r="H300" i="3" s="1"/>
  <c r="O299" i="3"/>
  <c r="L299" i="3"/>
  <c r="N299" i="3" s="1"/>
  <c r="E301" i="3" l="1"/>
  <c r="H301" i="3" s="1"/>
  <c r="O300" i="3"/>
  <c r="L300" i="3"/>
  <c r="N300" i="3" s="1"/>
  <c r="E302" i="3" l="1"/>
  <c r="H302" i="3" s="1"/>
  <c r="O301" i="3"/>
  <c r="L301" i="3"/>
  <c r="N301" i="3" s="1"/>
  <c r="E303" i="3" l="1"/>
  <c r="H303" i="3" s="1"/>
  <c r="O302" i="3"/>
  <c r="L302" i="3"/>
  <c r="N302" i="3" s="1"/>
  <c r="E304" i="3" l="1"/>
  <c r="H304" i="3" s="1"/>
  <c r="L303" i="3"/>
  <c r="N303" i="3" s="1"/>
  <c r="O303" i="3"/>
  <c r="E305" i="3" l="1"/>
  <c r="H305" i="3" s="1"/>
  <c r="L304" i="3"/>
  <c r="N304" i="3" s="1"/>
  <c r="O304" i="3"/>
  <c r="E306" i="3" l="1"/>
  <c r="H306" i="3" s="1"/>
  <c r="O305" i="3"/>
  <c r="L305" i="3"/>
  <c r="N305" i="3" s="1"/>
  <c r="E307" i="3" l="1"/>
  <c r="H307" i="3" s="1"/>
  <c r="O306" i="3"/>
  <c r="L306" i="3"/>
  <c r="N306" i="3" s="1"/>
  <c r="E308" i="3" l="1"/>
  <c r="H308" i="3" s="1"/>
  <c r="O307" i="3"/>
  <c r="L307" i="3"/>
  <c r="N307" i="3" s="1"/>
  <c r="E309" i="3" l="1"/>
  <c r="H309" i="3" s="1"/>
  <c r="O308" i="3"/>
  <c r="L308" i="3"/>
  <c r="N308" i="3" s="1"/>
  <c r="E310" i="3" l="1"/>
  <c r="H310" i="3" s="1"/>
  <c r="O309" i="3"/>
  <c r="L309" i="3"/>
  <c r="N309" i="3" s="1"/>
  <c r="E311" i="3" l="1"/>
  <c r="H311" i="3" s="1"/>
  <c r="O310" i="3"/>
  <c r="L310" i="3"/>
  <c r="N310" i="3" s="1"/>
  <c r="E312" i="3" l="1"/>
  <c r="H312" i="3" s="1"/>
  <c r="L311" i="3"/>
  <c r="N311" i="3" s="1"/>
  <c r="O311" i="3"/>
  <c r="E313" i="3" l="1"/>
  <c r="H313" i="3" s="1"/>
  <c r="L312" i="3"/>
  <c r="N312" i="3" s="1"/>
  <c r="O312" i="3"/>
  <c r="E314" i="3" l="1"/>
  <c r="H314" i="3" s="1"/>
  <c r="O313" i="3"/>
  <c r="L313" i="3"/>
  <c r="N313" i="3" s="1"/>
  <c r="E315" i="3" l="1"/>
  <c r="H315" i="3" s="1"/>
  <c r="L314" i="3"/>
  <c r="N314" i="3" s="1"/>
  <c r="O314" i="3"/>
  <c r="E316" i="3" l="1"/>
  <c r="H316" i="3" s="1"/>
  <c r="O315" i="3"/>
  <c r="L315" i="3"/>
  <c r="N315" i="3" s="1"/>
  <c r="E317" i="3" l="1"/>
  <c r="H317" i="3" s="1"/>
  <c r="L316" i="3"/>
  <c r="N316" i="3" s="1"/>
  <c r="O316" i="3"/>
  <c r="E318" i="3" l="1"/>
  <c r="H318" i="3" s="1"/>
  <c r="O317" i="3"/>
  <c r="L317" i="3"/>
  <c r="N317" i="3" s="1"/>
  <c r="E319" i="3" l="1"/>
  <c r="H319" i="3" s="1"/>
  <c r="O318" i="3"/>
  <c r="L318" i="3"/>
  <c r="N318" i="3" s="1"/>
  <c r="E320" i="3" l="1"/>
  <c r="H320" i="3" s="1"/>
  <c r="O319" i="3"/>
  <c r="L319" i="3"/>
  <c r="N319" i="3" s="1"/>
  <c r="E321" i="3" l="1"/>
  <c r="H321" i="3" s="1"/>
  <c r="O320" i="3"/>
  <c r="L320" i="3"/>
  <c r="N320" i="3" s="1"/>
  <c r="E322" i="3" l="1"/>
  <c r="H322" i="3" s="1"/>
  <c r="O321" i="3"/>
  <c r="L321" i="3"/>
  <c r="N321" i="3" s="1"/>
  <c r="E323" i="3" l="1"/>
  <c r="H323" i="3" s="1"/>
  <c r="O322" i="3"/>
  <c r="L322" i="3"/>
  <c r="N322" i="3" s="1"/>
  <c r="E324" i="3" l="1"/>
  <c r="H324" i="3" s="1"/>
  <c r="O323" i="3"/>
  <c r="L323" i="3"/>
  <c r="N323" i="3" s="1"/>
  <c r="E325" i="3" l="1"/>
  <c r="H325" i="3" s="1"/>
  <c r="L324" i="3"/>
  <c r="N324" i="3" s="1"/>
  <c r="O324" i="3"/>
  <c r="E326" i="3" l="1"/>
  <c r="H326" i="3" s="1"/>
  <c r="L325" i="3"/>
  <c r="N325" i="3" s="1"/>
  <c r="O325" i="3"/>
  <c r="E327" i="3" l="1"/>
  <c r="H327" i="3" s="1"/>
  <c r="L326" i="3"/>
  <c r="N326" i="3" s="1"/>
  <c r="O326" i="3"/>
  <c r="E328" i="3" l="1"/>
  <c r="H328" i="3" s="1"/>
  <c r="L327" i="3"/>
  <c r="N327" i="3" s="1"/>
  <c r="O327" i="3"/>
  <c r="E329" i="3" l="1"/>
  <c r="H329" i="3" s="1"/>
  <c r="L328" i="3"/>
  <c r="N328" i="3" s="1"/>
  <c r="O328" i="3"/>
  <c r="E330" i="3" l="1"/>
  <c r="H330" i="3" s="1"/>
  <c r="L329" i="3"/>
  <c r="N329" i="3" s="1"/>
  <c r="O329" i="3"/>
  <c r="E331" i="3" l="1"/>
  <c r="H331" i="3" s="1"/>
  <c r="O330" i="3"/>
  <c r="L330" i="3"/>
  <c r="N330" i="3" s="1"/>
  <c r="E332" i="3" l="1"/>
  <c r="H332" i="3" s="1"/>
  <c r="O331" i="3"/>
  <c r="L331" i="3"/>
  <c r="N331" i="3" s="1"/>
  <c r="E333" i="3" l="1"/>
  <c r="H333" i="3" s="1"/>
  <c r="L332" i="3"/>
  <c r="N332" i="3" s="1"/>
  <c r="O332" i="3"/>
  <c r="E334" i="3" l="1"/>
  <c r="H334" i="3" s="1"/>
  <c r="L333" i="3"/>
  <c r="N333" i="3" s="1"/>
  <c r="O333" i="3"/>
  <c r="E335" i="3" l="1"/>
  <c r="H335" i="3" s="1"/>
  <c r="O334" i="3"/>
  <c r="L334" i="3"/>
  <c r="N334" i="3" s="1"/>
  <c r="E336" i="3" l="1"/>
  <c r="H336" i="3" s="1"/>
  <c r="O335" i="3"/>
  <c r="L335" i="3"/>
  <c r="N335" i="3" s="1"/>
  <c r="E337" i="3" l="1"/>
  <c r="H337" i="3" s="1"/>
  <c r="O336" i="3"/>
  <c r="L336" i="3"/>
  <c r="N336" i="3" s="1"/>
  <c r="E338" i="3" l="1"/>
  <c r="H338" i="3" s="1"/>
  <c r="O337" i="3"/>
  <c r="L337" i="3"/>
  <c r="N337" i="3" s="1"/>
  <c r="E339" i="3" l="1"/>
  <c r="H339" i="3" s="1"/>
  <c r="O338" i="3"/>
  <c r="L338" i="3"/>
  <c r="N338" i="3" s="1"/>
  <c r="E340" i="3" l="1"/>
  <c r="H340" i="3" s="1"/>
  <c r="O339" i="3"/>
  <c r="L339" i="3"/>
  <c r="N339" i="3" s="1"/>
  <c r="E341" i="3" l="1"/>
  <c r="H341" i="3" s="1"/>
  <c r="L340" i="3"/>
  <c r="N340" i="3" s="1"/>
  <c r="O340" i="3"/>
  <c r="E342" i="3" l="1"/>
  <c r="H342" i="3" s="1"/>
  <c r="O341" i="3"/>
  <c r="L341" i="3"/>
  <c r="N341" i="3" s="1"/>
  <c r="E343" i="3" l="1"/>
  <c r="H343" i="3" s="1"/>
  <c r="O342" i="3"/>
  <c r="L342" i="3"/>
  <c r="N342" i="3" s="1"/>
  <c r="E344" i="3" l="1"/>
  <c r="H344" i="3" s="1"/>
  <c r="O343" i="3"/>
  <c r="L343" i="3"/>
  <c r="N343" i="3" s="1"/>
  <c r="E345" i="3" l="1"/>
  <c r="H345" i="3" s="1"/>
  <c r="L344" i="3"/>
  <c r="N344" i="3" s="1"/>
  <c r="O344" i="3"/>
  <c r="E346" i="3" l="1"/>
  <c r="H346" i="3" s="1"/>
  <c r="L345" i="3"/>
  <c r="N345" i="3" s="1"/>
  <c r="O345" i="3"/>
  <c r="E347" i="3" l="1"/>
  <c r="H347" i="3" s="1"/>
  <c r="O346" i="3"/>
  <c r="L346" i="3"/>
  <c r="N346" i="3" s="1"/>
  <c r="E348" i="3" l="1"/>
  <c r="H348" i="3" s="1"/>
  <c r="O347" i="3"/>
  <c r="L347" i="3"/>
  <c r="N347" i="3" s="1"/>
  <c r="E349" i="3" l="1"/>
  <c r="H349" i="3" s="1"/>
  <c r="O348" i="3"/>
  <c r="L348" i="3"/>
  <c r="N348" i="3" s="1"/>
  <c r="E350" i="3" l="1"/>
  <c r="H350" i="3" s="1"/>
  <c r="O349" i="3"/>
  <c r="L349" i="3"/>
  <c r="N349" i="3" s="1"/>
  <c r="E351" i="3" l="1"/>
  <c r="H351" i="3" s="1"/>
  <c r="O350" i="3"/>
  <c r="L350" i="3"/>
  <c r="N350" i="3" s="1"/>
  <c r="E352" i="3" l="1"/>
  <c r="H352" i="3" s="1"/>
  <c r="O351" i="3"/>
  <c r="L351" i="3"/>
  <c r="N351" i="3" s="1"/>
  <c r="E353" i="3" l="1"/>
  <c r="H353" i="3" s="1"/>
  <c r="L352" i="3"/>
  <c r="N352" i="3" s="1"/>
  <c r="O352" i="3"/>
  <c r="E354" i="3" l="1"/>
  <c r="H354" i="3" s="1"/>
  <c r="O353" i="3"/>
  <c r="L353" i="3"/>
  <c r="N353" i="3" s="1"/>
  <c r="E355" i="3" l="1"/>
  <c r="H355" i="3" s="1"/>
  <c r="O354" i="3"/>
  <c r="L354" i="3"/>
  <c r="N354" i="3" s="1"/>
  <c r="E356" i="3" l="1"/>
  <c r="H356" i="3" s="1"/>
  <c r="O355" i="3"/>
  <c r="L355" i="3"/>
  <c r="N355" i="3" s="1"/>
  <c r="E357" i="3" l="1"/>
  <c r="H357" i="3" s="1"/>
  <c r="O356" i="3"/>
  <c r="L356" i="3"/>
  <c r="N356" i="3" s="1"/>
  <c r="E358" i="3" l="1"/>
  <c r="H358" i="3" s="1"/>
  <c r="L357" i="3"/>
  <c r="N357" i="3" s="1"/>
  <c r="O357" i="3"/>
  <c r="E359" i="3" l="1"/>
  <c r="H359" i="3" s="1"/>
  <c r="L358" i="3"/>
  <c r="N358" i="3" s="1"/>
  <c r="O358" i="3"/>
  <c r="E360" i="3" l="1"/>
  <c r="H360" i="3" s="1"/>
  <c r="L359" i="3"/>
  <c r="N359" i="3" s="1"/>
  <c r="O359" i="3"/>
  <c r="E361" i="3" l="1"/>
  <c r="H361" i="3" s="1"/>
  <c r="L360" i="3"/>
  <c r="N360" i="3" s="1"/>
  <c r="O360" i="3"/>
  <c r="E362" i="3" l="1"/>
  <c r="H362" i="3" s="1"/>
  <c r="O361" i="3"/>
  <c r="L361" i="3"/>
  <c r="N361" i="3" s="1"/>
  <c r="E363" i="3" l="1"/>
  <c r="H363" i="3" s="1"/>
  <c r="O362" i="3"/>
  <c r="L362" i="3"/>
  <c r="N362" i="3" s="1"/>
  <c r="E364" i="3" l="1"/>
  <c r="H364" i="3" s="1"/>
  <c r="O363" i="3"/>
  <c r="L363" i="3"/>
  <c r="N363" i="3" s="1"/>
  <c r="E365" i="3" l="1"/>
  <c r="H365" i="3" s="1"/>
  <c r="L364" i="3"/>
  <c r="N364" i="3" s="1"/>
  <c r="O364" i="3"/>
  <c r="E366" i="3" l="1"/>
  <c r="H366" i="3" s="1"/>
  <c r="O365" i="3"/>
  <c r="L365" i="3"/>
  <c r="N365" i="3" s="1"/>
  <c r="E367" i="3" l="1"/>
  <c r="H367" i="3" s="1"/>
  <c r="L366" i="3"/>
  <c r="N366" i="3" s="1"/>
  <c r="O366" i="3"/>
  <c r="E368" i="3" l="1"/>
  <c r="H368" i="3" s="1"/>
  <c r="L367" i="3"/>
  <c r="N367" i="3" s="1"/>
  <c r="O367" i="3"/>
  <c r="E369" i="3" l="1"/>
  <c r="H369" i="3" s="1"/>
  <c r="O368" i="3"/>
  <c r="L368" i="3"/>
  <c r="N368" i="3" s="1"/>
  <c r="E370" i="3" l="1"/>
  <c r="H370" i="3" s="1"/>
  <c r="O369" i="3"/>
  <c r="L369" i="3"/>
  <c r="N369" i="3" s="1"/>
  <c r="E371" i="3" l="1"/>
  <c r="H371" i="3" s="1"/>
  <c r="O370" i="3"/>
  <c r="L370" i="3"/>
  <c r="N370" i="3" s="1"/>
  <c r="E372" i="3" l="1"/>
  <c r="H372" i="3" s="1"/>
  <c r="L371" i="3"/>
  <c r="N371" i="3" s="1"/>
  <c r="O371" i="3"/>
  <c r="E373" i="3" l="1"/>
  <c r="H373" i="3" s="1"/>
  <c r="L372" i="3"/>
  <c r="N372" i="3" s="1"/>
  <c r="O372" i="3"/>
  <c r="E374" i="3" l="1"/>
  <c r="H374" i="3" s="1"/>
  <c r="O373" i="3"/>
  <c r="L373" i="3"/>
  <c r="N373" i="3" s="1"/>
  <c r="E375" i="3" l="1"/>
  <c r="H375" i="3" s="1"/>
  <c r="O374" i="3"/>
  <c r="L374" i="3"/>
  <c r="N374" i="3" s="1"/>
  <c r="E376" i="3" l="1"/>
  <c r="H376" i="3" s="1"/>
  <c r="O375" i="3"/>
  <c r="L375" i="3"/>
  <c r="N375" i="3" s="1"/>
  <c r="E377" i="3" l="1"/>
  <c r="H377" i="3" s="1"/>
  <c r="L376" i="3"/>
  <c r="N376" i="3" s="1"/>
  <c r="O376" i="3"/>
  <c r="E378" i="3" l="1"/>
  <c r="H378" i="3" s="1"/>
  <c r="L377" i="3"/>
  <c r="N377" i="3" s="1"/>
  <c r="O377" i="3"/>
  <c r="E379" i="3" l="1"/>
  <c r="H379" i="3" s="1"/>
  <c r="O378" i="3"/>
  <c r="L378" i="3"/>
  <c r="N378" i="3" s="1"/>
  <c r="E380" i="3" l="1"/>
  <c r="H380" i="3" s="1"/>
  <c r="O379" i="3"/>
  <c r="L379" i="3"/>
  <c r="N379" i="3" s="1"/>
  <c r="E381" i="3" l="1"/>
  <c r="H381" i="3" s="1"/>
  <c r="O380" i="3"/>
  <c r="L380" i="3"/>
  <c r="N380" i="3" s="1"/>
  <c r="E382" i="3" l="1"/>
  <c r="H382" i="3" s="1"/>
  <c r="O381" i="3"/>
  <c r="L381" i="3"/>
  <c r="N381" i="3" s="1"/>
  <c r="E383" i="3" l="1"/>
  <c r="H383" i="3" s="1"/>
  <c r="O382" i="3"/>
  <c r="L382" i="3"/>
  <c r="N382" i="3" s="1"/>
  <c r="E384" i="3" l="1"/>
  <c r="H384" i="3" s="1"/>
  <c r="O383" i="3"/>
  <c r="L383" i="3"/>
  <c r="N383" i="3" s="1"/>
  <c r="E385" i="3" l="1"/>
  <c r="H385" i="3" s="1"/>
  <c r="L384" i="3"/>
  <c r="N384" i="3" s="1"/>
  <c r="O384" i="3"/>
  <c r="E386" i="3" l="1"/>
  <c r="H386" i="3" s="1"/>
  <c r="O385" i="3"/>
  <c r="L385" i="3"/>
  <c r="N385" i="3" s="1"/>
  <c r="E387" i="3" l="1"/>
  <c r="H387" i="3" s="1"/>
  <c r="O386" i="3"/>
  <c r="L386" i="3"/>
  <c r="N386" i="3" s="1"/>
  <c r="E388" i="3" l="1"/>
  <c r="H388" i="3" s="1"/>
  <c r="L387" i="3"/>
  <c r="N387" i="3" s="1"/>
  <c r="O387" i="3"/>
  <c r="E389" i="3" l="1"/>
  <c r="H389" i="3" s="1"/>
  <c r="L388" i="3"/>
  <c r="N388" i="3" s="1"/>
  <c r="O388" i="3"/>
  <c r="E390" i="3" l="1"/>
  <c r="H390" i="3" s="1"/>
  <c r="L389" i="3"/>
  <c r="N389" i="3" s="1"/>
  <c r="O389" i="3"/>
  <c r="E391" i="3" l="1"/>
  <c r="H391" i="3" s="1"/>
  <c r="L390" i="3"/>
  <c r="N390" i="3" s="1"/>
  <c r="O390" i="3"/>
  <c r="E392" i="3" l="1"/>
  <c r="H392" i="3" s="1"/>
  <c r="L391" i="3"/>
  <c r="N391" i="3" s="1"/>
  <c r="O391" i="3"/>
  <c r="E393" i="3" l="1"/>
  <c r="H393" i="3" s="1"/>
  <c r="O392" i="3"/>
  <c r="L392" i="3"/>
  <c r="N392" i="3" s="1"/>
  <c r="E394" i="3" l="1"/>
  <c r="H394" i="3" s="1"/>
  <c r="O393" i="3"/>
  <c r="L393" i="3"/>
  <c r="N393" i="3" s="1"/>
  <c r="E395" i="3" l="1"/>
  <c r="H395" i="3" s="1"/>
  <c r="O394" i="3"/>
  <c r="L394" i="3"/>
  <c r="N394" i="3" s="1"/>
  <c r="E396" i="3" l="1"/>
  <c r="H396" i="3" s="1"/>
  <c r="O395" i="3"/>
  <c r="L395" i="3"/>
  <c r="N395" i="3" s="1"/>
  <c r="E397" i="3" l="1"/>
  <c r="H397" i="3" s="1"/>
  <c r="O396" i="3"/>
  <c r="L396" i="3"/>
  <c r="N396" i="3" s="1"/>
  <c r="E398" i="3" l="1"/>
  <c r="H398" i="3" s="1"/>
  <c r="O397" i="3"/>
  <c r="L397" i="3"/>
  <c r="N397" i="3" s="1"/>
  <c r="E399" i="3" l="1"/>
  <c r="H399" i="3" s="1"/>
  <c r="O398" i="3"/>
  <c r="L398" i="3"/>
  <c r="N398" i="3" s="1"/>
  <c r="E400" i="3" l="1"/>
  <c r="H400" i="3" s="1"/>
  <c r="O399" i="3"/>
  <c r="L399" i="3"/>
  <c r="N399" i="3" s="1"/>
  <c r="E401" i="3" l="1"/>
  <c r="H401" i="3" s="1"/>
  <c r="L400" i="3"/>
  <c r="N400" i="3" s="1"/>
  <c r="O400" i="3"/>
  <c r="E402" i="3" l="1"/>
  <c r="H402" i="3" s="1"/>
  <c r="L401" i="3"/>
  <c r="N401" i="3" s="1"/>
  <c r="O401" i="3"/>
  <c r="E403" i="3" l="1"/>
  <c r="H403" i="3" s="1"/>
  <c r="O402" i="3"/>
  <c r="L402" i="3"/>
  <c r="N402" i="3" s="1"/>
  <c r="E404" i="3" l="1"/>
  <c r="H404" i="3" s="1"/>
  <c r="O403" i="3"/>
  <c r="L403" i="3"/>
  <c r="N403" i="3" s="1"/>
  <c r="E405" i="3" l="1"/>
  <c r="H405" i="3" s="1"/>
  <c r="O404" i="3"/>
  <c r="L404" i="3"/>
  <c r="N404" i="3" s="1"/>
  <c r="E406" i="3" l="1"/>
  <c r="H406" i="3" s="1"/>
  <c r="L405" i="3"/>
  <c r="N405" i="3" s="1"/>
  <c r="O405" i="3"/>
  <c r="E407" i="3" l="1"/>
  <c r="H407" i="3" s="1"/>
  <c r="O406" i="3"/>
  <c r="L406" i="3"/>
  <c r="N406" i="3" s="1"/>
  <c r="E408" i="3" l="1"/>
  <c r="H408" i="3" s="1"/>
  <c r="O407" i="3"/>
  <c r="L407" i="3"/>
  <c r="N407" i="3" s="1"/>
  <c r="E409" i="3" l="1"/>
  <c r="H409" i="3" s="1"/>
  <c r="O408" i="3"/>
  <c r="L408" i="3"/>
  <c r="N408" i="3" s="1"/>
  <c r="E410" i="3" l="1"/>
  <c r="H410" i="3" s="1"/>
  <c r="O409" i="3"/>
  <c r="L409" i="3"/>
  <c r="N409" i="3" s="1"/>
  <c r="E411" i="3" l="1"/>
  <c r="H411" i="3" s="1"/>
  <c r="O410" i="3"/>
  <c r="L410" i="3"/>
  <c r="N410" i="3" s="1"/>
  <c r="E412" i="3" l="1"/>
  <c r="H412" i="3" s="1"/>
  <c r="O411" i="3"/>
  <c r="L411" i="3"/>
  <c r="N411" i="3" s="1"/>
  <c r="E413" i="3" l="1"/>
  <c r="H413" i="3" s="1"/>
  <c r="L412" i="3"/>
  <c r="N412" i="3" s="1"/>
  <c r="O412" i="3"/>
  <c r="E414" i="3" l="1"/>
  <c r="H414" i="3" s="1"/>
  <c r="O413" i="3"/>
  <c r="L413" i="3"/>
  <c r="N413" i="3" s="1"/>
  <c r="E415" i="3" l="1"/>
  <c r="H415" i="3" s="1"/>
  <c r="L414" i="3"/>
  <c r="N414" i="3" s="1"/>
  <c r="O414" i="3"/>
  <c r="E416" i="3" l="1"/>
  <c r="H416" i="3" s="1"/>
  <c r="L415" i="3"/>
  <c r="N415" i="3" s="1"/>
  <c r="O415" i="3"/>
  <c r="E417" i="3" l="1"/>
  <c r="H417" i="3" s="1"/>
  <c r="L416" i="3"/>
  <c r="N416" i="3" s="1"/>
  <c r="O416" i="3"/>
  <c r="E418" i="3" l="1"/>
  <c r="H418" i="3" s="1"/>
  <c r="O417" i="3"/>
  <c r="L417" i="3"/>
  <c r="N417" i="3" s="1"/>
  <c r="E419" i="3" l="1"/>
  <c r="H419" i="3" s="1"/>
  <c r="O418" i="3"/>
  <c r="L418" i="3"/>
  <c r="N418" i="3" s="1"/>
  <c r="E420" i="3" l="1"/>
  <c r="H420" i="3" s="1"/>
  <c r="O419" i="3"/>
  <c r="L419" i="3"/>
  <c r="N419" i="3" s="1"/>
  <c r="E421" i="3" l="1"/>
  <c r="H421" i="3" s="1"/>
  <c r="O420" i="3"/>
  <c r="L420" i="3"/>
  <c r="N420" i="3" s="1"/>
  <c r="E422" i="3" l="1"/>
  <c r="H422" i="3" s="1"/>
  <c r="O421" i="3"/>
  <c r="L421" i="3"/>
  <c r="N421" i="3" s="1"/>
  <c r="E423" i="3" l="1"/>
  <c r="H423" i="3" s="1"/>
  <c r="L422" i="3"/>
  <c r="N422" i="3" s="1"/>
  <c r="O422" i="3"/>
  <c r="E424" i="3" l="1"/>
  <c r="H424" i="3" s="1"/>
  <c r="L423" i="3"/>
  <c r="N423" i="3" s="1"/>
  <c r="O423" i="3"/>
  <c r="E425" i="3" l="1"/>
  <c r="H425" i="3" s="1"/>
  <c r="L424" i="3"/>
  <c r="N424" i="3" s="1"/>
  <c r="O424" i="3"/>
  <c r="E426" i="3" l="1"/>
  <c r="H426" i="3" s="1"/>
  <c r="O425" i="3"/>
  <c r="L425" i="3"/>
  <c r="N425" i="3" s="1"/>
  <c r="E427" i="3" l="1"/>
  <c r="H427" i="3" s="1"/>
  <c r="O426" i="3"/>
  <c r="L426" i="3"/>
  <c r="N426" i="3" s="1"/>
  <c r="E428" i="3" l="1"/>
  <c r="H428" i="3" s="1"/>
  <c r="L427" i="3"/>
  <c r="N427" i="3" s="1"/>
  <c r="O427" i="3"/>
  <c r="E429" i="3" l="1"/>
  <c r="H429" i="3" s="1"/>
  <c r="O428" i="3"/>
  <c r="L428" i="3"/>
  <c r="N428" i="3" s="1"/>
  <c r="E430" i="3" l="1"/>
  <c r="H430" i="3" s="1"/>
  <c r="L429" i="3"/>
  <c r="N429" i="3" s="1"/>
  <c r="O429" i="3"/>
  <c r="E431" i="3" l="1"/>
  <c r="H431" i="3" s="1"/>
  <c r="O430" i="3"/>
  <c r="L430" i="3"/>
  <c r="N430" i="3" s="1"/>
  <c r="E432" i="3" l="1"/>
  <c r="H432" i="3" s="1"/>
  <c r="O431" i="3"/>
  <c r="L431" i="3"/>
  <c r="N431" i="3" s="1"/>
  <c r="E433" i="3" l="1"/>
  <c r="H433" i="3" s="1"/>
  <c r="O432" i="3"/>
  <c r="L432" i="3"/>
  <c r="N432" i="3" s="1"/>
  <c r="E434" i="3" l="1"/>
  <c r="H434" i="3" s="1"/>
  <c r="O433" i="3"/>
  <c r="L433" i="3"/>
  <c r="N433" i="3" s="1"/>
  <c r="E435" i="3" l="1"/>
  <c r="H435" i="3" s="1"/>
  <c r="L434" i="3"/>
  <c r="N434" i="3" s="1"/>
  <c r="O434" i="3"/>
  <c r="E436" i="3" l="1"/>
  <c r="H436" i="3" s="1"/>
  <c r="O435" i="3"/>
  <c r="L435" i="3"/>
  <c r="N435" i="3" s="1"/>
  <c r="E437" i="3" l="1"/>
  <c r="H437" i="3" s="1"/>
  <c r="L436" i="3"/>
  <c r="N436" i="3" s="1"/>
  <c r="O436" i="3"/>
  <c r="E438" i="3" l="1"/>
  <c r="H438" i="3" s="1"/>
  <c r="L437" i="3"/>
  <c r="N437" i="3" s="1"/>
  <c r="O437" i="3"/>
  <c r="E439" i="3" l="1"/>
  <c r="H439" i="3" s="1"/>
  <c r="L438" i="3"/>
  <c r="N438" i="3" s="1"/>
  <c r="O438" i="3"/>
  <c r="E440" i="3" l="1"/>
  <c r="H440" i="3" s="1"/>
  <c r="O439" i="3"/>
  <c r="L439" i="3"/>
  <c r="N439" i="3" s="1"/>
  <c r="E441" i="3" l="1"/>
  <c r="H441" i="3" s="1"/>
  <c r="O440" i="3"/>
  <c r="L440" i="3"/>
  <c r="N440" i="3" s="1"/>
  <c r="E442" i="3" l="1"/>
  <c r="H442" i="3" s="1"/>
  <c r="O441" i="3"/>
  <c r="L441" i="3"/>
  <c r="N441" i="3" s="1"/>
  <c r="E443" i="3" l="1"/>
  <c r="H443" i="3" s="1"/>
  <c r="O442" i="3"/>
  <c r="L442" i="3"/>
  <c r="N442" i="3" s="1"/>
  <c r="E444" i="3" l="1"/>
  <c r="H444" i="3" s="1"/>
  <c r="L443" i="3"/>
  <c r="N443" i="3" s="1"/>
  <c r="O443" i="3"/>
  <c r="E445" i="3" l="1"/>
  <c r="H445" i="3" s="1"/>
  <c r="O444" i="3"/>
  <c r="L444" i="3"/>
  <c r="N444" i="3" s="1"/>
  <c r="E446" i="3" l="1"/>
  <c r="H446" i="3" s="1"/>
  <c r="O445" i="3"/>
  <c r="L445" i="3"/>
  <c r="N445" i="3" s="1"/>
  <c r="E447" i="3" l="1"/>
  <c r="H447" i="3" s="1"/>
  <c r="O446" i="3"/>
  <c r="L446" i="3"/>
  <c r="N446" i="3" s="1"/>
  <c r="E448" i="3" l="1"/>
  <c r="H448" i="3" s="1"/>
  <c r="L447" i="3"/>
  <c r="N447" i="3" s="1"/>
  <c r="O447" i="3"/>
  <c r="E449" i="3" l="1"/>
  <c r="H449" i="3" s="1"/>
  <c r="L448" i="3"/>
  <c r="N448" i="3" s="1"/>
  <c r="O448" i="3"/>
  <c r="E450" i="3" l="1"/>
  <c r="H450" i="3" s="1"/>
  <c r="O449" i="3"/>
  <c r="L449" i="3"/>
  <c r="N449" i="3" s="1"/>
  <c r="E451" i="3" l="1"/>
  <c r="H451" i="3" s="1"/>
  <c r="L450" i="3"/>
  <c r="N450" i="3" s="1"/>
  <c r="O450" i="3"/>
  <c r="E452" i="3" l="1"/>
  <c r="H452" i="3" s="1"/>
  <c r="L451" i="3"/>
  <c r="N451" i="3" s="1"/>
  <c r="O451" i="3"/>
  <c r="E453" i="3" l="1"/>
  <c r="H453" i="3" s="1"/>
  <c r="L452" i="3"/>
  <c r="N452" i="3" s="1"/>
  <c r="O452" i="3"/>
  <c r="E454" i="3" l="1"/>
  <c r="H454" i="3" s="1"/>
  <c r="O453" i="3"/>
  <c r="L453" i="3"/>
  <c r="N453" i="3" s="1"/>
  <c r="E455" i="3" l="1"/>
  <c r="H455" i="3" s="1"/>
  <c r="L454" i="3"/>
  <c r="N454" i="3" s="1"/>
  <c r="O454" i="3"/>
  <c r="E456" i="3" l="1"/>
  <c r="H456" i="3" s="1"/>
  <c r="O455" i="3"/>
  <c r="L455" i="3"/>
  <c r="N455" i="3" s="1"/>
  <c r="E457" i="3" l="1"/>
  <c r="H457" i="3" s="1"/>
  <c r="O456" i="3"/>
  <c r="L456" i="3"/>
  <c r="N456" i="3" s="1"/>
  <c r="E458" i="3" l="1"/>
  <c r="H458" i="3" s="1"/>
  <c r="L457" i="3"/>
  <c r="N457" i="3" s="1"/>
  <c r="O457" i="3"/>
  <c r="E459" i="3" l="1"/>
  <c r="H459" i="3" s="1"/>
  <c r="L458" i="3"/>
  <c r="N458" i="3" s="1"/>
  <c r="O458" i="3"/>
  <c r="E460" i="3" l="1"/>
  <c r="H460" i="3" s="1"/>
  <c r="L459" i="3"/>
  <c r="N459" i="3" s="1"/>
  <c r="O459" i="3"/>
  <c r="E461" i="3" l="1"/>
  <c r="H461" i="3" s="1"/>
  <c r="L460" i="3"/>
  <c r="N460" i="3" s="1"/>
  <c r="O460" i="3"/>
  <c r="E462" i="3" l="1"/>
  <c r="H462" i="3" s="1"/>
  <c r="O461" i="3"/>
  <c r="L461" i="3"/>
  <c r="N461" i="3" s="1"/>
  <c r="E463" i="3" l="1"/>
  <c r="H463" i="3" s="1"/>
  <c r="O462" i="3"/>
  <c r="L462" i="3"/>
  <c r="N462" i="3" s="1"/>
  <c r="E464" i="3" l="1"/>
  <c r="H464" i="3" s="1"/>
  <c r="O463" i="3"/>
  <c r="L463" i="3"/>
  <c r="N463" i="3" s="1"/>
  <c r="E465" i="3" l="1"/>
  <c r="H465" i="3" s="1"/>
  <c r="O464" i="3"/>
  <c r="L464" i="3"/>
  <c r="N464" i="3" s="1"/>
  <c r="E466" i="3" l="1"/>
  <c r="H466" i="3" s="1"/>
  <c r="O465" i="3"/>
  <c r="L465" i="3"/>
  <c r="N465" i="3" s="1"/>
  <c r="E467" i="3" l="1"/>
  <c r="H467" i="3" s="1"/>
  <c r="O466" i="3"/>
  <c r="L466" i="3"/>
  <c r="N466" i="3" s="1"/>
  <c r="E468" i="3" l="1"/>
  <c r="H468" i="3" s="1"/>
  <c r="O467" i="3"/>
  <c r="L467" i="3"/>
  <c r="N467" i="3" s="1"/>
  <c r="E469" i="3" l="1"/>
  <c r="H469" i="3" s="1"/>
  <c r="L468" i="3"/>
  <c r="N468" i="3" s="1"/>
  <c r="O468" i="3"/>
  <c r="E470" i="3" l="1"/>
  <c r="H470" i="3" s="1"/>
  <c r="L469" i="3"/>
  <c r="N469" i="3" s="1"/>
  <c r="O469" i="3"/>
  <c r="E471" i="3" l="1"/>
  <c r="H471" i="3" s="1"/>
  <c r="O470" i="3"/>
  <c r="L470" i="3"/>
  <c r="N470" i="3" s="1"/>
  <c r="E472" i="3" l="1"/>
  <c r="H472" i="3" s="1"/>
  <c r="L471" i="3"/>
  <c r="N471" i="3" s="1"/>
  <c r="O471" i="3"/>
  <c r="E473" i="3" l="1"/>
  <c r="H473" i="3" s="1"/>
  <c r="L472" i="3"/>
  <c r="N472" i="3" s="1"/>
  <c r="O472" i="3"/>
  <c r="E474" i="3" l="1"/>
  <c r="H474" i="3" s="1"/>
  <c r="O473" i="3"/>
  <c r="L473" i="3"/>
  <c r="N473" i="3" s="1"/>
  <c r="E475" i="3" l="1"/>
  <c r="H475" i="3" s="1"/>
  <c r="L474" i="3"/>
  <c r="N474" i="3" s="1"/>
  <c r="O474" i="3"/>
  <c r="E476" i="3" l="1"/>
  <c r="H476" i="3" s="1"/>
  <c r="L475" i="3"/>
  <c r="N475" i="3" s="1"/>
  <c r="O475" i="3"/>
  <c r="E477" i="3" l="1"/>
  <c r="H477" i="3" s="1"/>
  <c r="L476" i="3"/>
  <c r="N476" i="3" s="1"/>
  <c r="O476" i="3"/>
  <c r="E478" i="3" l="1"/>
  <c r="H478" i="3" s="1"/>
  <c r="L477" i="3"/>
  <c r="N477" i="3" s="1"/>
  <c r="O477" i="3"/>
  <c r="E479" i="3" l="1"/>
  <c r="H479" i="3" s="1"/>
  <c r="O478" i="3"/>
  <c r="L478" i="3"/>
  <c r="N478" i="3" s="1"/>
  <c r="E480" i="3" l="1"/>
  <c r="H480" i="3" s="1"/>
  <c r="O479" i="3"/>
  <c r="L479" i="3"/>
  <c r="N479" i="3" s="1"/>
  <c r="E481" i="3" l="1"/>
  <c r="H481" i="3" s="1"/>
  <c r="O480" i="3"/>
  <c r="L480" i="3"/>
  <c r="N480" i="3" s="1"/>
  <c r="E482" i="3" l="1"/>
  <c r="H482" i="3" s="1"/>
  <c r="O481" i="3"/>
  <c r="L481" i="3"/>
  <c r="N481" i="3" s="1"/>
  <c r="E483" i="3" l="1"/>
  <c r="H483" i="3" s="1"/>
  <c r="L482" i="3"/>
  <c r="N482" i="3" s="1"/>
  <c r="O482" i="3"/>
  <c r="E484" i="3" l="1"/>
  <c r="H484" i="3" s="1"/>
  <c r="L483" i="3"/>
  <c r="N483" i="3" s="1"/>
  <c r="O483" i="3"/>
  <c r="E485" i="3" l="1"/>
  <c r="H485" i="3" s="1"/>
  <c r="L484" i="3"/>
  <c r="N484" i="3" s="1"/>
  <c r="O484" i="3"/>
  <c r="E486" i="3" l="1"/>
  <c r="H486" i="3" s="1"/>
  <c r="O485" i="3"/>
  <c r="L485" i="3"/>
  <c r="N485" i="3" s="1"/>
  <c r="E487" i="3" l="1"/>
  <c r="H487" i="3" s="1"/>
  <c r="L486" i="3"/>
  <c r="N486" i="3" s="1"/>
  <c r="O486" i="3"/>
  <c r="E488" i="3" l="1"/>
  <c r="H488" i="3" s="1"/>
  <c r="O487" i="3"/>
  <c r="L487" i="3"/>
  <c r="N487" i="3" s="1"/>
  <c r="E489" i="3" l="1"/>
  <c r="H489" i="3" s="1"/>
  <c r="L488" i="3"/>
  <c r="N488" i="3" s="1"/>
  <c r="O488" i="3"/>
  <c r="E490" i="3" l="1"/>
  <c r="H490" i="3" s="1"/>
  <c r="L489" i="3"/>
  <c r="N489" i="3" s="1"/>
  <c r="O489" i="3"/>
  <c r="E491" i="3" l="1"/>
  <c r="H491" i="3" s="1"/>
  <c r="L490" i="3"/>
  <c r="N490" i="3" s="1"/>
  <c r="O490" i="3"/>
  <c r="E492" i="3" l="1"/>
  <c r="H492" i="3" s="1"/>
  <c r="O491" i="3"/>
  <c r="L491" i="3"/>
  <c r="N491" i="3" s="1"/>
  <c r="E493" i="3" l="1"/>
  <c r="H493" i="3" s="1"/>
  <c r="O492" i="3"/>
  <c r="L492" i="3"/>
  <c r="N492" i="3" s="1"/>
  <c r="E494" i="3" l="1"/>
  <c r="H494" i="3" s="1"/>
  <c r="L493" i="3"/>
  <c r="N493" i="3" s="1"/>
  <c r="O493" i="3"/>
  <c r="E495" i="3" l="1"/>
  <c r="H495" i="3" s="1"/>
  <c r="O494" i="3"/>
  <c r="L494" i="3"/>
  <c r="N494" i="3" s="1"/>
  <c r="E496" i="3" l="1"/>
  <c r="H496" i="3" s="1"/>
  <c r="O495" i="3"/>
  <c r="L495" i="3"/>
  <c r="N495" i="3" s="1"/>
  <c r="E497" i="3" l="1"/>
  <c r="H497" i="3" s="1"/>
  <c r="L496" i="3"/>
  <c r="N496" i="3" s="1"/>
  <c r="O496" i="3"/>
  <c r="E498" i="3" l="1"/>
  <c r="H498" i="3" s="1"/>
  <c r="O497" i="3"/>
  <c r="L497" i="3"/>
  <c r="N497" i="3" s="1"/>
  <c r="E499" i="3" l="1"/>
  <c r="H499" i="3" s="1"/>
  <c r="L498" i="3"/>
  <c r="N498" i="3" s="1"/>
  <c r="O498" i="3"/>
  <c r="E500" i="3" l="1"/>
  <c r="H500" i="3" s="1"/>
  <c r="O499" i="3"/>
  <c r="L499" i="3"/>
  <c r="N499" i="3" s="1"/>
  <c r="E501" i="3" l="1"/>
  <c r="H501" i="3" s="1"/>
  <c r="L500" i="3"/>
  <c r="N500" i="3" s="1"/>
  <c r="O500" i="3"/>
  <c r="E502" i="3" l="1"/>
  <c r="H502" i="3" s="1"/>
  <c r="O501" i="3"/>
  <c r="L501" i="3"/>
  <c r="N501" i="3" s="1"/>
  <c r="E503" i="3" l="1"/>
  <c r="H503" i="3" s="1"/>
  <c r="O502" i="3"/>
  <c r="L502" i="3"/>
  <c r="N502" i="3" s="1"/>
  <c r="E504" i="3" l="1"/>
  <c r="H504" i="3" s="1"/>
  <c r="O503" i="3"/>
  <c r="L503" i="3"/>
  <c r="N503" i="3" s="1"/>
  <c r="E505" i="3" l="1"/>
  <c r="H505" i="3" s="1"/>
  <c r="O504" i="3"/>
  <c r="L504" i="3"/>
  <c r="N504" i="3" s="1"/>
  <c r="E506" i="3" l="1"/>
  <c r="H506" i="3" s="1"/>
  <c r="O505" i="3"/>
  <c r="L505" i="3"/>
  <c r="N505" i="3" s="1"/>
  <c r="E507" i="3" l="1"/>
  <c r="H507" i="3" s="1"/>
  <c r="O506" i="3"/>
  <c r="L506" i="3"/>
  <c r="N506" i="3" s="1"/>
  <c r="E508" i="3" l="1"/>
  <c r="H508" i="3" s="1"/>
  <c r="O507" i="3"/>
  <c r="L507" i="3"/>
  <c r="N507" i="3" s="1"/>
  <c r="E509" i="3" l="1"/>
  <c r="H509" i="3" s="1"/>
  <c r="L508" i="3"/>
  <c r="N508" i="3" s="1"/>
  <c r="O508" i="3"/>
  <c r="E510" i="3" l="1"/>
  <c r="H510" i="3" s="1"/>
  <c r="O509" i="3"/>
  <c r="L509" i="3"/>
  <c r="N509" i="3" s="1"/>
  <c r="E511" i="3" l="1"/>
  <c r="H511" i="3" s="1"/>
  <c r="O510" i="3"/>
  <c r="L510" i="3"/>
  <c r="N510" i="3" s="1"/>
  <c r="E512" i="3" l="1"/>
  <c r="H512" i="3" s="1"/>
  <c r="O511" i="3"/>
  <c r="L511" i="3"/>
  <c r="N511" i="3" s="1"/>
  <c r="E513" i="3" l="1"/>
  <c r="H513" i="3" s="1"/>
  <c r="O512" i="3"/>
  <c r="L512" i="3"/>
  <c r="N512" i="3" s="1"/>
  <c r="E514" i="3" l="1"/>
  <c r="H514" i="3" s="1"/>
  <c r="O513" i="3"/>
  <c r="L513" i="3"/>
  <c r="N513" i="3" s="1"/>
  <c r="E515" i="3" l="1"/>
  <c r="H515" i="3" s="1"/>
  <c r="O514" i="3"/>
  <c r="L514" i="3"/>
  <c r="N514" i="3" s="1"/>
  <c r="E516" i="3" l="1"/>
  <c r="H516" i="3" s="1"/>
  <c r="L515" i="3"/>
  <c r="N515" i="3" s="1"/>
  <c r="O515" i="3"/>
  <c r="E517" i="3" l="1"/>
  <c r="H517" i="3" s="1"/>
  <c r="L516" i="3"/>
  <c r="N516" i="3" s="1"/>
  <c r="O516" i="3"/>
  <c r="E518" i="3" l="1"/>
  <c r="H518" i="3" s="1"/>
  <c r="L517" i="3"/>
  <c r="N517" i="3" s="1"/>
  <c r="O517" i="3"/>
  <c r="E519" i="3" l="1"/>
  <c r="H519" i="3" s="1"/>
  <c r="O518" i="3"/>
  <c r="L518" i="3"/>
  <c r="N518" i="3" s="1"/>
  <c r="E520" i="3" l="1"/>
  <c r="H520" i="3" s="1"/>
  <c r="L519" i="3"/>
  <c r="N519" i="3" s="1"/>
  <c r="O519" i="3"/>
  <c r="E521" i="3" l="1"/>
  <c r="H521" i="3" s="1"/>
  <c r="L520" i="3"/>
  <c r="N520" i="3" s="1"/>
  <c r="O520" i="3"/>
  <c r="E522" i="3" l="1"/>
  <c r="H522" i="3" s="1"/>
  <c r="O521" i="3"/>
  <c r="L521" i="3"/>
  <c r="N521" i="3" s="1"/>
  <c r="E523" i="3" l="1"/>
  <c r="H523" i="3" s="1"/>
  <c r="O522" i="3"/>
  <c r="L522" i="3"/>
  <c r="N522" i="3" s="1"/>
  <c r="E524" i="3" l="1"/>
  <c r="H524" i="3" s="1"/>
  <c r="O523" i="3"/>
  <c r="L523" i="3"/>
  <c r="N523" i="3" s="1"/>
  <c r="E525" i="3" l="1"/>
  <c r="H525" i="3" s="1"/>
  <c r="O524" i="3"/>
  <c r="L524" i="3"/>
  <c r="N524" i="3" s="1"/>
  <c r="E526" i="3" l="1"/>
  <c r="H526" i="3" s="1"/>
  <c r="O525" i="3"/>
  <c r="L525" i="3"/>
  <c r="N525" i="3" s="1"/>
  <c r="E527" i="3" l="1"/>
  <c r="H527" i="3" s="1"/>
  <c r="O526" i="3"/>
  <c r="L526" i="3"/>
  <c r="N526" i="3" s="1"/>
  <c r="E528" i="3" l="1"/>
  <c r="H528" i="3" s="1"/>
  <c r="O527" i="3"/>
  <c r="L527" i="3"/>
  <c r="N527" i="3" s="1"/>
  <c r="E529" i="3" l="1"/>
  <c r="H529" i="3" s="1"/>
  <c r="L528" i="3"/>
  <c r="N528" i="3" s="1"/>
  <c r="O528" i="3"/>
  <c r="E530" i="3" l="1"/>
  <c r="H530" i="3" s="1"/>
  <c r="L529" i="3"/>
  <c r="N529" i="3" s="1"/>
  <c r="O529" i="3"/>
  <c r="E531" i="3" l="1"/>
  <c r="H531" i="3" s="1"/>
  <c r="L530" i="3"/>
  <c r="N530" i="3" s="1"/>
  <c r="O530" i="3"/>
  <c r="E532" i="3" l="1"/>
  <c r="H532" i="3" s="1"/>
  <c r="O531" i="3"/>
  <c r="L531" i="3"/>
  <c r="N531" i="3" s="1"/>
  <c r="E533" i="3" l="1"/>
  <c r="H533" i="3" s="1"/>
  <c r="L532" i="3"/>
  <c r="N532" i="3" s="1"/>
  <c r="O532" i="3"/>
  <c r="E534" i="3" l="1"/>
  <c r="H534" i="3" s="1"/>
  <c r="O533" i="3"/>
  <c r="L533" i="3"/>
  <c r="N533" i="3" s="1"/>
  <c r="E535" i="3" l="1"/>
  <c r="H535" i="3" s="1"/>
  <c r="O534" i="3"/>
  <c r="L534" i="3"/>
  <c r="N534" i="3" s="1"/>
  <c r="E536" i="3" l="1"/>
  <c r="H536" i="3" s="1"/>
  <c r="L535" i="3"/>
  <c r="N535" i="3" s="1"/>
  <c r="O535" i="3"/>
  <c r="E537" i="3" l="1"/>
  <c r="H537" i="3" s="1"/>
  <c r="L536" i="3"/>
  <c r="N536" i="3" s="1"/>
  <c r="O536" i="3"/>
  <c r="E538" i="3" l="1"/>
  <c r="H538" i="3" s="1"/>
  <c r="O537" i="3"/>
  <c r="L537" i="3"/>
  <c r="N537" i="3" s="1"/>
  <c r="E539" i="3" l="1"/>
  <c r="H539" i="3" s="1"/>
  <c r="L538" i="3"/>
  <c r="N538" i="3" s="1"/>
  <c r="O538" i="3"/>
  <c r="E540" i="3" l="1"/>
  <c r="H540" i="3" s="1"/>
  <c r="O539" i="3"/>
  <c r="L539" i="3"/>
  <c r="N539" i="3" s="1"/>
  <c r="E541" i="3" l="1"/>
  <c r="H541" i="3" s="1"/>
  <c r="O540" i="3"/>
  <c r="L540" i="3"/>
  <c r="N540" i="3" s="1"/>
  <c r="E542" i="3" l="1"/>
  <c r="H542" i="3" s="1"/>
  <c r="O541" i="3"/>
  <c r="L541" i="3"/>
  <c r="N541" i="3" s="1"/>
  <c r="E543" i="3" l="1"/>
  <c r="H543" i="3" s="1"/>
  <c r="L542" i="3"/>
  <c r="N542" i="3" s="1"/>
  <c r="O542" i="3"/>
  <c r="E544" i="3" l="1"/>
  <c r="H544" i="3" s="1"/>
  <c r="O543" i="3"/>
  <c r="L543" i="3"/>
  <c r="N543" i="3" s="1"/>
  <c r="E545" i="3" l="1"/>
  <c r="H545" i="3" s="1"/>
  <c r="L544" i="3"/>
  <c r="N544" i="3" s="1"/>
  <c r="O544" i="3"/>
  <c r="E546" i="3" l="1"/>
  <c r="H546" i="3" s="1"/>
  <c r="O545" i="3"/>
  <c r="L545" i="3"/>
  <c r="N545" i="3" s="1"/>
  <c r="E547" i="3" l="1"/>
  <c r="H547" i="3" s="1"/>
  <c r="L546" i="3"/>
  <c r="N546" i="3" s="1"/>
  <c r="O546" i="3"/>
  <c r="E548" i="3" l="1"/>
  <c r="H548" i="3" s="1"/>
  <c r="O547" i="3"/>
  <c r="L547" i="3"/>
  <c r="N547" i="3" s="1"/>
  <c r="E549" i="3" l="1"/>
  <c r="H549" i="3" s="1"/>
  <c r="L548" i="3"/>
  <c r="N548" i="3" s="1"/>
  <c r="O548" i="3"/>
  <c r="E550" i="3" l="1"/>
  <c r="H550" i="3" s="1"/>
  <c r="O549" i="3"/>
  <c r="L549" i="3"/>
  <c r="N549" i="3" s="1"/>
  <c r="E551" i="3" l="1"/>
  <c r="H551" i="3" s="1"/>
  <c r="O550" i="3"/>
  <c r="L550" i="3"/>
  <c r="N550" i="3" s="1"/>
  <c r="E552" i="3" l="1"/>
  <c r="H552" i="3" s="1"/>
  <c r="O551" i="3"/>
  <c r="L551" i="3"/>
  <c r="N551" i="3" s="1"/>
  <c r="E553" i="3" l="1"/>
  <c r="H553" i="3" s="1"/>
  <c r="L552" i="3"/>
  <c r="N552" i="3" s="1"/>
  <c r="O552" i="3"/>
  <c r="E554" i="3" l="1"/>
  <c r="H554" i="3" s="1"/>
  <c r="L553" i="3"/>
  <c r="N553" i="3" s="1"/>
  <c r="O553" i="3"/>
  <c r="E555" i="3" l="1"/>
  <c r="H555" i="3" s="1"/>
  <c r="L554" i="3"/>
  <c r="N554" i="3" s="1"/>
  <c r="O554" i="3"/>
  <c r="E556" i="3" l="1"/>
  <c r="H556" i="3" s="1"/>
  <c r="O555" i="3"/>
  <c r="L555" i="3"/>
  <c r="N555" i="3" s="1"/>
  <c r="E557" i="3" l="1"/>
  <c r="H557" i="3" s="1"/>
  <c r="L556" i="3"/>
  <c r="N556" i="3" s="1"/>
  <c r="O556" i="3"/>
  <c r="E558" i="3" l="1"/>
  <c r="H558" i="3" s="1"/>
  <c r="O557" i="3"/>
  <c r="L557" i="3"/>
  <c r="N557" i="3" s="1"/>
  <c r="E559" i="3" l="1"/>
  <c r="H559" i="3" s="1"/>
  <c r="L558" i="3"/>
  <c r="N558" i="3" s="1"/>
  <c r="O558" i="3"/>
  <c r="E560" i="3" l="1"/>
  <c r="H560" i="3" s="1"/>
  <c r="O559" i="3"/>
  <c r="L559" i="3"/>
  <c r="N559" i="3" s="1"/>
  <c r="E561" i="3" l="1"/>
  <c r="H561" i="3" s="1"/>
  <c r="O560" i="3"/>
  <c r="L560" i="3"/>
  <c r="N560" i="3" s="1"/>
  <c r="E562" i="3" l="1"/>
  <c r="H562" i="3" s="1"/>
  <c r="O561" i="3"/>
  <c r="L561" i="3"/>
  <c r="N561" i="3" s="1"/>
  <c r="E563" i="3" l="1"/>
  <c r="H563" i="3" s="1"/>
  <c r="O562" i="3"/>
  <c r="L562" i="3"/>
  <c r="N562" i="3" s="1"/>
  <c r="E564" i="3" l="1"/>
  <c r="H564" i="3" s="1"/>
  <c r="L563" i="3"/>
  <c r="N563" i="3" s="1"/>
  <c r="O563" i="3"/>
  <c r="E565" i="3" l="1"/>
  <c r="H565" i="3" s="1"/>
  <c r="O564" i="3"/>
  <c r="L564" i="3"/>
  <c r="N564" i="3" s="1"/>
  <c r="E566" i="3" l="1"/>
  <c r="H566" i="3" s="1"/>
  <c r="O565" i="3"/>
  <c r="L565" i="3"/>
  <c r="N565" i="3" s="1"/>
  <c r="E567" i="3" l="1"/>
  <c r="H567" i="3" s="1"/>
  <c r="O566" i="3"/>
  <c r="L566" i="3"/>
  <c r="N566" i="3" s="1"/>
  <c r="E568" i="3" l="1"/>
  <c r="H568" i="3" s="1"/>
  <c r="O567" i="3"/>
  <c r="L567" i="3"/>
  <c r="N567" i="3" s="1"/>
  <c r="E569" i="3" l="1"/>
  <c r="H569" i="3" s="1"/>
  <c r="L568" i="3"/>
  <c r="N568" i="3" s="1"/>
  <c r="O568" i="3"/>
  <c r="E570" i="3" l="1"/>
  <c r="H570" i="3" s="1"/>
  <c r="O569" i="3"/>
  <c r="L569" i="3"/>
  <c r="N569" i="3" s="1"/>
  <c r="E571" i="3" l="1"/>
  <c r="H571" i="3" s="1"/>
  <c r="O570" i="3"/>
  <c r="L570" i="3"/>
  <c r="N570" i="3" s="1"/>
  <c r="E572" i="3" l="1"/>
  <c r="H572" i="3" s="1"/>
  <c r="L571" i="3"/>
  <c r="N571" i="3" s="1"/>
  <c r="O571" i="3"/>
  <c r="E573" i="3" l="1"/>
  <c r="H573" i="3" s="1"/>
  <c r="L572" i="3"/>
  <c r="N572" i="3" s="1"/>
  <c r="O572" i="3"/>
  <c r="E574" i="3" l="1"/>
  <c r="H574" i="3" s="1"/>
  <c r="O573" i="3"/>
  <c r="L573" i="3"/>
  <c r="N573" i="3" s="1"/>
  <c r="E575" i="3" l="1"/>
  <c r="H575" i="3" s="1"/>
  <c r="O574" i="3"/>
  <c r="L574" i="3"/>
  <c r="N574" i="3" s="1"/>
  <c r="E576" i="3" l="1"/>
  <c r="H576" i="3" s="1"/>
  <c r="L575" i="3"/>
  <c r="N575" i="3" s="1"/>
  <c r="O575" i="3"/>
  <c r="E577" i="3" l="1"/>
  <c r="H577" i="3" s="1"/>
  <c r="O576" i="3"/>
  <c r="L576" i="3"/>
  <c r="N576" i="3" s="1"/>
  <c r="E578" i="3" l="1"/>
  <c r="H578" i="3" s="1"/>
  <c r="L577" i="3"/>
  <c r="N577" i="3" s="1"/>
  <c r="O577" i="3"/>
  <c r="E579" i="3" l="1"/>
  <c r="H579" i="3" s="1"/>
  <c r="O578" i="3"/>
  <c r="L578" i="3"/>
  <c r="N578" i="3" s="1"/>
  <c r="E580" i="3" l="1"/>
  <c r="H580" i="3" s="1"/>
  <c r="O579" i="3"/>
  <c r="L579" i="3"/>
  <c r="N579" i="3" s="1"/>
  <c r="E581" i="3" l="1"/>
  <c r="H581" i="3" s="1"/>
  <c r="L580" i="3"/>
  <c r="N580" i="3" s="1"/>
  <c r="O580" i="3"/>
  <c r="E582" i="3" l="1"/>
  <c r="H582" i="3" s="1"/>
  <c r="L581" i="3"/>
  <c r="N581" i="3" s="1"/>
  <c r="O581" i="3"/>
  <c r="E583" i="3" l="1"/>
  <c r="H583" i="3" s="1"/>
  <c r="O582" i="3"/>
  <c r="L582" i="3"/>
  <c r="N582" i="3" s="1"/>
  <c r="E584" i="3" l="1"/>
  <c r="H584" i="3" s="1"/>
  <c r="O583" i="3"/>
  <c r="L583" i="3"/>
  <c r="N583" i="3" s="1"/>
  <c r="E585" i="3" l="1"/>
  <c r="H585" i="3" s="1"/>
  <c r="O584" i="3"/>
  <c r="L584" i="3"/>
  <c r="N584" i="3" s="1"/>
  <c r="E586" i="3" l="1"/>
  <c r="H586" i="3" s="1"/>
  <c r="O585" i="3"/>
  <c r="L585" i="3"/>
  <c r="N585" i="3" s="1"/>
  <c r="E587" i="3" l="1"/>
  <c r="H587" i="3" s="1"/>
  <c r="L586" i="3"/>
  <c r="N586" i="3" s="1"/>
  <c r="O586" i="3"/>
  <c r="E588" i="3" l="1"/>
  <c r="H588" i="3" s="1"/>
  <c r="O587" i="3"/>
  <c r="L587" i="3"/>
  <c r="N587" i="3" s="1"/>
  <c r="E589" i="3" l="1"/>
  <c r="H589" i="3" s="1"/>
  <c r="O588" i="3"/>
  <c r="L588" i="3"/>
  <c r="N588" i="3" s="1"/>
  <c r="E590" i="3" l="1"/>
  <c r="H590" i="3" s="1"/>
  <c r="L589" i="3"/>
  <c r="N589" i="3" s="1"/>
  <c r="O589" i="3"/>
  <c r="E591" i="3" l="1"/>
  <c r="H591" i="3" s="1"/>
  <c r="O590" i="3"/>
  <c r="L590" i="3"/>
  <c r="N590" i="3" s="1"/>
  <c r="E592" i="3" l="1"/>
  <c r="H592" i="3" s="1"/>
  <c r="O591" i="3"/>
  <c r="L591" i="3"/>
  <c r="N591" i="3" s="1"/>
  <c r="E593" i="3" l="1"/>
  <c r="H593" i="3" s="1"/>
  <c r="L592" i="3"/>
  <c r="N592" i="3" s="1"/>
  <c r="O592" i="3"/>
  <c r="E594" i="3" l="1"/>
  <c r="H594" i="3" s="1"/>
  <c r="O593" i="3"/>
  <c r="L593" i="3"/>
  <c r="N593" i="3" s="1"/>
  <c r="E595" i="3" l="1"/>
  <c r="H595" i="3" s="1"/>
  <c r="L594" i="3"/>
  <c r="N594" i="3" s="1"/>
  <c r="O594" i="3"/>
  <c r="E596" i="3" l="1"/>
  <c r="H596" i="3" s="1"/>
  <c r="O595" i="3"/>
  <c r="L595" i="3"/>
  <c r="N595" i="3" s="1"/>
  <c r="E597" i="3" l="1"/>
  <c r="H597" i="3" s="1"/>
  <c r="O596" i="3"/>
  <c r="L596" i="3"/>
  <c r="N596" i="3" s="1"/>
  <c r="E598" i="3" l="1"/>
  <c r="H598" i="3" s="1"/>
  <c r="O597" i="3"/>
  <c r="L597" i="3"/>
  <c r="N597" i="3" s="1"/>
  <c r="E599" i="3" l="1"/>
  <c r="H599" i="3" s="1"/>
  <c r="L598" i="3"/>
  <c r="N598" i="3" s="1"/>
  <c r="O598" i="3"/>
  <c r="E600" i="3" l="1"/>
  <c r="H600" i="3" s="1"/>
  <c r="O599" i="3"/>
  <c r="L599" i="3"/>
  <c r="N599" i="3" s="1"/>
  <c r="E601" i="3" l="1"/>
  <c r="H601" i="3" s="1"/>
  <c r="O600" i="3"/>
  <c r="L600" i="3"/>
  <c r="N600" i="3" s="1"/>
  <c r="E602" i="3" l="1"/>
  <c r="H602" i="3" s="1"/>
  <c r="L601" i="3"/>
  <c r="N601" i="3" s="1"/>
  <c r="O601" i="3"/>
  <c r="E603" i="3" l="1"/>
  <c r="H603" i="3" s="1"/>
  <c r="O602" i="3"/>
  <c r="L602" i="3"/>
  <c r="N602" i="3" s="1"/>
  <c r="E604" i="3" l="1"/>
  <c r="H604" i="3" s="1"/>
  <c r="O603" i="3"/>
  <c r="L603" i="3"/>
  <c r="N603" i="3" s="1"/>
  <c r="E605" i="3" l="1"/>
  <c r="H605" i="3" s="1"/>
  <c r="L604" i="3"/>
  <c r="N604" i="3" s="1"/>
  <c r="O604" i="3"/>
  <c r="E606" i="3" l="1"/>
  <c r="H606" i="3" s="1"/>
  <c r="O605" i="3"/>
  <c r="L605" i="3"/>
  <c r="N605" i="3" s="1"/>
  <c r="E607" i="3" l="1"/>
  <c r="H607" i="3" s="1"/>
  <c r="O606" i="3"/>
  <c r="L606" i="3"/>
  <c r="N606" i="3" s="1"/>
  <c r="E608" i="3" l="1"/>
  <c r="H608" i="3" s="1"/>
  <c r="L607" i="3"/>
  <c r="N607" i="3" s="1"/>
  <c r="O607" i="3"/>
  <c r="E609" i="3" l="1"/>
  <c r="H609" i="3" s="1"/>
  <c r="O608" i="3"/>
  <c r="L608" i="3"/>
  <c r="N608" i="3" s="1"/>
  <c r="E610" i="3" l="1"/>
  <c r="H610" i="3" s="1"/>
  <c r="O609" i="3"/>
  <c r="L609" i="3"/>
  <c r="N609" i="3" s="1"/>
  <c r="E611" i="3" l="1"/>
  <c r="H611" i="3" s="1"/>
  <c r="L610" i="3"/>
  <c r="N610" i="3" s="1"/>
  <c r="O610" i="3"/>
  <c r="E612" i="3" l="1"/>
  <c r="H612" i="3" s="1"/>
  <c r="L611" i="3"/>
  <c r="N611" i="3" s="1"/>
  <c r="O611" i="3"/>
  <c r="E613" i="3" l="1"/>
  <c r="H613" i="3" s="1"/>
  <c r="L612" i="3"/>
  <c r="N612" i="3" s="1"/>
  <c r="O612" i="3"/>
  <c r="E614" i="3" l="1"/>
  <c r="H614" i="3" s="1"/>
  <c r="L613" i="3"/>
  <c r="N613" i="3" s="1"/>
  <c r="O613" i="3"/>
  <c r="E615" i="3" l="1"/>
  <c r="H615" i="3" s="1"/>
  <c r="L614" i="3"/>
  <c r="N614" i="3" s="1"/>
  <c r="O614" i="3"/>
  <c r="E616" i="3" l="1"/>
  <c r="H616" i="3" s="1"/>
  <c r="O615" i="3"/>
  <c r="L615" i="3"/>
  <c r="N615" i="3" s="1"/>
  <c r="E617" i="3" l="1"/>
  <c r="H617" i="3" s="1"/>
  <c r="L616" i="3"/>
  <c r="N616" i="3" s="1"/>
  <c r="O616" i="3"/>
  <c r="E618" i="3" l="1"/>
  <c r="H618" i="3" s="1"/>
  <c r="L617" i="3"/>
  <c r="N617" i="3" s="1"/>
  <c r="O617" i="3"/>
  <c r="E619" i="3" l="1"/>
  <c r="H619" i="3" s="1"/>
  <c r="L618" i="3"/>
  <c r="N618" i="3" s="1"/>
  <c r="O618" i="3"/>
  <c r="E620" i="3" l="1"/>
  <c r="H620" i="3" s="1"/>
  <c r="O619" i="3"/>
  <c r="L619" i="3"/>
  <c r="N619" i="3" s="1"/>
  <c r="E621" i="3" l="1"/>
  <c r="H621" i="3" s="1"/>
  <c r="O620" i="3"/>
  <c r="L620" i="3"/>
  <c r="N620" i="3" s="1"/>
  <c r="E622" i="3" l="1"/>
  <c r="H622" i="3" s="1"/>
  <c r="O621" i="3"/>
  <c r="L621" i="3"/>
  <c r="N621" i="3" s="1"/>
  <c r="E623" i="3" l="1"/>
  <c r="H623" i="3" s="1"/>
  <c r="L622" i="3"/>
  <c r="N622" i="3" s="1"/>
  <c r="O622" i="3"/>
  <c r="E624" i="3" l="1"/>
  <c r="H624" i="3" s="1"/>
  <c r="O623" i="3"/>
  <c r="L623" i="3"/>
  <c r="N623" i="3" s="1"/>
  <c r="E625" i="3" l="1"/>
  <c r="H625" i="3" s="1"/>
  <c r="O624" i="3"/>
  <c r="L624" i="3"/>
  <c r="N624" i="3" s="1"/>
  <c r="E626" i="3" l="1"/>
  <c r="H626" i="3" s="1"/>
  <c r="O625" i="3"/>
  <c r="L625" i="3"/>
  <c r="N625" i="3" s="1"/>
  <c r="E627" i="3" l="1"/>
  <c r="H627" i="3" s="1"/>
  <c r="O626" i="3"/>
  <c r="L626" i="3"/>
  <c r="N626" i="3" s="1"/>
  <c r="E628" i="3" l="1"/>
  <c r="H628" i="3" s="1"/>
  <c r="O627" i="3"/>
  <c r="L627" i="3"/>
  <c r="N627" i="3" s="1"/>
  <c r="E629" i="3" l="1"/>
  <c r="H629" i="3" s="1"/>
  <c r="L628" i="3"/>
  <c r="N628" i="3" s="1"/>
  <c r="O628" i="3"/>
  <c r="E630" i="3" l="1"/>
  <c r="H630" i="3" s="1"/>
  <c r="L629" i="3"/>
  <c r="N629" i="3" s="1"/>
  <c r="O629" i="3"/>
  <c r="E631" i="3" l="1"/>
  <c r="H631" i="3" s="1"/>
  <c r="O630" i="3"/>
  <c r="L630" i="3"/>
  <c r="N630" i="3" s="1"/>
  <c r="E632" i="3" l="1"/>
  <c r="H632" i="3" s="1"/>
  <c r="O631" i="3"/>
  <c r="L631" i="3"/>
  <c r="N631" i="3" s="1"/>
  <c r="E633" i="3" l="1"/>
  <c r="H633" i="3" s="1"/>
  <c r="O632" i="3"/>
  <c r="L632" i="3"/>
  <c r="N632" i="3" s="1"/>
  <c r="E634" i="3" l="1"/>
  <c r="H634" i="3" s="1"/>
  <c r="O633" i="3"/>
  <c r="L633" i="3"/>
  <c r="N633" i="3" s="1"/>
  <c r="E635" i="3" l="1"/>
  <c r="H635" i="3" s="1"/>
  <c r="O634" i="3"/>
  <c r="L634" i="3"/>
  <c r="N634" i="3" s="1"/>
  <c r="E636" i="3" l="1"/>
  <c r="H636" i="3" s="1"/>
  <c r="L635" i="3"/>
  <c r="N635" i="3" s="1"/>
  <c r="O635" i="3"/>
  <c r="E637" i="3" l="1"/>
  <c r="H637" i="3" s="1"/>
  <c r="L636" i="3"/>
  <c r="N636" i="3" s="1"/>
  <c r="O636" i="3"/>
  <c r="E638" i="3" l="1"/>
  <c r="H638" i="3" s="1"/>
  <c r="O637" i="3"/>
  <c r="L637" i="3"/>
  <c r="N637" i="3" s="1"/>
  <c r="E639" i="3" l="1"/>
  <c r="H639" i="3" s="1"/>
  <c r="L638" i="3"/>
  <c r="N638" i="3" s="1"/>
  <c r="O638" i="3"/>
  <c r="E640" i="3" l="1"/>
  <c r="H640" i="3" s="1"/>
  <c r="O639" i="3"/>
  <c r="L639" i="3"/>
  <c r="N639" i="3" s="1"/>
  <c r="E641" i="3" l="1"/>
  <c r="H641" i="3" s="1"/>
  <c r="L640" i="3"/>
  <c r="N640" i="3" s="1"/>
  <c r="O640" i="3"/>
  <c r="E642" i="3" l="1"/>
  <c r="H642" i="3" s="1"/>
  <c r="O641" i="3"/>
  <c r="L641" i="3"/>
  <c r="N641" i="3" s="1"/>
  <c r="E643" i="3" l="1"/>
  <c r="H643" i="3" s="1"/>
  <c r="O642" i="3"/>
  <c r="L642" i="3"/>
  <c r="N642" i="3" s="1"/>
  <c r="E644" i="3" l="1"/>
  <c r="H644" i="3" s="1"/>
  <c r="L643" i="3"/>
  <c r="N643" i="3" s="1"/>
  <c r="O643" i="3"/>
  <c r="E645" i="3" l="1"/>
  <c r="H645" i="3" s="1"/>
  <c r="O644" i="3"/>
  <c r="L644" i="3"/>
  <c r="N644" i="3" s="1"/>
  <c r="E646" i="3" l="1"/>
  <c r="H646" i="3" s="1"/>
  <c r="O645" i="3"/>
  <c r="L645" i="3"/>
  <c r="N645" i="3" s="1"/>
  <c r="E647" i="3" l="1"/>
  <c r="H647" i="3" s="1"/>
  <c r="O646" i="3"/>
  <c r="L646" i="3"/>
  <c r="N646" i="3" s="1"/>
  <c r="E648" i="3" l="1"/>
  <c r="H648" i="3" s="1"/>
  <c r="L647" i="3"/>
  <c r="N647" i="3" s="1"/>
  <c r="O647" i="3"/>
  <c r="E649" i="3" l="1"/>
  <c r="H649" i="3" s="1"/>
  <c r="O648" i="3"/>
  <c r="L648" i="3"/>
  <c r="N648" i="3" s="1"/>
  <c r="E650" i="3" l="1"/>
  <c r="H650" i="3" s="1"/>
  <c r="L649" i="3"/>
  <c r="N649" i="3" s="1"/>
  <c r="O649" i="3"/>
  <c r="E651" i="3" l="1"/>
  <c r="H651" i="3" s="1"/>
  <c r="O650" i="3"/>
  <c r="L650" i="3"/>
  <c r="N650" i="3" s="1"/>
  <c r="E652" i="3" l="1"/>
  <c r="H652" i="3" s="1"/>
  <c r="O651" i="3"/>
  <c r="L651" i="3"/>
  <c r="N651" i="3" s="1"/>
  <c r="E653" i="3" l="1"/>
  <c r="H653" i="3" s="1"/>
  <c r="L652" i="3"/>
  <c r="N652" i="3" s="1"/>
  <c r="O652" i="3"/>
  <c r="E654" i="3" l="1"/>
  <c r="H654" i="3" s="1"/>
  <c r="O653" i="3"/>
  <c r="L653" i="3"/>
  <c r="N653" i="3" s="1"/>
  <c r="E655" i="3" l="1"/>
  <c r="H655" i="3" s="1"/>
  <c r="L654" i="3"/>
  <c r="N654" i="3" s="1"/>
  <c r="O654" i="3"/>
  <c r="E656" i="3" l="1"/>
  <c r="H656" i="3" s="1"/>
  <c r="L655" i="3"/>
  <c r="N655" i="3" s="1"/>
  <c r="O655" i="3"/>
  <c r="E657" i="3" l="1"/>
  <c r="H657" i="3" s="1"/>
  <c r="L656" i="3"/>
  <c r="N656" i="3" s="1"/>
  <c r="O656" i="3"/>
  <c r="E658" i="3" l="1"/>
  <c r="H658" i="3" s="1"/>
  <c r="O657" i="3"/>
  <c r="L657" i="3"/>
  <c r="N657" i="3" s="1"/>
  <c r="E659" i="3" l="1"/>
  <c r="H659" i="3" s="1"/>
  <c r="O658" i="3"/>
  <c r="L658" i="3"/>
  <c r="N658" i="3" s="1"/>
  <c r="E660" i="3" l="1"/>
  <c r="H660" i="3" s="1"/>
  <c r="O659" i="3"/>
  <c r="L659" i="3"/>
  <c r="N659" i="3" s="1"/>
  <c r="E661" i="3" l="1"/>
  <c r="H661" i="3" s="1"/>
  <c r="L660" i="3"/>
  <c r="N660" i="3" s="1"/>
  <c r="O660" i="3"/>
  <c r="E662" i="3" l="1"/>
  <c r="H662" i="3" s="1"/>
  <c r="L661" i="3"/>
  <c r="N661" i="3" s="1"/>
  <c r="O661" i="3"/>
  <c r="E663" i="3" l="1"/>
  <c r="H663" i="3" s="1"/>
  <c r="L662" i="3"/>
  <c r="N662" i="3" s="1"/>
  <c r="O662" i="3"/>
  <c r="E664" i="3" l="1"/>
  <c r="H664" i="3" s="1"/>
  <c r="O663" i="3"/>
  <c r="L663" i="3"/>
  <c r="N663" i="3" s="1"/>
  <c r="E665" i="3" l="1"/>
  <c r="H665" i="3" s="1"/>
  <c r="L664" i="3"/>
  <c r="N664" i="3" s="1"/>
  <c r="O664" i="3"/>
  <c r="E666" i="3" l="1"/>
  <c r="H666" i="3" s="1"/>
  <c r="O665" i="3"/>
  <c r="L665" i="3"/>
  <c r="N665" i="3" s="1"/>
  <c r="E667" i="3" l="1"/>
  <c r="H667" i="3" s="1"/>
  <c r="O666" i="3"/>
  <c r="L666" i="3"/>
  <c r="N666" i="3" s="1"/>
  <c r="E668" i="3" l="1"/>
  <c r="H668" i="3" s="1"/>
  <c r="O667" i="3"/>
  <c r="L667" i="3"/>
  <c r="N667" i="3" s="1"/>
  <c r="E669" i="3" l="1"/>
  <c r="H669" i="3" s="1"/>
  <c r="O668" i="3"/>
  <c r="L668" i="3"/>
  <c r="N668" i="3" s="1"/>
  <c r="E670" i="3" l="1"/>
  <c r="H670" i="3" s="1"/>
  <c r="O669" i="3"/>
  <c r="L669" i="3"/>
  <c r="N669" i="3" s="1"/>
  <c r="E671" i="3" l="1"/>
  <c r="H671" i="3" s="1"/>
  <c r="L670" i="3"/>
  <c r="N670" i="3" s="1"/>
  <c r="O670" i="3"/>
  <c r="E672" i="3" l="1"/>
  <c r="H672" i="3" s="1"/>
  <c r="O671" i="3"/>
  <c r="L671" i="3"/>
  <c r="N671" i="3" s="1"/>
  <c r="E673" i="3" l="1"/>
  <c r="H673" i="3" s="1"/>
  <c r="L672" i="3"/>
  <c r="N672" i="3" s="1"/>
  <c r="O672" i="3"/>
  <c r="E674" i="3" l="1"/>
  <c r="H674" i="3" s="1"/>
  <c r="L673" i="3"/>
  <c r="N673" i="3" s="1"/>
  <c r="O673" i="3"/>
  <c r="E675" i="3" l="1"/>
  <c r="H675" i="3" s="1"/>
  <c r="O674" i="3"/>
  <c r="L674" i="3"/>
  <c r="N674" i="3" s="1"/>
  <c r="E676" i="3" l="1"/>
  <c r="H676" i="3" s="1"/>
  <c r="O675" i="3"/>
  <c r="L675" i="3"/>
  <c r="N675" i="3" s="1"/>
  <c r="E677" i="3" l="1"/>
  <c r="H677" i="3" s="1"/>
  <c r="L676" i="3"/>
  <c r="N676" i="3" s="1"/>
  <c r="O676" i="3"/>
  <c r="E678" i="3" l="1"/>
  <c r="H678" i="3" s="1"/>
  <c r="O677" i="3"/>
  <c r="L677" i="3"/>
  <c r="N677" i="3" s="1"/>
  <c r="E679" i="3" l="1"/>
  <c r="H679" i="3" s="1"/>
  <c r="O678" i="3"/>
  <c r="L678" i="3"/>
  <c r="N678" i="3" s="1"/>
  <c r="E680" i="3" l="1"/>
  <c r="H680" i="3" s="1"/>
  <c r="O679" i="3"/>
  <c r="L679" i="3"/>
  <c r="N679" i="3" s="1"/>
  <c r="E681" i="3" l="1"/>
  <c r="H681" i="3" s="1"/>
  <c r="L680" i="3"/>
  <c r="N680" i="3" s="1"/>
  <c r="O680" i="3"/>
  <c r="E682" i="3" l="1"/>
  <c r="H682" i="3" s="1"/>
  <c r="O681" i="3"/>
  <c r="L681" i="3"/>
  <c r="N681" i="3" s="1"/>
  <c r="E683" i="3" l="1"/>
  <c r="H683" i="3" s="1"/>
  <c r="O682" i="3"/>
  <c r="L682" i="3"/>
  <c r="N682" i="3" s="1"/>
  <c r="E684" i="3" l="1"/>
  <c r="H684" i="3" s="1"/>
  <c r="O683" i="3"/>
  <c r="L683" i="3"/>
  <c r="N683" i="3" s="1"/>
  <c r="E685" i="3" l="1"/>
  <c r="H685" i="3" s="1"/>
  <c r="L684" i="3"/>
  <c r="N684" i="3" s="1"/>
  <c r="O684" i="3"/>
  <c r="E686" i="3" l="1"/>
  <c r="H686" i="3" s="1"/>
  <c r="O685" i="3"/>
  <c r="L685" i="3"/>
  <c r="N685" i="3" s="1"/>
  <c r="E687" i="3" l="1"/>
  <c r="H687" i="3" s="1"/>
  <c r="L686" i="3"/>
  <c r="N686" i="3" s="1"/>
  <c r="O686" i="3"/>
  <c r="E688" i="3" l="1"/>
  <c r="H688" i="3" s="1"/>
  <c r="O687" i="3"/>
  <c r="L687" i="3"/>
  <c r="N687" i="3" s="1"/>
  <c r="E689" i="3" l="1"/>
  <c r="H689" i="3" s="1"/>
  <c r="L688" i="3"/>
  <c r="N688" i="3" s="1"/>
  <c r="O688" i="3"/>
  <c r="E690" i="3" l="1"/>
  <c r="H690" i="3" s="1"/>
  <c r="L689" i="3"/>
  <c r="N689" i="3" s="1"/>
  <c r="O689" i="3"/>
  <c r="E691" i="3" l="1"/>
  <c r="H691" i="3" s="1"/>
  <c r="O690" i="3"/>
  <c r="L690" i="3"/>
  <c r="N690" i="3" s="1"/>
  <c r="E692" i="3" l="1"/>
  <c r="H692" i="3" s="1"/>
  <c r="O691" i="3"/>
  <c r="L691" i="3"/>
  <c r="N691" i="3" s="1"/>
  <c r="E693" i="3" l="1"/>
  <c r="H693" i="3" s="1"/>
  <c r="O692" i="3"/>
  <c r="L692" i="3"/>
  <c r="N692" i="3" s="1"/>
  <c r="E694" i="3" l="1"/>
  <c r="H694" i="3" s="1"/>
  <c r="O693" i="3"/>
  <c r="L693" i="3"/>
  <c r="N693" i="3" s="1"/>
  <c r="E695" i="3" l="1"/>
  <c r="H695" i="3" s="1"/>
  <c r="O694" i="3"/>
  <c r="L694" i="3"/>
  <c r="N694" i="3" s="1"/>
  <c r="E696" i="3" l="1"/>
  <c r="H696" i="3" s="1"/>
  <c r="O695" i="3"/>
  <c r="L695" i="3"/>
  <c r="N695" i="3" s="1"/>
  <c r="E697" i="3" l="1"/>
  <c r="H697" i="3" s="1"/>
  <c r="O696" i="3"/>
  <c r="L696" i="3"/>
  <c r="N696" i="3" s="1"/>
  <c r="E698" i="3" l="1"/>
  <c r="H698" i="3" s="1"/>
  <c r="O697" i="3"/>
  <c r="L697" i="3"/>
  <c r="N697" i="3" s="1"/>
  <c r="E699" i="3" l="1"/>
  <c r="H699" i="3" s="1"/>
  <c r="O698" i="3"/>
  <c r="L698" i="3"/>
  <c r="N698" i="3" s="1"/>
  <c r="E700" i="3" l="1"/>
  <c r="H700" i="3" s="1"/>
  <c r="O699" i="3"/>
  <c r="L699" i="3"/>
  <c r="N699" i="3" s="1"/>
  <c r="E701" i="3" l="1"/>
  <c r="H701" i="3" s="1"/>
  <c r="L700" i="3"/>
  <c r="N700" i="3" s="1"/>
  <c r="O700" i="3"/>
  <c r="E702" i="3" l="1"/>
  <c r="H702" i="3" s="1"/>
  <c r="L701" i="3"/>
  <c r="N701" i="3" s="1"/>
  <c r="O701" i="3"/>
  <c r="E703" i="3" l="1"/>
  <c r="H703" i="3" s="1"/>
  <c r="L702" i="3"/>
  <c r="N702" i="3" s="1"/>
  <c r="O702" i="3"/>
  <c r="E704" i="3" l="1"/>
  <c r="H704" i="3" s="1"/>
  <c r="L703" i="3"/>
  <c r="N703" i="3" s="1"/>
  <c r="O703" i="3"/>
  <c r="E705" i="3" l="1"/>
  <c r="H705" i="3" s="1"/>
  <c r="L704" i="3"/>
  <c r="N704" i="3" s="1"/>
  <c r="O704" i="3"/>
  <c r="E706" i="3" l="1"/>
  <c r="H706" i="3" s="1"/>
  <c r="O705" i="3"/>
  <c r="L705" i="3"/>
  <c r="N705" i="3" s="1"/>
  <c r="E707" i="3" l="1"/>
  <c r="H707" i="3" s="1"/>
  <c r="O706" i="3"/>
  <c r="L706" i="3"/>
  <c r="N706" i="3" s="1"/>
  <c r="E708" i="3" l="1"/>
  <c r="H708" i="3" s="1"/>
  <c r="O707" i="3"/>
  <c r="L707" i="3"/>
  <c r="N707" i="3" s="1"/>
  <c r="E709" i="3" l="1"/>
  <c r="H709" i="3" s="1"/>
  <c r="O708" i="3"/>
  <c r="L708" i="3"/>
  <c r="N708" i="3" s="1"/>
  <c r="E710" i="3" l="1"/>
  <c r="H710" i="3" s="1"/>
  <c r="O709" i="3"/>
  <c r="L709" i="3"/>
  <c r="N709" i="3" s="1"/>
  <c r="E711" i="3" l="1"/>
  <c r="H711" i="3" s="1"/>
  <c r="L710" i="3"/>
  <c r="N710" i="3" s="1"/>
  <c r="O710" i="3"/>
  <c r="E712" i="3" l="1"/>
  <c r="H712" i="3" s="1"/>
  <c r="O711" i="3"/>
  <c r="L711" i="3"/>
  <c r="N711" i="3" s="1"/>
  <c r="E713" i="3" l="1"/>
  <c r="H713" i="3" s="1"/>
  <c r="L712" i="3"/>
  <c r="N712" i="3" s="1"/>
  <c r="O712" i="3"/>
  <c r="E714" i="3" l="1"/>
  <c r="H714" i="3" s="1"/>
  <c r="O713" i="3"/>
  <c r="L713" i="3"/>
  <c r="N713" i="3" s="1"/>
  <c r="E715" i="3" l="1"/>
  <c r="H715" i="3" s="1"/>
  <c r="O714" i="3"/>
  <c r="L714" i="3"/>
  <c r="N714" i="3" s="1"/>
  <c r="E716" i="3" l="1"/>
  <c r="H716" i="3" s="1"/>
  <c r="L715" i="3"/>
  <c r="N715" i="3" s="1"/>
  <c r="O715" i="3"/>
  <c r="E717" i="3" l="1"/>
  <c r="H717" i="3" s="1"/>
  <c r="O716" i="3"/>
  <c r="L716" i="3"/>
  <c r="N716" i="3" s="1"/>
  <c r="E718" i="3" l="1"/>
  <c r="H718" i="3" s="1"/>
  <c r="O717" i="3"/>
  <c r="L717" i="3"/>
  <c r="N717" i="3" s="1"/>
  <c r="E719" i="3" l="1"/>
  <c r="H719" i="3" s="1"/>
  <c r="L718" i="3"/>
  <c r="N718" i="3" s="1"/>
  <c r="O718" i="3"/>
  <c r="E720" i="3" l="1"/>
  <c r="H720" i="3" s="1"/>
  <c r="L719" i="3"/>
  <c r="N719" i="3" s="1"/>
  <c r="O719" i="3"/>
  <c r="E721" i="3" l="1"/>
  <c r="H721" i="3" s="1"/>
  <c r="L720" i="3"/>
  <c r="N720" i="3" s="1"/>
  <c r="O720" i="3"/>
  <c r="E722" i="3" l="1"/>
  <c r="H722" i="3" s="1"/>
  <c r="O721" i="3"/>
  <c r="L721" i="3"/>
  <c r="N721" i="3" s="1"/>
  <c r="E723" i="3" l="1"/>
  <c r="H723" i="3" s="1"/>
  <c r="O722" i="3"/>
  <c r="L722" i="3"/>
  <c r="N722" i="3" s="1"/>
  <c r="E724" i="3" l="1"/>
  <c r="H724" i="3" s="1"/>
  <c r="O723" i="3"/>
  <c r="L723" i="3"/>
  <c r="N723" i="3" s="1"/>
  <c r="E725" i="3" l="1"/>
  <c r="H725" i="3" s="1"/>
  <c r="O724" i="3"/>
  <c r="L724" i="3"/>
  <c r="N724" i="3" s="1"/>
  <c r="E726" i="3" l="1"/>
  <c r="H726" i="3" s="1"/>
  <c r="O725" i="3"/>
  <c r="L725" i="3"/>
  <c r="N725" i="3" s="1"/>
  <c r="E727" i="3" l="1"/>
  <c r="H727" i="3" s="1"/>
  <c r="L726" i="3"/>
  <c r="N726" i="3" s="1"/>
  <c r="O726" i="3"/>
  <c r="E728" i="3" l="1"/>
  <c r="H728" i="3" s="1"/>
  <c r="L727" i="3"/>
  <c r="N727" i="3" s="1"/>
  <c r="O727" i="3"/>
  <c r="E729" i="3" l="1"/>
  <c r="H729" i="3" s="1"/>
  <c r="O728" i="3"/>
  <c r="L728" i="3"/>
  <c r="N728" i="3" s="1"/>
  <c r="E730" i="3" l="1"/>
  <c r="H730" i="3" s="1"/>
  <c r="O729" i="3"/>
  <c r="L729" i="3"/>
  <c r="N729" i="3" s="1"/>
  <c r="E731" i="3" l="1"/>
  <c r="H731" i="3" s="1"/>
  <c r="O730" i="3"/>
  <c r="L730" i="3"/>
  <c r="N730" i="3" s="1"/>
  <c r="L731" i="3" l="1"/>
  <c r="N731" i="3" s="1"/>
  <c r="O731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<sst xmlns="http://schemas.openxmlformats.org/spreadsheetml/2006/main" count="26110" uniqueCount="10043">
  <si>
    <t>Age</t>
  </si>
  <si>
    <t>Weekly eggs</t>
  </si>
  <si>
    <t>No of birds</t>
  </si>
  <si>
    <t>Depletion %</t>
  </si>
  <si>
    <t>HHP</t>
  </si>
  <si>
    <t>Cum Depletion</t>
  </si>
  <si>
    <t>Wkly depletion</t>
  </si>
  <si>
    <t>HDP %</t>
  </si>
  <si>
    <t>Cum HHP</t>
  </si>
  <si>
    <t>HEN HOUSED</t>
  </si>
  <si>
    <t>Cum Dep %</t>
  </si>
  <si>
    <t>SHED NO: GL1-3</t>
  </si>
  <si>
    <t>SUNRISE EGG FARMS BOVANS</t>
  </si>
  <si>
    <t>BATCH NO</t>
  </si>
  <si>
    <t>DATE</t>
  </si>
  <si>
    <t>AGE OF THE BIRD</t>
  </si>
  <si>
    <t>SHED NO</t>
  </si>
  <si>
    <t>BIRDS OPENING STOCK</t>
  </si>
  <si>
    <t>MORTALITY</t>
  </si>
  <si>
    <t>CULLS</t>
  </si>
  <si>
    <t>BIRDS CLOSING STOCK</t>
  </si>
  <si>
    <t xml:space="preserve">FEED CONSUMPTION </t>
  </si>
  <si>
    <t>EGG PRODUCTION</t>
  </si>
  <si>
    <t>EGG BREKAGE</t>
  </si>
  <si>
    <t>FEED PER BIRD</t>
  </si>
  <si>
    <t>ACTUAL PRODUCTION %</t>
  </si>
  <si>
    <t>TARGET PRODUCTION</t>
  </si>
  <si>
    <t>DIFFRENCE IN PRODUCTION</t>
  </si>
  <si>
    <t>REMARKS</t>
  </si>
  <si>
    <t>1 ST WEEK       1.1</t>
  </si>
  <si>
    <t>2 ND WEEK      2.1</t>
  </si>
  <si>
    <t>3RD WEEK       3.1</t>
  </si>
  <si>
    <t>4TH WEEK       4.1</t>
  </si>
  <si>
    <t>CHICK SHED</t>
  </si>
  <si>
    <t>target production depends on age</t>
  </si>
  <si>
    <t>18 th week</t>
  </si>
  <si>
    <t>19th week</t>
  </si>
  <si>
    <t>19 th week</t>
  </si>
  <si>
    <t>20th week</t>
  </si>
  <si>
    <t>20 th week</t>
  </si>
  <si>
    <t>21st week</t>
  </si>
  <si>
    <t>21 th week</t>
  </si>
  <si>
    <t>22nd week</t>
  </si>
  <si>
    <t>22 th week</t>
  </si>
  <si>
    <t>23rd week</t>
  </si>
  <si>
    <t>23 th week</t>
  </si>
  <si>
    <t>24th week</t>
  </si>
  <si>
    <t>24 th week</t>
  </si>
  <si>
    <t>25th week</t>
  </si>
  <si>
    <t>25 th week</t>
  </si>
  <si>
    <t>26th week</t>
  </si>
  <si>
    <t>26 th week</t>
  </si>
  <si>
    <t>27th week</t>
  </si>
  <si>
    <t>27 th week</t>
  </si>
  <si>
    <t>28th week</t>
  </si>
  <si>
    <t>28 th week</t>
  </si>
  <si>
    <t>29th week</t>
  </si>
  <si>
    <t>29 th week</t>
  </si>
  <si>
    <t>30th week</t>
  </si>
  <si>
    <t>30 th week</t>
  </si>
  <si>
    <t>31st week</t>
  </si>
  <si>
    <t>31 th week</t>
  </si>
  <si>
    <t>32nd week</t>
  </si>
  <si>
    <t>32 th week</t>
  </si>
  <si>
    <t>33rd week</t>
  </si>
  <si>
    <t>33 th week</t>
  </si>
  <si>
    <t>34th week</t>
  </si>
  <si>
    <t>34 th week</t>
  </si>
  <si>
    <t>35th week</t>
  </si>
  <si>
    <t>35 th week</t>
  </si>
  <si>
    <t>36th week</t>
  </si>
  <si>
    <t>36 th week</t>
  </si>
  <si>
    <t>37th week</t>
  </si>
  <si>
    <t>37 th week</t>
  </si>
  <si>
    <t>38th week</t>
  </si>
  <si>
    <t>38 th week</t>
  </si>
  <si>
    <t>39th week</t>
  </si>
  <si>
    <t>39 th week</t>
  </si>
  <si>
    <t>40th week</t>
  </si>
  <si>
    <t>40 th week</t>
  </si>
  <si>
    <t>41st week</t>
  </si>
  <si>
    <t>41 th week</t>
  </si>
  <si>
    <t>42nd week</t>
  </si>
  <si>
    <t>42 th week</t>
  </si>
  <si>
    <t>43rd week</t>
  </si>
  <si>
    <t>43 th week</t>
  </si>
  <si>
    <t>44th week</t>
  </si>
  <si>
    <t>44 th week</t>
  </si>
  <si>
    <t>45th week</t>
  </si>
  <si>
    <t>45 th week</t>
  </si>
  <si>
    <t>46th week</t>
  </si>
  <si>
    <t>46 th week</t>
  </si>
  <si>
    <t>47th week</t>
  </si>
  <si>
    <t>47 th week</t>
  </si>
  <si>
    <t>48th week</t>
  </si>
  <si>
    <t>48 th week</t>
  </si>
  <si>
    <t>49th week</t>
  </si>
  <si>
    <t>49 th week</t>
  </si>
  <si>
    <t>50th week</t>
  </si>
  <si>
    <t>50 th week</t>
  </si>
  <si>
    <t>51st week</t>
  </si>
  <si>
    <t>51 th week</t>
  </si>
  <si>
    <t>52nd week</t>
  </si>
  <si>
    <t>52 th week</t>
  </si>
  <si>
    <t>53rd week</t>
  </si>
  <si>
    <t>53 th week</t>
  </si>
  <si>
    <t>54th week</t>
  </si>
  <si>
    <t>54 th week</t>
  </si>
  <si>
    <t>55th week</t>
  </si>
  <si>
    <t>55 th week</t>
  </si>
  <si>
    <t>56th week</t>
  </si>
  <si>
    <t>56 th week</t>
  </si>
  <si>
    <t>57th week</t>
  </si>
  <si>
    <t>57 th week</t>
  </si>
  <si>
    <t>58th week</t>
  </si>
  <si>
    <t>58 th week</t>
  </si>
  <si>
    <t>59th week</t>
  </si>
  <si>
    <t>59 th week</t>
  </si>
  <si>
    <t>60th week</t>
  </si>
  <si>
    <t>60 th week</t>
  </si>
  <si>
    <t>61st week</t>
  </si>
  <si>
    <t>61 th week</t>
  </si>
  <si>
    <t>62nd week</t>
  </si>
  <si>
    <t>62 th week</t>
  </si>
  <si>
    <t>63rd week</t>
  </si>
  <si>
    <t>63 th week</t>
  </si>
  <si>
    <t>64th week</t>
  </si>
  <si>
    <t>64 th week</t>
  </si>
  <si>
    <t>65th week</t>
  </si>
  <si>
    <t>65 th week</t>
  </si>
  <si>
    <t>66th week</t>
  </si>
  <si>
    <t>66 th week</t>
  </si>
  <si>
    <t>67th week</t>
  </si>
  <si>
    <t>67 th week</t>
  </si>
  <si>
    <t>68th week</t>
  </si>
  <si>
    <t>68 th week</t>
  </si>
  <si>
    <t>69th week</t>
  </si>
  <si>
    <t>69 th week</t>
  </si>
  <si>
    <t>70th week</t>
  </si>
  <si>
    <t>70 th week</t>
  </si>
  <si>
    <t>71st week</t>
  </si>
  <si>
    <t>71 th week</t>
  </si>
  <si>
    <t>72nd week</t>
  </si>
  <si>
    <t>72 th week</t>
  </si>
  <si>
    <t>73rd week</t>
  </si>
  <si>
    <t>73 th week</t>
  </si>
  <si>
    <t>74th week</t>
  </si>
  <si>
    <t>74 th week</t>
  </si>
  <si>
    <t>75th week</t>
  </si>
  <si>
    <t>75 th week</t>
  </si>
  <si>
    <t>76th week</t>
  </si>
  <si>
    <t>76 th week</t>
  </si>
  <si>
    <t>77th week</t>
  </si>
  <si>
    <t>77 th week</t>
  </si>
  <si>
    <t>78th week</t>
  </si>
  <si>
    <t>78 th week</t>
  </si>
  <si>
    <t>79th week</t>
  </si>
  <si>
    <t>79 th week</t>
  </si>
  <si>
    <t>80th week</t>
  </si>
  <si>
    <t>80 th week</t>
  </si>
  <si>
    <t>81st week</t>
  </si>
  <si>
    <t>81 th week</t>
  </si>
  <si>
    <t>82nd week</t>
  </si>
  <si>
    <t>82 th week</t>
  </si>
  <si>
    <t>83rd week</t>
  </si>
  <si>
    <t>83 th week</t>
  </si>
  <si>
    <t>84th week</t>
  </si>
  <si>
    <t>84 th week</t>
  </si>
  <si>
    <t>85th week</t>
  </si>
  <si>
    <t>85 th week</t>
  </si>
  <si>
    <t>86th week</t>
  </si>
  <si>
    <t>86 th week</t>
  </si>
  <si>
    <t>87th week</t>
  </si>
  <si>
    <t>87 th week</t>
  </si>
  <si>
    <t>88th week</t>
  </si>
  <si>
    <t>88 th week</t>
  </si>
  <si>
    <t>89th week</t>
  </si>
  <si>
    <t>89 th week</t>
  </si>
  <si>
    <t>90th week</t>
  </si>
  <si>
    <t>90 th week</t>
  </si>
  <si>
    <t>91st week</t>
  </si>
  <si>
    <t>91 th week</t>
  </si>
  <si>
    <t>92nd week</t>
  </si>
  <si>
    <t>92 th week</t>
  </si>
  <si>
    <t>93rd week</t>
  </si>
  <si>
    <t>93 th week</t>
  </si>
  <si>
    <t>94th week</t>
  </si>
  <si>
    <t>94 th week</t>
  </si>
  <si>
    <t>95th week</t>
  </si>
  <si>
    <t>95 th week</t>
  </si>
  <si>
    <t>96th week</t>
  </si>
  <si>
    <t>96 th week</t>
  </si>
  <si>
    <t>97th week</t>
  </si>
  <si>
    <t>97 th week</t>
  </si>
  <si>
    <t>98th week</t>
  </si>
  <si>
    <t>98 th week</t>
  </si>
  <si>
    <t>99th week</t>
  </si>
  <si>
    <t>99 th week</t>
  </si>
  <si>
    <t>100th week</t>
  </si>
  <si>
    <t>100 th week</t>
  </si>
  <si>
    <t>target production</t>
  </si>
  <si>
    <t>bovans bread</t>
  </si>
  <si>
    <t>BV 300 BREAD</t>
  </si>
  <si>
    <t>AGE</t>
  </si>
  <si>
    <t>chi</t>
  </si>
  <si>
    <t>Auto adjust , - should shown in different colour</t>
  </si>
  <si>
    <t>egg production + breakage</t>
  </si>
  <si>
    <t xml:space="preserve"> culls from fps sheet</t>
  </si>
  <si>
    <t>FORMULA REGISTER</t>
  </si>
  <si>
    <t>Every formula cell in the workbook • 5,029 formulas inventoried</t>
  </si>
  <si>
    <t>Sheet</t>
  </si>
  <si>
    <t>Cell</t>
  </si>
  <si>
    <t>Column / Purpose</t>
  </si>
  <si>
    <t>Formula</t>
  </si>
  <si>
    <t>Current Result</t>
  </si>
  <si>
    <t>Explanation</t>
  </si>
  <si>
    <t>flock performance sheet</t>
  </si>
  <si>
    <t>C2</t>
  </si>
  <si>
    <t>=(QUOTIENT(ROW()-2,7)+1)&amp;"."&amp;MOD(ROW()-2,7)&amp;" - day "&amp;(MOD(ROW()-2,7)+1)</t>
  </si>
  <si>
    <t>1.0 - day 1</t>
  </si>
  <si>
    <t>Generates the bird-age week and day sequence automatically from the row number.</t>
  </si>
  <si>
    <t>H2</t>
  </si>
  <si>
    <t>=SUM(E2-F2-G2)</t>
  </si>
  <si>
    <t>Calculates closing stock as opening birds minus mortality and culls.</t>
  </si>
  <si>
    <t>L2</t>
  </si>
  <si>
    <t>=SUM(J2+K2)/H2*100</t>
  </si>
  <si>
    <t>Calculates actual production percentage from eggs produced plus breakage, divided by closing bird stock.</t>
  </si>
  <si>
    <t>N2</t>
  </si>
  <si>
    <t>=SUM(L2-M2)</t>
  </si>
  <si>
    <t>Calculates production variance as actual production percentage minus target production.</t>
  </si>
  <si>
    <t>O2</t>
  </si>
  <si>
    <t>=SUM(I2/H2)*1000</t>
  </si>
  <si>
    <t>Calculates feed per bird from feed consumption and closing bird stock.</t>
  </si>
  <si>
    <t>C3</t>
  </si>
  <si>
    <t>1.1 - day 2</t>
  </si>
  <si>
    <t>H3</t>
  </si>
  <si>
    <t>=SUM(E3-F3-G3)</t>
  </si>
  <si>
    <t>L3</t>
  </si>
  <si>
    <t>=SUM(J3+K3)/H3*100</t>
  </si>
  <si>
    <t>N3</t>
  </si>
  <si>
    <t>=SUM(L3-M3)</t>
  </si>
  <si>
    <t>O3</t>
  </si>
  <si>
    <t>=SUM(I3/H3)*1000</t>
  </si>
  <si>
    <t>C4</t>
  </si>
  <si>
    <t>1.2 - day 3</t>
  </si>
  <si>
    <t>E4</t>
  </si>
  <si>
    <t>=H3</t>
  </si>
  <si>
    <t>Carries forward the previous closing bird stock as the next opening stock.</t>
  </si>
  <si>
    <t>H4</t>
  </si>
  <si>
    <t>=SUM(E4-F4-G4)</t>
  </si>
  <si>
    <t>L4</t>
  </si>
  <si>
    <t>=SUM(J4+K4)/H4*100</t>
  </si>
  <si>
    <t>N4</t>
  </si>
  <si>
    <t>=SUM(L4-M4)</t>
  </si>
  <si>
    <t>O4</t>
  </si>
  <si>
    <t>=SUM(I4/H4)*1000</t>
  </si>
  <si>
    <t>C5</t>
  </si>
  <si>
    <t>1.3 - day 4</t>
  </si>
  <si>
    <t>E5</t>
  </si>
  <si>
    <t>=H4</t>
  </si>
  <si>
    <t>H5</t>
  </si>
  <si>
    <t>=SUM(E5-F5-G5)</t>
  </si>
  <si>
    <t>L5</t>
  </si>
  <si>
    <t>=SUM(J5+K5)/H5*100</t>
  </si>
  <si>
    <t>N5</t>
  </si>
  <si>
    <t>=SUM(L5-M5)</t>
  </si>
  <si>
    <t>O5</t>
  </si>
  <si>
    <t>=SUM(I5/H5)*1000</t>
  </si>
  <si>
    <t>C6</t>
  </si>
  <si>
    <t>1.4 - day 5</t>
  </si>
  <si>
    <t>E6</t>
  </si>
  <si>
    <t>=H5</t>
  </si>
  <si>
    <t>H6</t>
  </si>
  <si>
    <t>=SUM(E6-F6-G6)</t>
  </si>
  <si>
    <t>L6</t>
  </si>
  <si>
    <t>=SUM(J6+K6)/H6*100</t>
  </si>
  <si>
    <t>N6</t>
  </si>
  <si>
    <t>=SUM(L6-M6)</t>
  </si>
  <si>
    <t>O6</t>
  </si>
  <si>
    <t>=SUM(I6/H6)*1000</t>
  </si>
  <si>
    <t>C7</t>
  </si>
  <si>
    <t>1.5 - day 6</t>
  </si>
  <si>
    <t>E7</t>
  </si>
  <si>
    <t>=H6</t>
  </si>
  <si>
    <t>H7</t>
  </si>
  <si>
    <t>=SUM(E7-F7-G7)</t>
  </si>
  <si>
    <t>L7</t>
  </si>
  <si>
    <t>=SUM(J7+K7)/H7*100</t>
  </si>
  <si>
    <t>N7</t>
  </si>
  <si>
    <t>=SUM(L7-M7)</t>
  </si>
  <si>
    <t>O7</t>
  </si>
  <si>
    <t>=SUM(I7/H7)*1000</t>
  </si>
  <si>
    <t>C8</t>
  </si>
  <si>
    <t>1.6 - day 7</t>
  </si>
  <si>
    <t>E8</t>
  </si>
  <si>
    <t>=H7</t>
  </si>
  <si>
    <t>H8</t>
  </si>
  <si>
    <t>=SUM(E8-F8-G8)</t>
  </si>
  <si>
    <t>L8</t>
  </si>
  <si>
    <t>=SUM(J8+K8)/H8*100</t>
  </si>
  <si>
    <t>N8</t>
  </si>
  <si>
    <t>=SUM(L8-M8)</t>
  </si>
  <si>
    <t>O8</t>
  </si>
  <si>
    <t>=SUM(I8/H8)*1000</t>
  </si>
  <si>
    <t>C9</t>
  </si>
  <si>
    <t>2.0 - day 1</t>
  </si>
  <si>
    <t>E9</t>
  </si>
  <si>
    <t>=H8</t>
  </si>
  <si>
    <t>H9</t>
  </si>
  <si>
    <t>=SUM(E9-F9-G9)</t>
  </si>
  <si>
    <t>L9</t>
  </si>
  <si>
    <t>=SUM(J9+K9)/H9*100</t>
  </si>
  <si>
    <t>N9</t>
  </si>
  <si>
    <t>=SUM(L9-M9)</t>
  </si>
  <si>
    <t>O9</t>
  </si>
  <si>
    <t>=SUM(I9/H9)*1000</t>
  </si>
  <si>
    <t>C10</t>
  </si>
  <si>
    <t>2.1 - day 2</t>
  </si>
  <si>
    <t>E10</t>
  </si>
  <si>
    <t>=H9</t>
  </si>
  <si>
    <t>H10</t>
  </si>
  <si>
    <t>=SUM(E10-F10-G10)</t>
  </si>
  <si>
    <t>L10</t>
  </si>
  <si>
    <t>=SUM(J10+K10)/H10*100</t>
  </si>
  <si>
    <t>N10</t>
  </si>
  <si>
    <t>=SUM(L10-M10)</t>
  </si>
  <si>
    <t>O10</t>
  </si>
  <si>
    <t>=SUM(I10/H10)*1000</t>
  </si>
  <si>
    <t>C11</t>
  </si>
  <si>
    <t>2.2 - day 3</t>
  </si>
  <si>
    <t>E11</t>
  </si>
  <si>
    <t>=H10</t>
  </si>
  <si>
    <t>H11</t>
  </si>
  <si>
    <t>=SUM(E11-F11-G11)</t>
  </si>
  <si>
    <t>L11</t>
  </si>
  <si>
    <t>=SUM(J11+K11)/H11*100</t>
  </si>
  <si>
    <t>N11</t>
  </si>
  <si>
    <t>=SUM(L11-M11)</t>
  </si>
  <si>
    <t>O11</t>
  </si>
  <si>
    <t>=SUM(I11/H11)*1000</t>
  </si>
  <si>
    <t>C12</t>
  </si>
  <si>
    <t>2.3 - day 4</t>
  </si>
  <si>
    <t>E12</t>
  </si>
  <si>
    <t>=H11</t>
  </si>
  <si>
    <t>H12</t>
  </si>
  <si>
    <t>=SUM(E12-F12-G12)</t>
  </si>
  <si>
    <t>L12</t>
  </si>
  <si>
    <t>=SUM(J12+K12)/H12*100</t>
  </si>
  <si>
    <t>N12</t>
  </si>
  <si>
    <t>=SUM(L12-M12)</t>
  </si>
  <si>
    <t>O12</t>
  </si>
  <si>
    <t>=SUM(I12/H12)*1000</t>
  </si>
  <si>
    <t>C13</t>
  </si>
  <si>
    <t>2.4 - day 5</t>
  </si>
  <si>
    <t>E13</t>
  </si>
  <si>
    <t>=H12</t>
  </si>
  <si>
    <t>H13</t>
  </si>
  <si>
    <t>=SUM(E13-F13-G13)</t>
  </si>
  <si>
    <t>L13</t>
  </si>
  <si>
    <t>=SUM(J13+K13)/H13*100</t>
  </si>
  <si>
    <t>N13</t>
  </si>
  <si>
    <t>=SUM(L13-M13)</t>
  </si>
  <si>
    <t>O13</t>
  </si>
  <si>
    <t>=SUM(I13/H13)*1000</t>
  </si>
  <si>
    <t>C14</t>
  </si>
  <si>
    <t>2.5 - day 6</t>
  </si>
  <si>
    <t>E14</t>
  </si>
  <si>
    <t>=H13</t>
  </si>
  <si>
    <t>H14</t>
  </si>
  <si>
    <t>=SUM(E14-F14-G14)</t>
  </si>
  <si>
    <t>L14</t>
  </si>
  <si>
    <t>=SUM(J14+K14)/H14*100</t>
  </si>
  <si>
    <t>N14</t>
  </si>
  <si>
    <t>=SUM(L14-M14)</t>
  </si>
  <si>
    <t>O14</t>
  </si>
  <si>
    <t>=SUM(I14/H14)*1000</t>
  </si>
  <si>
    <t>C15</t>
  </si>
  <si>
    <t>2.6 - day 7</t>
  </si>
  <si>
    <t>E15</t>
  </si>
  <si>
    <t>=H14</t>
  </si>
  <si>
    <t>H15</t>
  </si>
  <si>
    <t>=SUM(E15-F15-G15)</t>
  </si>
  <si>
    <t>L15</t>
  </si>
  <si>
    <t>=SUM(J15+K15)/H15*100</t>
  </si>
  <si>
    <t>N15</t>
  </si>
  <si>
    <t>=SUM(L15-M15)</t>
  </si>
  <si>
    <t>O15</t>
  </si>
  <si>
    <t>=SUM(I15/H15)*1000</t>
  </si>
  <si>
    <t>C16</t>
  </si>
  <si>
    <t>3.0 - day 1</t>
  </si>
  <si>
    <t>E16</t>
  </si>
  <si>
    <t>=H15</t>
  </si>
  <si>
    <t>H16</t>
  </si>
  <si>
    <t>=SUM(E16-F16-G16)</t>
  </si>
  <si>
    <t>L16</t>
  </si>
  <si>
    <t>=SUM(J16+K16)/H16*100</t>
  </si>
  <si>
    <t>N16</t>
  </si>
  <si>
    <t>=SUM(L16-M16)</t>
  </si>
  <si>
    <t>O16</t>
  </si>
  <si>
    <t>=SUM(I16/H16)*1000</t>
  </si>
  <si>
    <t>C17</t>
  </si>
  <si>
    <t>3.1 - day 2</t>
  </si>
  <si>
    <t>E17</t>
  </si>
  <si>
    <t>=H16</t>
  </si>
  <si>
    <t>H17</t>
  </si>
  <si>
    <t>=SUM(E17-F17-G17)</t>
  </si>
  <si>
    <t>L17</t>
  </si>
  <si>
    <t>=SUM(J17+K17)/H17*100</t>
  </si>
  <si>
    <t>N17</t>
  </si>
  <si>
    <t>=SUM(L17-M17)</t>
  </si>
  <si>
    <t>O17</t>
  </si>
  <si>
    <t>=SUM(I17/H17)*1000</t>
  </si>
  <si>
    <t>C18</t>
  </si>
  <si>
    <t>3.2 - day 3</t>
  </si>
  <si>
    <t>E18</t>
  </si>
  <si>
    <t>=H17</t>
  </si>
  <si>
    <t>H18</t>
  </si>
  <si>
    <t>=SUM(E18-F18-G18)</t>
  </si>
  <si>
    <t>L18</t>
  </si>
  <si>
    <t>=SUM(J18+K18)/H18*100</t>
  </si>
  <si>
    <t>N18</t>
  </si>
  <si>
    <t>=SUM(L18-M18)</t>
  </si>
  <si>
    <t>O18</t>
  </si>
  <si>
    <t>=SUM(I18/H18)*1000</t>
  </si>
  <si>
    <t>C19</t>
  </si>
  <si>
    <t>3.3 - day 4</t>
  </si>
  <si>
    <t>E19</t>
  </si>
  <si>
    <t>=H18</t>
  </si>
  <si>
    <t>H19</t>
  </si>
  <si>
    <t>=SUM(E19-F19-G19)</t>
  </si>
  <si>
    <t>L19</t>
  </si>
  <si>
    <t>=SUM(J19+K19)/H19*100</t>
  </si>
  <si>
    <t>N19</t>
  </si>
  <si>
    <t>=SUM(L19-M19)</t>
  </si>
  <si>
    <t>O19</t>
  </si>
  <si>
    <t>=SUM(I19/H19)*1000</t>
  </si>
  <si>
    <t>C20</t>
  </si>
  <si>
    <t>3.4 - day 5</t>
  </si>
  <si>
    <t>E20</t>
  </si>
  <si>
    <t>=H19</t>
  </si>
  <si>
    <t>H20</t>
  </si>
  <si>
    <t>=SUM(E20-F20-G20)</t>
  </si>
  <si>
    <t>L20</t>
  </si>
  <si>
    <t>=SUM(J20+K20)/H20*100</t>
  </si>
  <si>
    <t>N20</t>
  </si>
  <si>
    <t>=SUM(L20-M20)</t>
  </si>
  <si>
    <t>O20</t>
  </si>
  <si>
    <t>=SUM(I20/H20)*1000</t>
  </si>
  <si>
    <t>C21</t>
  </si>
  <si>
    <t>3.5 - day 6</t>
  </si>
  <si>
    <t>E21</t>
  </si>
  <si>
    <t>=H20</t>
  </si>
  <si>
    <t>H21</t>
  </si>
  <si>
    <t>=SUM(E21-F21-G21)</t>
  </si>
  <si>
    <t>L21</t>
  </si>
  <si>
    <t>=SUM(J21+K21)/H21*100</t>
  </si>
  <si>
    <t>N21</t>
  </si>
  <si>
    <t>=SUM(L21-M21)</t>
  </si>
  <si>
    <t>O21</t>
  </si>
  <si>
    <t>=SUM(I21/H21)*1000</t>
  </si>
  <si>
    <t>C22</t>
  </si>
  <si>
    <t>3.6 - day 7</t>
  </si>
  <si>
    <t>E22</t>
  </si>
  <si>
    <t>=H21</t>
  </si>
  <si>
    <t>H22</t>
  </si>
  <si>
    <t>=SUM(E22-F22-G22)</t>
  </si>
  <si>
    <t>L22</t>
  </si>
  <si>
    <t>=SUM(J22+K22)/H22*100</t>
  </si>
  <si>
    <t>N22</t>
  </si>
  <si>
    <t>=SUM(L22-M22)</t>
  </si>
  <si>
    <t>O22</t>
  </si>
  <si>
    <t>=SUM(I22/H22)*1000</t>
  </si>
  <si>
    <t>C23</t>
  </si>
  <si>
    <t>4.0 - day 1</t>
  </si>
  <si>
    <t>E23</t>
  </si>
  <si>
    <t>=H22</t>
  </si>
  <si>
    <t>H23</t>
  </si>
  <si>
    <t>=SUM(E23-F23-G23)</t>
  </si>
  <si>
    <t>L23</t>
  </si>
  <si>
    <t>=SUM(J23+K23)/H23*100</t>
  </si>
  <si>
    <t>N23</t>
  </si>
  <si>
    <t>=SUM(L23-M23)</t>
  </si>
  <si>
    <t>O23</t>
  </si>
  <si>
    <t>=SUM(I23/H23)*1000</t>
  </si>
  <si>
    <t>C24</t>
  </si>
  <si>
    <t>4.1 - day 2</t>
  </si>
  <si>
    <t>E24</t>
  </si>
  <si>
    <t>=H23</t>
  </si>
  <si>
    <t>H24</t>
  </si>
  <si>
    <t>=SUM(E24-F24-G24)</t>
  </si>
  <si>
    <t>L24</t>
  </si>
  <si>
    <t>=SUM(J24+K24)/H24*100</t>
  </si>
  <si>
    <t>N24</t>
  </si>
  <si>
    <t>=SUM(L24-M24)</t>
  </si>
  <si>
    <t>O24</t>
  </si>
  <si>
    <t>=SUM(I24/H24)*1000</t>
  </si>
  <si>
    <t>C25</t>
  </si>
  <si>
    <t>4.2 - day 3</t>
  </si>
  <si>
    <t>E25</t>
  </si>
  <si>
    <t>=H24</t>
  </si>
  <si>
    <t>H25</t>
  </si>
  <si>
    <t>=SUM(E25-F25-G25)</t>
  </si>
  <si>
    <t>L25</t>
  </si>
  <si>
    <t>=SUM(J25+K25)/H25*100</t>
  </si>
  <si>
    <t>N25</t>
  </si>
  <si>
    <t>=SUM(L25-M25)</t>
  </si>
  <si>
    <t>O25</t>
  </si>
  <si>
    <t>=SUM(I25/H25)*1000</t>
  </si>
  <si>
    <t>C26</t>
  </si>
  <si>
    <t>4.3 - day 4</t>
  </si>
  <si>
    <t>E26</t>
  </si>
  <si>
    <t>=H25</t>
  </si>
  <si>
    <t>H26</t>
  </si>
  <si>
    <t>=SUM(E26-F26-G26)</t>
  </si>
  <si>
    <t>L26</t>
  </si>
  <si>
    <t>=SUM(J26+K26)/H26*100</t>
  </si>
  <si>
    <t>N26</t>
  </si>
  <si>
    <t>=SUM(L26-M26)</t>
  </si>
  <si>
    <t>O26</t>
  </si>
  <si>
    <t>=SUM(I26/H26)*1000</t>
  </si>
  <si>
    <t>C27</t>
  </si>
  <si>
    <t>4.4 - day 5</t>
  </si>
  <si>
    <t>E27</t>
  </si>
  <si>
    <t>=H26</t>
  </si>
  <si>
    <t>H27</t>
  </si>
  <si>
    <t>=SUM(E27-F27-G27)</t>
  </si>
  <si>
    <t>L27</t>
  </si>
  <si>
    <t>=SUM(J27+K27)/H27*100</t>
  </si>
  <si>
    <t>N27</t>
  </si>
  <si>
    <t>=SUM(L27-M27)</t>
  </si>
  <si>
    <t>O27</t>
  </si>
  <si>
    <t>=SUM(I27/H27)*1000</t>
  </si>
  <si>
    <t>C28</t>
  </si>
  <si>
    <t>4.5 - day 6</t>
  </si>
  <si>
    <t>E28</t>
  </si>
  <si>
    <t>=H27</t>
  </si>
  <si>
    <t>H28</t>
  </si>
  <si>
    <t>=SUM(E28-F28-G28)</t>
  </si>
  <si>
    <t>L28</t>
  </si>
  <si>
    <t>=SUM(J28+K28)/H28*100</t>
  </si>
  <si>
    <t>N28</t>
  </si>
  <si>
    <t>=SUM(L28-M28)</t>
  </si>
  <si>
    <t>O28</t>
  </si>
  <si>
    <t>=SUM(I28/H28)*1000</t>
  </si>
  <si>
    <t>C29</t>
  </si>
  <si>
    <t>4.6 - day 7</t>
  </si>
  <si>
    <t>E29</t>
  </si>
  <si>
    <t>=H28</t>
  </si>
  <si>
    <t>H29</t>
  </si>
  <si>
    <t>=SUM(E29-F29-G29)</t>
  </si>
  <si>
    <t>L29</t>
  </si>
  <si>
    <t>=SUM(J29+K29)/H29*100</t>
  </si>
  <si>
    <t>N29</t>
  </si>
  <si>
    <t>=SUM(L29-M29)</t>
  </si>
  <si>
    <t>O29</t>
  </si>
  <si>
    <t>=SUM(I29/H29)*1000</t>
  </si>
  <si>
    <t>C30</t>
  </si>
  <si>
    <t>5.0 - day 1</t>
  </si>
  <si>
    <t>E30</t>
  </si>
  <si>
    <t>=H29</t>
  </si>
  <si>
    <t>H30</t>
  </si>
  <si>
    <t>=SUM(E30-F30-G30)</t>
  </si>
  <si>
    <t>L30</t>
  </si>
  <si>
    <t>=SUM(J30+K30)/H30*100</t>
  </si>
  <si>
    <t>N30</t>
  </si>
  <si>
    <t>=SUM(L30-M30)</t>
  </si>
  <si>
    <t>O30</t>
  </si>
  <si>
    <t>=SUM(I30/H30)*1000</t>
  </si>
  <si>
    <t>C31</t>
  </si>
  <si>
    <t>5.1 - day 2</t>
  </si>
  <si>
    <t>E31</t>
  </si>
  <si>
    <t>=H30</t>
  </si>
  <si>
    <t>H31</t>
  </si>
  <si>
    <t>=SUM(E31-F31-G31)</t>
  </si>
  <si>
    <t>L31</t>
  </si>
  <si>
    <t>=SUM(J31+K31)/H31*100</t>
  </si>
  <si>
    <t>N31</t>
  </si>
  <si>
    <t>=SUM(L31-M31)</t>
  </si>
  <si>
    <t>O31</t>
  </si>
  <si>
    <t>=SUM(I31/H31)*1000</t>
  </si>
  <si>
    <t>C32</t>
  </si>
  <si>
    <t>5.2 - day 3</t>
  </si>
  <si>
    <t>E32</t>
  </si>
  <si>
    <t>=H31</t>
  </si>
  <si>
    <t>H32</t>
  </si>
  <si>
    <t>=SUM(E32-F32-G32)</t>
  </si>
  <si>
    <t>L32</t>
  </si>
  <si>
    <t>=SUM(J32+K32)/H32*100</t>
  </si>
  <si>
    <t>N32</t>
  </si>
  <si>
    <t>=SUM(L32-M32)</t>
  </si>
  <si>
    <t>O32</t>
  </si>
  <si>
    <t>=SUM(I32/H32)*1000</t>
  </si>
  <si>
    <t>C33</t>
  </si>
  <si>
    <t>5.3 - day 4</t>
  </si>
  <si>
    <t>E33</t>
  </si>
  <si>
    <t>=H32</t>
  </si>
  <si>
    <t>H33</t>
  </si>
  <si>
    <t>=SUM(E33-F33-G33)</t>
  </si>
  <si>
    <t>L33</t>
  </si>
  <si>
    <t>=SUM(J33+K33)/H33*100</t>
  </si>
  <si>
    <t>N33</t>
  </si>
  <si>
    <t>=SUM(L33-M33)</t>
  </si>
  <si>
    <t>O33</t>
  </si>
  <si>
    <t>=SUM(I33/H33)*1000</t>
  </si>
  <si>
    <t>C34</t>
  </si>
  <si>
    <t>5.4 - day 5</t>
  </si>
  <si>
    <t>E34</t>
  </si>
  <si>
    <t>=H33</t>
  </si>
  <si>
    <t>H34</t>
  </si>
  <si>
    <t>=SUM(E34-F34-G34)</t>
  </si>
  <si>
    <t>L34</t>
  </si>
  <si>
    <t>=SUM(J34+K34)/H34*100</t>
  </si>
  <si>
    <t>N34</t>
  </si>
  <si>
    <t>=SUM(L34-M34)</t>
  </si>
  <si>
    <t>O34</t>
  </si>
  <si>
    <t>=SUM(I34/H34)*1000</t>
  </si>
  <si>
    <t>C35</t>
  </si>
  <si>
    <t>5.5 - day 6</t>
  </si>
  <si>
    <t>E35</t>
  </si>
  <si>
    <t>=H34</t>
  </si>
  <si>
    <t>H35</t>
  </si>
  <si>
    <t>=SUM(E35-F35-G35)</t>
  </si>
  <si>
    <t>L35</t>
  </si>
  <si>
    <t>=SUM(J35+K35)/H35*100</t>
  </si>
  <si>
    <t>N35</t>
  </si>
  <si>
    <t>=SUM(L35-M35)</t>
  </si>
  <si>
    <t>O35</t>
  </si>
  <si>
    <t>=SUM(I35/H35)*1000</t>
  </si>
  <si>
    <t>C36</t>
  </si>
  <si>
    <t>5.6 - day 7</t>
  </si>
  <si>
    <t>E36</t>
  </si>
  <si>
    <t>=H35</t>
  </si>
  <si>
    <t>H36</t>
  </si>
  <si>
    <t>=SUM(E36-F36-G36)</t>
  </si>
  <si>
    <t>L36</t>
  </si>
  <si>
    <t>=SUM(J36+K36)/H36*100</t>
  </si>
  <si>
    <t>N36</t>
  </si>
  <si>
    <t>=SUM(L36-M36)</t>
  </si>
  <si>
    <t>O36</t>
  </si>
  <si>
    <t>=SUM(I36/H36)*1000</t>
  </si>
  <si>
    <t>C37</t>
  </si>
  <si>
    <t>6.0 - day 1</t>
  </si>
  <si>
    <t>E37</t>
  </si>
  <si>
    <t>=H36</t>
  </si>
  <si>
    <t>H37</t>
  </si>
  <si>
    <t>=SUM(E37-F37-G37)</t>
  </si>
  <si>
    <t>L37</t>
  </si>
  <si>
    <t>=SUM(J37+K37)/H37*100</t>
  </si>
  <si>
    <t>N37</t>
  </si>
  <si>
    <t>=SUM(L37-M37)</t>
  </si>
  <si>
    <t>O37</t>
  </si>
  <si>
    <t>=SUM(I37/H37)*1000</t>
  </si>
  <si>
    <t>C38</t>
  </si>
  <si>
    <t>6.1 - day 2</t>
  </si>
  <si>
    <t>E38</t>
  </si>
  <si>
    <t>=H37</t>
  </si>
  <si>
    <t>H38</t>
  </si>
  <si>
    <t>=SUM(E38-F38-G38)</t>
  </si>
  <si>
    <t>L38</t>
  </si>
  <si>
    <t>=SUM(J38+K38)/H38*100</t>
  </si>
  <si>
    <t>N38</t>
  </si>
  <si>
    <t>=SUM(L38-M38)</t>
  </si>
  <si>
    <t>O38</t>
  </si>
  <si>
    <t>=SUM(I38/H38)*1000</t>
  </si>
  <si>
    <t>C39</t>
  </si>
  <si>
    <t>6.2 - day 3</t>
  </si>
  <si>
    <t>E39</t>
  </si>
  <si>
    <t>=H38</t>
  </si>
  <si>
    <t>H39</t>
  </si>
  <si>
    <t>=SUM(E39-F39-G39)</t>
  </si>
  <si>
    <t>L39</t>
  </si>
  <si>
    <t>=SUM(J39+K39)/H39*100</t>
  </si>
  <si>
    <t>N39</t>
  </si>
  <si>
    <t>=SUM(L39-M39)</t>
  </si>
  <si>
    <t>O39</t>
  </si>
  <si>
    <t>=SUM(I39/H39)*1000</t>
  </si>
  <si>
    <t>C40</t>
  </si>
  <si>
    <t>6.3 - day 4</t>
  </si>
  <si>
    <t>E40</t>
  </si>
  <si>
    <t>=H39</t>
  </si>
  <si>
    <t>H40</t>
  </si>
  <si>
    <t>=SUM(E40-F40-G40)</t>
  </si>
  <si>
    <t>L40</t>
  </si>
  <si>
    <t>=SUM(J40+K40)/H40*100</t>
  </si>
  <si>
    <t>N40</t>
  </si>
  <si>
    <t>=SUM(L40-M40)</t>
  </si>
  <si>
    <t>O40</t>
  </si>
  <si>
    <t>=SUM(I40/H40)*1000</t>
  </si>
  <si>
    <t>C41</t>
  </si>
  <si>
    <t>6.4 - day 5</t>
  </si>
  <si>
    <t>E41</t>
  </si>
  <si>
    <t>=H40</t>
  </si>
  <si>
    <t>H41</t>
  </si>
  <si>
    <t>=SUM(E41-F41-G41)</t>
  </si>
  <si>
    <t>L41</t>
  </si>
  <si>
    <t>=SUM(J41+K41)/H41*100</t>
  </si>
  <si>
    <t>N41</t>
  </si>
  <si>
    <t>=SUM(L41-M41)</t>
  </si>
  <si>
    <t>O41</t>
  </si>
  <si>
    <t>=SUM(I41/H41)*1000</t>
  </si>
  <si>
    <t>C42</t>
  </si>
  <si>
    <t>6.5 - day 6</t>
  </si>
  <si>
    <t>E42</t>
  </si>
  <si>
    <t>=H41</t>
  </si>
  <si>
    <t>H42</t>
  </si>
  <si>
    <t>=SUM(E42-F42-G42)</t>
  </si>
  <si>
    <t>L42</t>
  </si>
  <si>
    <t>=SUM(J42+K42)/H42*100</t>
  </si>
  <si>
    <t>N42</t>
  </si>
  <si>
    <t>=SUM(L42-M42)</t>
  </si>
  <si>
    <t>O42</t>
  </si>
  <si>
    <t>=SUM(I42/H42)*1000</t>
  </si>
  <si>
    <t>C43</t>
  </si>
  <si>
    <t>6.6 - day 7</t>
  </si>
  <si>
    <t>E43</t>
  </si>
  <si>
    <t>=H42</t>
  </si>
  <si>
    <t>H43</t>
  </si>
  <si>
    <t>=SUM(E43-F43-G43)</t>
  </si>
  <si>
    <t>L43</t>
  </si>
  <si>
    <t>=SUM(J43+K43)/H43*100</t>
  </si>
  <si>
    <t>N43</t>
  </si>
  <si>
    <t>=SUM(L43-M43)</t>
  </si>
  <si>
    <t>O43</t>
  </si>
  <si>
    <t>=SUM(I43/H43)*1000</t>
  </si>
  <si>
    <t>C44</t>
  </si>
  <si>
    <t>7.0 - day 1</t>
  </si>
  <si>
    <t>E44</t>
  </si>
  <si>
    <t>=H43</t>
  </si>
  <si>
    <t>H44</t>
  </si>
  <si>
    <t>=SUM(E44-F44-G44)</t>
  </si>
  <si>
    <t>L44</t>
  </si>
  <si>
    <t>=SUM(J44+K44)/H44*100</t>
  </si>
  <si>
    <t>N44</t>
  </si>
  <si>
    <t>=SUM(L44-M44)</t>
  </si>
  <si>
    <t>O44</t>
  </si>
  <si>
    <t>=SUM(I44/H44)*1000</t>
  </si>
  <si>
    <t>C45</t>
  </si>
  <si>
    <t>7.1 - day 2</t>
  </si>
  <si>
    <t>E45</t>
  </si>
  <si>
    <t>=H44</t>
  </si>
  <si>
    <t>H45</t>
  </si>
  <si>
    <t>=SUM(E45-F45-G45)</t>
  </si>
  <si>
    <t>L45</t>
  </si>
  <si>
    <t>=SUM(J45+K45)/H45*100</t>
  </si>
  <si>
    <t>N45</t>
  </si>
  <si>
    <t>=SUM(L45-M45)</t>
  </si>
  <si>
    <t>O45</t>
  </si>
  <si>
    <t>=SUM(I45/H45)*1000</t>
  </si>
  <si>
    <t>C46</t>
  </si>
  <si>
    <t>7.2 - day 3</t>
  </si>
  <si>
    <t>E46</t>
  </si>
  <si>
    <t>=H45</t>
  </si>
  <si>
    <t>H46</t>
  </si>
  <si>
    <t>=SUM(E46-F46-G46)</t>
  </si>
  <si>
    <t>L46</t>
  </si>
  <si>
    <t>=SUM(J46+K46)/H46*100</t>
  </si>
  <si>
    <t>N46</t>
  </si>
  <si>
    <t>=SUM(L46-M46)</t>
  </si>
  <si>
    <t>O46</t>
  </si>
  <si>
    <t>=SUM(I46/H46)*1000</t>
  </si>
  <si>
    <t>C47</t>
  </si>
  <si>
    <t>7.3 - day 4</t>
  </si>
  <si>
    <t>E47</t>
  </si>
  <si>
    <t>=H46</t>
  </si>
  <si>
    <t>H47</t>
  </si>
  <si>
    <t>=SUM(E47-F47-G47)</t>
  </si>
  <si>
    <t>L47</t>
  </si>
  <si>
    <t>=SUM(J47+K47)/H47*100</t>
  </si>
  <si>
    <t>N47</t>
  </si>
  <si>
    <t>=SUM(L47-M47)</t>
  </si>
  <si>
    <t>O47</t>
  </si>
  <si>
    <t>=SUM(I47/H47)*1000</t>
  </si>
  <si>
    <t>C48</t>
  </si>
  <si>
    <t>7.4 - day 5</t>
  </si>
  <si>
    <t>E48</t>
  </si>
  <si>
    <t>=H47</t>
  </si>
  <si>
    <t>H48</t>
  </si>
  <si>
    <t>=SUM(E48-F48-G48)</t>
  </si>
  <si>
    <t>L48</t>
  </si>
  <si>
    <t>=SUM(J48+K48)/H48*100</t>
  </si>
  <si>
    <t>N48</t>
  </si>
  <si>
    <t>=SUM(L48-M48)</t>
  </si>
  <si>
    <t>O48</t>
  </si>
  <si>
    <t>=SUM(I48/H48)*1000</t>
  </si>
  <si>
    <t>C49</t>
  </si>
  <si>
    <t>7.5 - day 6</t>
  </si>
  <si>
    <t>E49</t>
  </si>
  <si>
    <t>=H48</t>
  </si>
  <si>
    <t>H49</t>
  </si>
  <si>
    <t>=SUM(E49-F49-G49)</t>
  </si>
  <si>
    <t>L49</t>
  </si>
  <si>
    <t>=SUM(J49+K49)/H49*100</t>
  </si>
  <si>
    <t>N49</t>
  </si>
  <si>
    <t>=SUM(L49-M49)</t>
  </si>
  <si>
    <t>O49</t>
  </si>
  <si>
    <t>=SUM(I49/H49)*1000</t>
  </si>
  <si>
    <t>C50</t>
  </si>
  <si>
    <t>7.6 - day 7</t>
  </si>
  <si>
    <t>E50</t>
  </si>
  <si>
    <t>=H49</t>
  </si>
  <si>
    <t>H50</t>
  </si>
  <si>
    <t>=SUM(E50-F50-G50)</t>
  </si>
  <si>
    <t>L50</t>
  </si>
  <si>
    <t>=SUM(J50+K50)/H50*100</t>
  </si>
  <si>
    <t>N50</t>
  </si>
  <si>
    <t>=SUM(L50-M50)</t>
  </si>
  <si>
    <t>O50</t>
  </si>
  <si>
    <t>=SUM(I50/H50)*1000</t>
  </si>
  <si>
    <t>C51</t>
  </si>
  <si>
    <t>8.0 - day 1</t>
  </si>
  <si>
    <t>E51</t>
  </si>
  <si>
    <t>=H50</t>
  </si>
  <si>
    <t>H51</t>
  </si>
  <si>
    <t>=SUM(E51-F51-G51)</t>
  </si>
  <si>
    <t>L51</t>
  </si>
  <si>
    <t>=SUM(J51+K51)/H51*100</t>
  </si>
  <si>
    <t>N51</t>
  </si>
  <si>
    <t>=SUM(L51-M51)</t>
  </si>
  <si>
    <t>O51</t>
  </si>
  <si>
    <t>=SUM(I51/H51)*1000</t>
  </si>
  <si>
    <t>C52</t>
  </si>
  <si>
    <t>8.1 - day 2</t>
  </si>
  <si>
    <t>E52</t>
  </si>
  <si>
    <t>=H51</t>
  </si>
  <si>
    <t>H52</t>
  </si>
  <si>
    <t>=SUM(E52-F52-G52)</t>
  </si>
  <si>
    <t>L52</t>
  </si>
  <si>
    <t>=SUM(J52+K52)/H52*100</t>
  </si>
  <si>
    <t>N52</t>
  </si>
  <si>
    <t>=SUM(L52-M52)</t>
  </si>
  <si>
    <t>O52</t>
  </si>
  <si>
    <t>=SUM(I52/H52)*1000</t>
  </si>
  <si>
    <t>C53</t>
  </si>
  <si>
    <t>8.2 - day 3</t>
  </si>
  <si>
    <t>E53</t>
  </si>
  <si>
    <t>=H52</t>
  </si>
  <si>
    <t>H53</t>
  </si>
  <si>
    <t>=SUM(E53-F53-G53)</t>
  </si>
  <si>
    <t>L53</t>
  </si>
  <si>
    <t>=SUM(J53+K53)/H53*100</t>
  </si>
  <si>
    <t>N53</t>
  </si>
  <si>
    <t>=SUM(L53-M53)</t>
  </si>
  <si>
    <t>O53</t>
  </si>
  <si>
    <t>=SUM(I53/H53)*1000</t>
  </si>
  <si>
    <t>C54</t>
  </si>
  <si>
    <t>8.3 - day 4</t>
  </si>
  <si>
    <t>E54</t>
  </si>
  <si>
    <t>=H53</t>
  </si>
  <si>
    <t>H54</t>
  </si>
  <si>
    <t>=SUM(E54-F54-G54)</t>
  </si>
  <si>
    <t>L54</t>
  </si>
  <si>
    <t>=SUM(J54+K54)/H54*100</t>
  </si>
  <si>
    <t>N54</t>
  </si>
  <si>
    <t>=SUM(L54-M54)</t>
  </si>
  <si>
    <t>O54</t>
  </si>
  <si>
    <t>=SUM(I54/H54)*1000</t>
  </si>
  <si>
    <t>C55</t>
  </si>
  <si>
    <t>8.4 - day 5</t>
  </si>
  <si>
    <t>E55</t>
  </si>
  <si>
    <t>=H54</t>
  </si>
  <si>
    <t>H55</t>
  </si>
  <si>
    <t>=SUM(E55-F55-G55)</t>
  </si>
  <si>
    <t>L55</t>
  </si>
  <si>
    <t>=SUM(J55+K55)/H55*100</t>
  </si>
  <si>
    <t>N55</t>
  </si>
  <si>
    <t>=SUM(L55-M55)</t>
  </si>
  <si>
    <t>O55</t>
  </si>
  <si>
    <t>=SUM(I55/H55)*1000</t>
  </si>
  <si>
    <t>C56</t>
  </si>
  <si>
    <t>8.5 - day 6</t>
  </si>
  <si>
    <t>E56</t>
  </si>
  <si>
    <t>=H55</t>
  </si>
  <si>
    <t>H56</t>
  </si>
  <si>
    <t>=SUM(E56-F56-G56)</t>
  </si>
  <si>
    <t>L56</t>
  </si>
  <si>
    <t>=SUM(J56+K56)/H56*100</t>
  </si>
  <si>
    <t>N56</t>
  </si>
  <si>
    <t>=SUM(L56-M56)</t>
  </si>
  <si>
    <t>O56</t>
  </si>
  <si>
    <t>=SUM(I56/H56)*1000</t>
  </si>
  <si>
    <t>C57</t>
  </si>
  <si>
    <t>8.6 - day 7</t>
  </si>
  <si>
    <t>E57</t>
  </si>
  <si>
    <t>=H56</t>
  </si>
  <si>
    <t>H57</t>
  </si>
  <si>
    <t>=SUM(E57-F57-G57)</t>
  </si>
  <si>
    <t>L57</t>
  </si>
  <si>
    <t>=SUM(J57+K57)/H57*100</t>
  </si>
  <si>
    <t>N57</t>
  </si>
  <si>
    <t>=SUM(L57-M57)</t>
  </si>
  <si>
    <t>O57</t>
  </si>
  <si>
    <t>=SUM(I57/H57)*1000</t>
  </si>
  <si>
    <t>C58</t>
  </si>
  <si>
    <t>9.0 - day 1</t>
  </si>
  <si>
    <t>E58</t>
  </si>
  <si>
    <t>=H57</t>
  </si>
  <si>
    <t>H58</t>
  </si>
  <si>
    <t>=SUM(E58-F58-G58)</t>
  </si>
  <si>
    <t>L58</t>
  </si>
  <si>
    <t>=SUM(J58+K58)/H58*100</t>
  </si>
  <si>
    <t>N58</t>
  </si>
  <si>
    <t>=SUM(L58-M58)</t>
  </si>
  <si>
    <t>O58</t>
  </si>
  <si>
    <t>=SUM(I58/H58)*1000</t>
  </si>
  <si>
    <t>C59</t>
  </si>
  <si>
    <t>9.1 - day 2</t>
  </si>
  <si>
    <t>E59</t>
  </si>
  <si>
    <t>=H58</t>
  </si>
  <si>
    <t>H59</t>
  </si>
  <si>
    <t>=SUM(E59-F59-G59)</t>
  </si>
  <si>
    <t>L59</t>
  </si>
  <si>
    <t>=SUM(J59+K59)/H59*100</t>
  </si>
  <si>
    <t>N59</t>
  </si>
  <si>
    <t>=SUM(L59-M59)</t>
  </si>
  <si>
    <t>O59</t>
  </si>
  <si>
    <t>=SUM(I59/H59)*1000</t>
  </si>
  <si>
    <t>C60</t>
  </si>
  <si>
    <t>9.2 - day 3</t>
  </si>
  <si>
    <t>E60</t>
  </si>
  <si>
    <t>=H59</t>
  </si>
  <si>
    <t>H60</t>
  </si>
  <si>
    <t>=SUM(E60-F60-G60)</t>
  </si>
  <si>
    <t>L60</t>
  </si>
  <si>
    <t>=SUM(J60+K60)/H60*100</t>
  </si>
  <si>
    <t>N60</t>
  </si>
  <si>
    <t>=SUM(L60-M60)</t>
  </si>
  <si>
    <t>O60</t>
  </si>
  <si>
    <t>=SUM(I60/H60)*1000</t>
  </si>
  <si>
    <t>C61</t>
  </si>
  <si>
    <t>9.3 - day 4</t>
  </si>
  <si>
    <t>E61</t>
  </si>
  <si>
    <t>=H60</t>
  </si>
  <si>
    <t>H61</t>
  </si>
  <si>
    <t>=SUM(E61-F61-G61)</t>
  </si>
  <si>
    <t>L61</t>
  </si>
  <si>
    <t>=SUM(J61+K61)/H61*100</t>
  </si>
  <si>
    <t>N61</t>
  </si>
  <si>
    <t>=SUM(L61-M61)</t>
  </si>
  <si>
    <t>O61</t>
  </si>
  <si>
    <t>=SUM(I61/H61)*1000</t>
  </si>
  <si>
    <t>C62</t>
  </si>
  <si>
    <t>9.4 - day 5</t>
  </si>
  <si>
    <t>E62</t>
  </si>
  <si>
    <t>=H61</t>
  </si>
  <si>
    <t>H62</t>
  </si>
  <si>
    <t>=SUM(E62-F62-G62)</t>
  </si>
  <si>
    <t>L62</t>
  </si>
  <si>
    <t>=SUM(J62+K62)/H62*100</t>
  </si>
  <si>
    <t>N62</t>
  </si>
  <si>
    <t>=SUM(L62-M62)</t>
  </si>
  <si>
    <t>O62</t>
  </si>
  <si>
    <t>=SUM(I62/H62)*1000</t>
  </si>
  <si>
    <t>C63</t>
  </si>
  <si>
    <t>9.5 - day 6</t>
  </si>
  <si>
    <t>E63</t>
  </si>
  <si>
    <t>=H62</t>
  </si>
  <si>
    <t>H63</t>
  </si>
  <si>
    <t>=SUM(E63-F63-G63)</t>
  </si>
  <si>
    <t>L63</t>
  </si>
  <si>
    <t>=SUM(J63+K63)/H63*100</t>
  </si>
  <si>
    <t>N63</t>
  </si>
  <si>
    <t>=SUM(L63-M63)</t>
  </si>
  <si>
    <t>O63</t>
  </si>
  <si>
    <t>=SUM(I63/H63)*1000</t>
  </si>
  <si>
    <t>C64</t>
  </si>
  <si>
    <t>9.6 - day 7</t>
  </si>
  <si>
    <t>E64</t>
  </si>
  <si>
    <t>=H63</t>
  </si>
  <si>
    <t>H64</t>
  </si>
  <si>
    <t>=SUM(E64-F64-G64)</t>
  </si>
  <si>
    <t>L64</t>
  </si>
  <si>
    <t>=SUM(J64+K64)/H64*100</t>
  </si>
  <si>
    <t>N64</t>
  </si>
  <si>
    <t>=SUM(L64-M64)</t>
  </si>
  <si>
    <t>O64</t>
  </si>
  <si>
    <t>=SUM(I64/H64)*1000</t>
  </si>
  <si>
    <t>C65</t>
  </si>
  <si>
    <t>10.0 - day 1</t>
  </si>
  <si>
    <t>E65</t>
  </si>
  <si>
    <t>=H64</t>
  </si>
  <si>
    <t>H65</t>
  </si>
  <si>
    <t>=SUM(E65-F65-G65)</t>
  </si>
  <si>
    <t>L65</t>
  </si>
  <si>
    <t>=SUM(J65+K65)/H65*100</t>
  </si>
  <si>
    <t>N65</t>
  </si>
  <si>
    <t>=SUM(L65-M65)</t>
  </si>
  <si>
    <t>O65</t>
  </si>
  <si>
    <t>=SUM(I65/H65)*1000</t>
  </si>
  <si>
    <t>C66</t>
  </si>
  <si>
    <t>10.1 - day 2</t>
  </si>
  <si>
    <t>E66</t>
  </si>
  <si>
    <t>=H65</t>
  </si>
  <si>
    <t>H66</t>
  </si>
  <si>
    <t>=SUM(E66-F66-G66)</t>
  </si>
  <si>
    <t>L66</t>
  </si>
  <si>
    <t>=SUM(J66+K66)/H66*100</t>
  </si>
  <si>
    <t>N66</t>
  </si>
  <si>
    <t>=SUM(L66-M66)</t>
  </si>
  <si>
    <t>O66</t>
  </si>
  <si>
    <t>=SUM(I66/H66)*1000</t>
  </si>
  <si>
    <t>C67</t>
  </si>
  <si>
    <t>10.2 - day 3</t>
  </si>
  <si>
    <t>E67</t>
  </si>
  <si>
    <t>=H66</t>
  </si>
  <si>
    <t>H67</t>
  </si>
  <si>
    <t>=SUM(E67-F67-G67)</t>
  </si>
  <si>
    <t>L67</t>
  </si>
  <si>
    <t>=SUM(J67+K67)/H67*100</t>
  </si>
  <si>
    <t>N67</t>
  </si>
  <si>
    <t>=SUM(L67-M67)</t>
  </si>
  <si>
    <t>O67</t>
  </si>
  <si>
    <t>=SUM(I67/H67)*1000</t>
  </si>
  <si>
    <t>C68</t>
  </si>
  <si>
    <t>10.3 - day 4</t>
  </si>
  <si>
    <t>E68</t>
  </si>
  <si>
    <t>=H67</t>
  </si>
  <si>
    <t>H68</t>
  </si>
  <si>
    <t>=SUM(E68-F68-G68)</t>
  </si>
  <si>
    <t>L68</t>
  </si>
  <si>
    <t>=SUM(J68+K68)/H68*100</t>
  </si>
  <si>
    <t>N68</t>
  </si>
  <si>
    <t>=SUM(L68-M68)</t>
  </si>
  <si>
    <t>O68</t>
  </si>
  <si>
    <t>=SUM(I68/H68)*1000</t>
  </si>
  <si>
    <t>C69</t>
  </si>
  <si>
    <t>10.4 - day 5</t>
  </si>
  <si>
    <t>E69</t>
  </si>
  <si>
    <t>=H68</t>
  </si>
  <si>
    <t>H69</t>
  </si>
  <si>
    <t>=SUM(E69-F69-G69)</t>
  </si>
  <si>
    <t>L69</t>
  </si>
  <si>
    <t>=SUM(J69+K69)/H69*100</t>
  </si>
  <si>
    <t>N69</t>
  </si>
  <si>
    <t>=SUM(L69-M69)</t>
  </si>
  <si>
    <t>O69</t>
  </si>
  <si>
    <t>=SUM(I69/H69)*1000</t>
  </si>
  <si>
    <t>C70</t>
  </si>
  <si>
    <t>10.5 - day 6</t>
  </si>
  <si>
    <t>E70</t>
  </si>
  <si>
    <t>=H69</t>
  </si>
  <si>
    <t>H70</t>
  </si>
  <si>
    <t>=SUM(E70-F70-G70)</t>
  </si>
  <si>
    <t>L70</t>
  </si>
  <si>
    <t>=SUM(J70+K70)/H70*100</t>
  </si>
  <si>
    <t>N70</t>
  </si>
  <si>
    <t>=SUM(L70-M70)</t>
  </si>
  <si>
    <t>O70</t>
  </si>
  <si>
    <t>=SUM(I70/H70)*1000</t>
  </si>
  <si>
    <t>C71</t>
  </si>
  <si>
    <t>10.6 - day 7</t>
  </si>
  <si>
    <t>E71</t>
  </si>
  <si>
    <t>=H70</t>
  </si>
  <si>
    <t>H71</t>
  </si>
  <si>
    <t>=SUM(E71-F71-G71)</t>
  </si>
  <si>
    <t>L71</t>
  </si>
  <si>
    <t>=SUM(J71+K71)/H71*100</t>
  </si>
  <si>
    <t>N71</t>
  </si>
  <si>
    <t>=SUM(L71-M71)</t>
  </si>
  <si>
    <t>O71</t>
  </si>
  <si>
    <t>=SUM(I71/H71)*1000</t>
  </si>
  <si>
    <t>C72</t>
  </si>
  <si>
    <t>11.0 - day 1</t>
  </si>
  <si>
    <t>E72</t>
  </si>
  <si>
    <t>=H71</t>
  </si>
  <si>
    <t>H72</t>
  </si>
  <si>
    <t>=SUM(E72-F72-G72)</t>
  </si>
  <si>
    <t>L72</t>
  </si>
  <si>
    <t>=SUM(J72+K72)/H72*100</t>
  </si>
  <si>
    <t>N72</t>
  </si>
  <si>
    <t>=SUM(L72-M72)</t>
  </si>
  <si>
    <t>O72</t>
  </si>
  <si>
    <t>=SUM(I72/H72)*1000</t>
  </si>
  <si>
    <t>C73</t>
  </si>
  <si>
    <t>11.1 - day 2</t>
  </si>
  <si>
    <t>E73</t>
  </si>
  <si>
    <t>=H72</t>
  </si>
  <si>
    <t>H73</t>
  </si>
  <si>
    <t>=SUM(E73-F73-G73)</t>
  </si>
  <si>
    <t>L73</t>
  </si>
  <si>
    <t>=SUM(J73+K73)/H73*100</t>
  </si>
  <si>
    <t>N73</t>
  </si>
  <si>
    <t>=SUM(L73-M73)</t>
  </si>
  <si>
    <t>O73</t>
  </si>
  <si>
    <t>=SUM(I73/H73)*1000</t>
  </si>
  <si>
    <t>C74</t>
  </si>
  <si>
    <t>11.2 - day 3</t>
  </si>
  <si>
    <t>E74</t>
  </si>
  <si>
    <t>=H73</t>
  </si>
  <si>
    <t>H74</t>
  </si>
  <si>
    <t>=SUM(E74-F74-G74)</t>
  </si>
  <si>
    <t>L74</t>
  </si>
  <si>
    <t>=SUM(J74+K74)/H74*100</t>
  </si>
  <si>
    <t>N74</t>
  </si>
  <si>
    <t>=SUM(L74-M74)</t>
  </si>
  <si>
    <t>O74</t>
  </si>
  <si>
    <t>=SUM(I74/H74)*1000</t>
  </si>
  <si>
    <t>C75</t>
  </si>
  <si>
    <t>11.3 - day 4</t>
  </si>
  <si>
    <t>E75</t>
  </si>
  <si>
    <t>=H74</t>
  </si>
  <si>
    <t>H75</t>
  </si>
  <si>
    <t>=SUM(E75-F75-G75)</t>
  </si>
  <si>
    <t>L75</t>
  </si>
  <si>
    <t>=SUM(J75+K75)/H75*100</t>
  </si>
  <si>
    <t>N75</t>
  </si>
  <si>
    <t>=SUM(L75-M75)</t>
  </si>
  <si>
    <t>O75</t>
  </si>
  <si>
    <t>=SUM(I75/H75)*1000</t>
  </si>
  <si>
    <t>C76</t>
  </si>
  <si>
    <t>11.4 - day 5</t>
  </si>
  <si>
    <t>E76</t>
  </si>
  <si>
    <t>=H75</t>
  </si>
  <si>
    <t>H76</t>
  </si>
  <si>
    <t>=SUM(E76-F76-G76)</t>
  </si>
  <si>
    <t>L76</t>
  </si>
  <si>
    <t>=SUM(J76+K76)/H76*100</t>
  </si>
  <si>
    <t>N76</t>
  </si>
  <si>
    <t>=SUM(L76-M76)</t>
  </si>
  <si>
    <t>O76</t>
  </si>
  <si>
    <t>=SUM(I76/H76)*1000</t>
  </si>
  <si>
    <t>C77</t>
  </si>
  <si>
    <t>11.5 - day 6</t>
  </si>
  <si>
    <t>E77</t>
  </si>
  <si>
    <t>=H76</t>
  </si>
  <si>
    <t>H77</t>
  </si>
  <si>
    <t>=SUM(E77-F77-G77)</t>
  </si>
  <si>
    <t>L77</t>
  </si>
  <si>
    <t>=SUM(J77+K77)/H77*100</t>
  </si>
  <si>
    <t>N77</t>
  </si>
  <si>
    <t>=SUM(L77-M77)</t>
  </si>
  <si>
    <t>O77</t>
  </si>
  <si>
    <t>=SUM(I77/H77)*1000</t>
  </si>
  <si>
    <t>C78</t>
  </si>
  <si>
    <t>11.6 - day 7</t>
  </si>
  <si>
    <t>E78</t>
  </si>
  <si>
    <t>=H77</t>
  </si>
  <si>
    <t>H78</t>
  </si>
  <si>
    <t>=SUM(E78-F78-G78)</t>
  </si>
  <si>
    <t>L78</t>
  </si>
  <si>
    <t>=SUM(J78+K78)/H78*100</t>
  </si>
  <si>
    <t>N78</t>
  </si>
  <si>
    <t>=SUM(L78-M78)</t>
  </si>
  <si>
    <t>O78</t>
  </si>
  <si>
    <t>=SUM(I78/H78)*1000</t>
  </si>
  <si>
    <t>C79</t>
  </si>
  <si>
    <t>12.0 - day 1</t>
  </si>
  <si>
    <t>E79</t>
  </si>
  <si>
    <t>=H78</t>
  </si>
  <si>
    <t>H79</t>
  </si>
  <si>
    <t>=SUM(E79-F79-G79)</t>
  </si>
  <si>
    <t>L79</t>
  </si>
  <si>
    <t>=SUM(J79+K79)/H79*100</t>
  </si>
  <si>
    <t>N79</t>
  </si>
  <si>
    <t>=SUM(L79-M79)</t>
  </si>
  <si>
    <t>O79</t>
  </si>
  <si>
    <t>=SUM(I79/H79)*1000</t>
  </si>
  <si>
    <t>C80</t>
  </si>
  <si>
    <t>12.1 - day 2</t>
  </si>
  <si>
    <t>E80</t>
  </si>
  <si>
    <t>=H79</t>
  </si>
  <si>
    <t>H80</t>
  </si>
  <si>
    <t>=SUM(E80-F80-G80)</t>
  </si>
  <si>
    <t>L80</t>
  </si>
  <si>
    <t>=SUM(J80+K80)/H80*100</t>
  </si>
  <si>
    <t>N80</t>
  </si>
  <si>
    <t>=SUM(L80-M80)</t>
  </si>
  <si>
    <t>O80</t>
  </si>
  <si>
    <t>=SUM(I80/H80)*1000</t>
  </si>
  <si>
    <t>C81</t>
  </si>
  <si>
    <t>12.2 - day 3</t>
  </si>
  <si>
    <t>E81</t>
  </si>
  <si>
    <t>=H80</t>
  </si>
  <si>
    <t>H81</t>
  </si>
  <si>
    <t>=SUM(E81-F81-G81)</t>
  </si>
  <si>
    <t>L81</t>
  </si>
  <si>
    <t>=SUM(J81+K81)/H81*100</t>
  </si>
  <si>
    <t>N81</t>
  </si>
  <si>
    <t>=SUM(L81-M81)</t>
  </si>
  <si>
    <t>O81</t>
  </si>
  <si>
    <t>=SUM(I81/H81)*1000</t>
  </si>
  <si>
    <t>C82</t>
  </si>
  <si>
    <t>12.3 - day 4</t>
  </si>
  <si>
    <t>E82</t>
  </si>
  <si>
    <t>=H81</t>
  </si>
  <si>
    <t>H82</t>
  </si>
  <si>
    <t>=SUM(E82-F82-G82)</t>
  </si>
  <si>
    <t>L82</t>
  </si>
  <si>
    <t>=SUM(J82+K82)/H82*100</t>
  </si>
  <si>
    <t>N82</t>
  </si>
  <si>
    <t>=SUM(L82-M82)</t>
  </si>
  <si>
    <t>O82</t>
  </si>
  <si>
    <t>=SUM(I82/H82)*1000</t>
  </si>
  <si>
    <t>C83</t>
  </si>
  <si>
    <t>12.4 - day 5</t>
  </si>
  <si>
    <t>E83</t>
  </si>
  <si>
    <t>=H82</t>
  </si>
  <si>
    <t>H83</t>
  </si>
  <si>
    <t>=SUM(E83-F83-G83)</t>
  </si>
  <si>
    <t>L83</t>
  </si>
  <si>
    <t>=SUM(J83+K83)/H83*100</t>
  </si>
  <si>
    <t>N83</t>
  </si>
  <si>
    <t>=SUM(L83-M83)</t>
  </si>
  <si>
    <t>O83</t>
  </si>
  <si>
    <t>=SUM(I83/H83)*1000</t>
  </si>
  <si>
    <t>C84</t>
  </si>
  <si>
    <t>12.5 - day 6</t>
  </si>
  <si>
    <t>E84</t>
  </si>
  <si>
    <t>=H83</t>
  </si>
  <si>
    <t>H84</t>
  </si>
  <si>
    <t>=SUM(E84-F84-G84)</t>
  </si>
  <si>
    <t>L84</t>
  </si>
  <si>
    <t>=SUM(J84+K84)/H84*100</t>
  </si>
  <si>
    <t>N84</t>
  </si>
  <si>
    <t>=SUM(L84-M84)</t>
  </si>
  <si>
    <t>O84</t>
  </si>
  <si>
    <t>=SUM(I84/H84)*1000</t>
  </si>
  <si>
    <t>C85</t>
  </si>
  <si>
    <t>12.6 - day 7</t>
  </si>
  <si>
    <t>E85</t>
  </si>
  <si>
    <t>=H84</t>
  </si>
  <si>
    <t>H85</t>
  </si>
  <si>
    <t>=SUM(E85-F85-G85)</t>
  </si>
  <si>
    <t>L85</t>
  </si>
  <si>
    <t>=SUM(J85+K85)/H85*100</t>
  </si>
  <si>
    <t>N85</t>
  </si>
  <si>
    <t>=SUM(L85-M85)</t>
  </si>
  <si>
    <t>O85</t>
  </si>
  <si>
    <t>=SUM(I85/H85)*1000</t>
  </si>
  <si>
    <t>C86</t>
  </si>
  <si>
    <t>13.0 - day 1</t>
  </si>
  <si>
    <t>E86</t>
  </si>
  <si>
    <t>=H85</t>
  </si>
  <si>
    <t>H86</t>
  </si>
  <si>
    <t>=SUM(E86-F86-G86)</t>
  </si>
  <si>
    <t>L86</t>
  </si>
  <si>
    <t>=SUM(J86+K86)/H86*100</t>
  </si>
  <si>
    <t>N86</t>
  </si>
  <si>
    <t>=SUM(L86-M86)</t>
  </si>
  <si>
    <t>O86</t>
  </si>
  <si>
    <t>=SUM(I86/H86)*1000</t>
  </si>
  <si>
    <t>C87</t>
  </si>
  <si>
    <t>13.1 - day 2</t>
  </si>
  <si>
    <t>E87</t>
  </si>
  <si>
    <t>=H86</t>
  </si>
  <si>
    <t>H87</t>
  </si>
  <si>
    <t>=SUM(E87-F87-G87)</t>
  </si>
  <si>
    <t>L87</t>
  </si>
  <si>
    <t>=SUM(J87+K87)/H87*100</t>
  </si>
  <si>
    <t>N87</t>
  </si>
  <si>
    <t>=SUM(L87-M87)</t>
  </si>
  <si>
    <t>O87</t>
  </si>
  <si>
    <t>=SUM(I87/H87)*1000</t>
  </si>
  <si>
    <t>C88</t>
  </si>
  <si>
    <t>13.2 - day 3</t>
  </si>
  <si>
    <t>E88</t>
  </si>
  <si>
    <t>=H87</t>
  </si>
  <si>
    <t>H88</t>
  </si>
  <si>
    <t>=SUM(E88-F88-G88)</t>
  </si>
  <si>
    <t>L88</t>
  </si>
  <si>
    <t>=SUM(J88+K88)/H88*100</t>
  </si>
  <si>
    <t>N88</t>
  </si>
  <si>
    <t>=SUM(L88-M88)</t>
  </si>
  <si>
    <t>O88</t>
  </si>
  <si>
    <t>=SUM(I88/H88)*1000</t>
  </si>
  <si>
    <t>C89</t>
  </si>
  <si>
    <t>13.3 - day 4</t>
  </si>
  <si>
    <t>E89</t>
  </si>
  <si>
    <t>=H88</t>
  </si>
  <si>
    <t>H89</t>
  </si>
  <si>
    <t>=SUM(E89-F89-G89)</t>
  </si>
  <si>
    <t>L89</t>
  </si>
  <si>
    <t>=SUM(J89+K89)/H89*100</t>
  </si>
  <si>
    <t>N89</t>
  </si>
  <si>
    <t>=SUM(L89-M89)</t>
  </si>
  <si>
    <t>O89</t>
  </si>
  <si>
    <t>=SUM(I89/H89)*1000</t>
  </si>
  <si>
    <t>C90</t>
  </si>
  <si>
    <t>13.4 - day 5</t>
  </si>
  <si>
    <t>E90</t>
  </si>
  <si>
    <t>=H89</t>
  </si>
  <si>
    <t>H90</t>
  </si>
  <si>
    <t>=SUM(E90-F90-G90)</t>
  </si>
  <si>
    <t>L90</t>
  </si>
  <si>
    <t>=SUM(J90+K90)/H90*100</t>
  </si>
  <si>
    <t>N90</t>
  </si>
  <si>
    <t>=SUM(L90-M90)</t>
  </si>
  <si>
    <t>O90</t>
  </si>
  <si>
    <t>=SUM(I90/H90)*1000</t>
  </si>
  <si>
    <t>C91</t>
  </si>
  <si>
    <t>13.5 - day 6</t>
  </si>
  <si>
    <t>E91</t>
  </si>
  <si>
    <t>=H90</t>
  </si>
  <si>
    <t>H91</t>
  </si>
  <si>
    <t>=SUM(E91-F91-G91)</t>
  </si>
  <si>
    <t>L91</t>
  </si>
  <si>
    <t>=SUM(J91+K91)/H91*100</t>
  </si>
  <si>
    <t>N91</t>
  </si>
  <si>
    <t>=SUM(L91-M91)</t>
  </si>
  <si>
    <t>O91</t>
  </si>
  <si>
    <t>=SUM(I91/H91)*1000</t>
  </si>
  <si>
    <t>C92</t>
  </si>
  <si>
    <t>13.6 - day 7</t>
  </si>
  <si>
    <t>E92</t>
  </si>
  <si>
    <t>=H91</t>
  </si>
  <si>
    <t>H92</t>
  </si>
  <si>
    <t>=SUM(E92-F92-G92)</t>
  </si>
  <si>
    <t>L92</t>
  </si>
  <si>
    <t>=SUM(J92+K92)/H92*100</t>
  </si>
  <si>
    <t>N92</t>
  </si>
  <si>
    <t>=SUM(L92-M92)</t>
  </si>
  <si>
    <t>O92</t>
  </si>
  <si>
    <t>=SUM(I92/H92)*1000</t>
  </si>
  <si>
    <t>C93</t>
  </si>
  <si>
    <t>14.0 - day 1</t>
  </si>
  <si>
    <t>E93</t>
  </si>
  <si>
    <t>=H92</t>
  </si>
  <si>
    <t>H93</t>
  </si>
  <si>
    <t>=SUM(E93-F93-G93)</t>
  </si>
  <si>
    <t>L93</t>
  </si>
  <si>
    <t>=SUM(J93+K93)/H93*100</t>
  </si>
  <si>
    <t>N93</t>
  </si>
  <si>
    <t>=SUM(L93-M93)</t>
  </si>
  <si>
    <t>O93</t>
  </si>
  <si>
    <t>=SUM(I93/H93)*1000</t>
  </si>
  <si>
    <t>C94</t>
  </si>
  <si>
    <t>14.1 - day 2</t>
  </si>
  <si>
    <t>E94</t>
  </si>
  <si>
    <t>=H93</t>
  </si>
  <si>
    <t>H94</t>
  </si>
  <si>
    <t>=SUM(E94-F94-G94)</t>
  </si>
  <si>
    <t>L94</t>
  </si>
  <si>
    <t>=SUM(J94+K94)/H94*100</t>
  </si>
  <si>
    <t>N94</t>
  </si>
  <si>
    <t>=SUM(L94-M94)</t>
  </si>
  <si>
    <t>O94</t>
  </si>
  <si>
    <t>=SUM(I94/H94)*1000</t>
  </si>
  <si>
    <t>C95</t>
  </si>
  <si>
    <t>14.2 - day 3</t>
  </si>
  <si>
    <t>E95</t>
  </si>
  <si>
    <t>=H94</t>
  </si>
  <si>
    <t>H95</t>
  </si>
  <si>
    <t>=SUM(E95-F95-G95)</t>
  </si>
  <si>
    <t>L95</t>
  </si>
  <si>
    <t>=SUM(J95+K95)/H95*100</t>
  </si>
  <si>
    <t>N95</t>
  </si>
  <si>
    <t>=SUM(L95-M95)</t>
  </si>
  <si>
    <t>O95</t>
  </si>
  <si>
    <t>=SUM(I95/H95)*1000</t>
  </si>
  <si>
    <t>C96</t>
  </si>
  <si>
    <t>14.3 - day 4</t>
  </si>
  <si>
    <t>E96</t>
  </si>
  <si>
    <t>=H95</t>
  </si>
  <si>
    <t>H96</t>
  </si>
  <si>
    <t>=SUM(E96-F96-G96)</t>
  </si>
  <si>
    <t>L96</t>
  </si>
  <si>
    <t>=SUM(J96+K96)/H96*100</t>
  </si>
  <si>
    <t>N96</t>
  </si>
  <si>
    <t>=SUM(L96-M96)</t>
  </si>
  <si>
    <t>O96</t>
  </si>
  <si>
    <t>=SUM(I96/H96)*1000</t>
  </si>
  <si>
    <t>C97</t>
  </si>
  <si>
    <t>14.4 - day 5</t>
  </si>
  <si>
    <t>E97</t>
  </si>
  <si>
    <t>=H96</t>
  </si>
  <si>
    <t>H97</t>
  </si>
  <si>
    <t>=SUM(E97-F97-G97)</t>
  </si>
  <si>
    <t>L97</t>
  </si>
  <si>
    <t>=SUM(J97+K97)/H97*100</t>
  </si>
  <si>
    <t>N97</t>
  </si>
  <si>
    <t>=SUM(L97-M97)</t>
  </si>
  <si>
    <t>O97</t>
  </si>
  <si>
    <t>=SUM(I97/H97)*1000</t>
  </si>
  <si>
    <t>C98</t>
  </si>
  <si>
    <t>14.5 - day 6</t>
  </si>
  <si>
    <t>E98</t>
  </si>
  <si>
    <t>=H97</t>
  </si>
  <si>
    <t>H98</t>
  </si>
  <si>
    <t>=SUM(E98-F98-G98)</t>
  </si>
  <si>
    <t>L98</t>
  </si>
  <si>
    <t>=SUM(J98+K98)/H98*100</t>
  </si>
  <si>
    <t>N98</t>
  </si>
  <si>
    <t>=SUM(L98-M98)</t>
  </si>
  <si>
    <t>O98</t>
  </si>
  <si>
    <t>=SUM(I98/H98)*1000</t>
  </si>
  <si>
    <t>C99</t>
  </si>
  <si>
    <t>14.6 - day 7</t>
  </si>
  <si>
    <t>E99</t>
  </si>
  <si>
    <t>=H98</t>
  </si>
  <si>
    <t>H99</t>
  </si>
  <si>
    <t>=SUM(E99-F99-G99)</t>
  </si>
  <si>
    <t>L99</t>
  </si>
  <si>
    <t>=SUM(J99+K99)/H99*100</t>
  </si>
  <si>
    <t>N99</t>
  </si>
  <si>
    <t>=SUM(L99-M99)</t>
  </si>
  <si>
    <t>O99</t>
  </si>
  <si>
    <t>=SUM(I99/H99)*1000</t>
  </si>
  <si>
    <t>C100</t>
  </si>
  <si>
    <t>15.0 - day 1</t>
  </si>
  <si>
    <t>E100</t>
  </si>
  <si>
    <t>=H99</t>
  </si>
  <si>
    <t>H100</t>
  </si>
  <si>
    <t>=SUM(E100-F100-G100)</t>
  </si>
  <si>
    <t>L100</t>
  </si>
  <si>
    <t>=SUM(J100+K100)/H100*100</t>
  </si>
  <si>
    <t>N100</t>
  </si>
  <si>
    <t>=SUM(L100-M100)</t>
  </si>
  <si>
    <t>O100</t>
  </si>
  <si>
    <t>=SUM(I100/H100)*1000</t>
  </si>
  <si>
    <t>C101</t>
  </si>
  <si>
    <t>15.1 - day 2</t>
  </si>
  <si>
    <t>E101</t>
  </si>
  <si>
    <t>=H100</t>
  </si>
  <si>
    <t>H101</t>
  </si>
  <si>
    <t>=SUM(E101-F101-G101)</t>
  </si>
  <si>
    <t>L101</t>
  </si>
  <si>
    <t>=SUM(J101+K101)/H101*100</t>
  </si>
  <si>
    <t>N101</t>
  </si>
  <si>
    <t>=SUM(L101-M101)</t>
  </si>
  <si>
    <t>O101</t>
  </si>
  <si>
    <t>=SUM(I101/H101)*1000</t>
  </si>
  <si>
    <t>C102</t>
  </si>
  <si>
    <t>15.2 - day 3</t>
  </si>
  <si>
    <t>E102</t>
  </si>
  <si>
    <t>=H101</t>
  </si>
  <si>
    <t>H102</t>
  </si>
  <si>
    <t>=SUM(E102-F102-G102)</t>
  </si>
  <si>
    <t>L102</t>
  </si>
  <si>
    <t>=SUM(J102+K102)/H102*100</t>
  </si>
  <si>
    <t>N102</t>
  </si>
  <si>
    <t>=SUM(L102-M102)</t>
  </si>
  <si>
    <t>O102</t>
  </si>
  <si>
    <t>=SUM(I102/H102)*1000</t>
  </si>
  <si>
    <t>C103</t>
  </si>
  <si>
    <t>15.3 - day 4</t>
  </si>
  <si>
    <t>E103</t>
  </si>
  <si>
    <t>=H102</t>
  </si>
  <si>
    <t>H103</t>
  </si>
  <si>
    <t>=SUM(E103-F103-G103)</t>
  </si>
  <si>
    <t>L103</t>
  </si>
  <si>
    <t>=SUM(J103+K103)/H103*100</t>
  </si>
  <si>
    <t>N103</t>
  </si>
  <si>
    <t>=SUM(L103-M103)</t>
  </si>
  <si>
    <t>O103</t>
  </si>
  <si>
    <t>=SUM(I103/H103)*1000</t>
  </si>
  <si>
    <t>C104</t>
  </si>
  <si>
    <t>15.4 - day 5</t>
  </si>
  <si>
    <t>E104</t>
  </si>
  <si>
    <t>=H103</t>
  </si>
  <si>
    <t>H104</t>
  </si>
  <si>
    <t>=SUM(E104-F104-G104)</t>
  </si>
  <si>
    <t>L104</t>
  </si>
  <si>
    <t>=SUM(J104+K104)/H104*100</t>
  </si>
  <si>
    <t>N104</t>
  </si>
  <si>
    <t>=SUM(L104-M104)</t>
  </si>
  <si>
    <t>O104</t>
  </si>
  <si>
    <t>=SUM(I104/H104)*1000</t>
  </si>
  <si>
    <t>C105</t>
  </si>
  <si>
    <t>15.5 - day 6</t>
  </si>
  <si>
    <t>E105</t>
  </si>
  <si>
    <t>=H104</t>
  </si>
  <si>
    <t>H105</t>
  </si>
  <si>
    <t>=SUM(E105-F105-G105)</t>
  </si>
  <si>
    <t>L105</t>
  </si>
  <si>
    <t>=SUM(J105+K105)/H105*100</t>
  </si>
  <si>
    <t>N105</t>
  </si>
  <si>
    <t>=SUM(L105-M105)</t>
  </si>
  <si>
    <t>O105</t>
  </si>
  <si>
    <t>=SUM(I105/H105)*1000</t>
  </si>
  <si>
    <t>C106</t>
  </si>
  <si>
    <t>15.6 - day 7</t>
  </si>
  <si>
    <t>E106</t>
  </si>
  <si>
    <t>=H105</t>
  </si>
  <si>
    <t>H106</t>
  </si>
  <si>
    <t>=SUM(E106-F106-G106)</t>
  </si>
  <si>
    <t>L106</t>
  </si>
  <si>
    <t>=SUM(J106+K106)/H106*100</t>
  </si>
  <si>
    <t>N106</t>
  </si>
  <si>
    <t>=SUM(L106-M106)</t>
  </si>
  <si>
    <t>O106</t>
  </si>
  <si>
    <t>=SUM(I106/H106)*1000</t>
  </si>
  <si>
    <t>C107</t>
  </si>
  <si>
    <t>16.0 - day 1</t>
  </si>
  <si>
    <t>E107</t>
  </si>
  <si>
    <t>=H106</t>
  </si>
  <si>
    <t>H107</t>
  </si>
  <si>
    <t>=SUM(E107-F107-G107)</t>
  </si>
  <si>
    <t>L107</t>
  </si>
  <si>
    <t>=SUM(J107+K107)/H107*100</t>
  </si>
  <si>
    <t>N107</t>
  </si>
  <si>
    <t>=SUM(L107-M107)</t>
  </si>
  <si>
    <t>O107</t>
  </si>
  <si>
    <t>=SUM(I107/H107)*1000</t>
  </si>
  <si>
    <t>C108</t>
  </si>
  <si>
    <t>16.1 - day 2</t>
  </si>
  <si>
    <t>E108</t>
  </si>
  <si>
    <t>=H107</t>
  </si>
  <si>
    <t>H108</t>
  </si>
  <si>
    <t>=SUM(E108-F108-G108)</t>
  </si>
  <si>
    <t>L108</t>
  </si>
  <si>
    <t>=SUM(J108+K108)/H108*100</t>
  </si>
  <si>
    <t>N108</t>
  </si>
  <si>
    <t>=SUM(L108-M108)</t>
  </si>
  <si>
    <t>O108</t>
  </si>
  <si>
    <t>=SUM(I108/H108)*1000</t>
  </si>
  <si>
    <t>C109</t>
  </si>
  <si>
    <t>16.2 - day 3</t>
  </si>
  <si>
    <t>E109</t>
  </si>
  <si>
    <t>=H108</t>
  </si>
  <si>
    <t>H109</t>
  </si>
  <si>
    <t>=SUM(E109-F109-G109)</t>
  </si>
  <si>
    <t>L109</t>
  </si>
  <si>
    <t>=SUM(J109+K109)/H109*100</t>
  </si>
  <si>
    <t>N109</t>
  </si>
  <si>
    <t>=SUM(L109-M109)</t>
  </si>
  <si>
    <t>O109</t>
  </si>
  <si>
    <t>=SUM(I109/H109)*1000</t>
  </si>
  <si>
    <t>C110</t>
  </si>
  <si>
    <t>16.3 - day 4</t>
  </si>
  <si>
    <t>E110</t>
  </si>
  <si>
    <t>=H109</t>
  </si>
  <si>
    <t>H110</t>
  </si>
  <si>
    <t>=SUM(E110-F110-G110)</t>
  </si>
  <si>
    <t>L110</t>
  </si>
  <si>
    <t>=SUM(J110+K110)/H110*100</t>
  </si>
  <si>
    <t>N110</t>
  </si>
  <si>
    <t>=SUM(L110-M110)</t>
  </si>
  <si>
    <t>O110</t>
  </si>
  <si>
    <t>=SUM(I110/H110)*1000</t>
  </si>
  <si>
    <t>C111</t>
  </si>
  <si>
    <t>16.4 - day 5</t>
  </si>
  <si>
    <t>E111</t>
  </si>
  <si>
    <t>=H110</t>
  </si>
  <si>
    <t>H111</t>
  </si>
  <si>
    <t>=SUM(E111-F111-G111)</t>
  </si>
  <si>
    <t>L111</t>
  </si>
  <si>
    <t>=SUM(J111+K111)/H111*100</t>
  </si>
  <si>
    <t>N111</t>
  </si>
  <si>
    <t>=SUM(L111-M111)</t>
  </si>
  <si>
    <t>O111</t>
  </si>
  <si>
    <t>=SUM(I111/H111)*1000</t>
  </si>
  <si>
    <t>C112</t>
  </si>
  <si>
    <t>16.5 - day 6</t>
  </si>
  <si>
    <t>E112</t>
  </si>
  <si>
    <t>=H111</t>
  </si>
  <si>
    <t>H112</t>
  </si>
  <si>
    <t>=SUM(E112-F112-G112)</t>
  </si>
  <si>
    <t>L112</t>
  </si>
  <si>
    <t>=SUM(J112+K112)/H112*100</t>
  </si>
  <si>
    <t>N112</t>
  </si>
  <si>
    <t>=SUM(L112-M112)</t>
  </si>
  <si>
    <t>O112</t>
  </si>
  <si>
    <t>=SUM(I112/H112)*1000</t>
  </si>
  <si>
    <t>C113</t>
  </si>
  <si>
    <t>16.6 - day 7</t>
  </si>
  <si>
    <t>E113</t>
  </si>
  <si>
    <t>=H112</t>
  </si>
  <si>
    <t>H113</t>
  </si>
  <si>
    <t>=SUM(E113-F113-G113)</t>
  </si>
  <si>
    <t>L113</t>
  </si>
  <si>
    <t>=SUM(J113+K113)/H113*100</t>
  </si>
  <si>
    <t>N113</t>
  </si>
  <si>
    <t>=SUM(L113-M113)</t>
  </si>
  <si>
    <t>O113</t>
  </si>
  <si>
    <t>=SUM(I113/H113)*1000</t>
  </si>
  <si>
    <t>C114</t>
  </si>
  <si>
    <t>17.0 - day 1</t>
  </si>
  <si>
    <t>E114</t>
  </si>
  <si>
    <t>=H113</t>
  </si>
  <si>
    <t>H114</t>
  </si>
  <si>
    <t>=SUM(E114-F114-G114)</t>
  </si>
  <si>
    <t>L114</t>
  </si>
  <si>
    <t>=SUM(J114+K114)/H114*100</t>
  </si>
  <si>
    <t>N114</t>
  </si>
  <si>
    <t>=SUM(L114-M114)</t>
  </si>
  <si>
    <t>O114</t>
  </si>
  <si>
    <t>=SUM(I114/H114)*1000</t>
  </si>
  <si>
    <t>C115</t>
  </si>
  <si>
    <t>17.1 - day 2</t>
  </si>
  <si>
    <t>E115</t>
  </si>
  <si>
    <t>=H114</t>
  </si>
  <si>
    <t>H115</t>
  </si>
  <si>
    <t>=SUM(E115-F115-G115)</t>
  </si>
  <si>
    <t>L115</t>
  </si>
  <si>
    <t>=SUM(J115+K115)/H115*100</t>
  </si>
  <si>
    <t>N115</t>
  </si>
  <si>
    <t>=SUM(L115-M115)</t>
  </si>
  <si>
    <t>O115</t>
  </si>
  <si>
    <t>=SUM(I115/H115)*1000</t>
  </si>
  <si>
    <t>C116</t>
  </si>
  <si>
    <t>17.2 - day 3</t>
  </si>
  <si>
    <t>E116</t>
  </si>
  <si>
    <t>=H115</t>
  </si>
  <si>
    <t>H116</t>
  </si>
  <si>
    <t>=SUM(E116-F116-G116)</t>
  </si>
  <si>
    <t>L116</t>
  </si>
  <si>
    <t>=SUM(J116+K116)/H116*100</t>
  </si>
  <si>
    <t>N116</t>
  </si>
  <si>
    <t>=SUM(L116-M116)</t>
  </si>
  <si>
    <t>O116</t>
  </si>
  <si>
    <t>=SUM(I116/H116)*1000</t>
  </si>
  <si>
    <t>C117</t>
  </si>
  <si>
    <t>17.3 - day 4</t>
  </si>
  <si>
    <t>E117</t>
  </si>
  <si>
    <t>=H116</t>
  </si>
  <si>
    <t>H117</t>
  </si>
  <si>
    <t>=SUM(E117-F117-G117)</t>
  </si>
  <si>
    <t>L117</t>
  </si>
  <si>
    <t>=SUM(J117+K117)/H117*100</t>
  </si>
  <si>
    <t>N117</t>
  </si>
  <si>
    <t>=SUM(L117-M117)</t>
  </si>
  <si>
    <t>O117</t>
  </si>
  <si>
    <t>=SUM(I117/H117)*1000</t>
  </si>
  <si>
    <t>C118</t>
  </si>
  <si>
    <t>17.4 - day 5</t>
  </si>
  <si>
    <t>E118</t>
  </si>
  <si>
    <t>=H117</t>
  </si>
  <si>
    <t>H118</t>
  </si>
  <si>
    <t>=SUM(E118-F118-G118)</t>
  </si>
  <si>
    <t>L118</t>
  </si>
  <si>
    <t>=SUM(J118+K118)/H118*100</t>
  </si>
  <si>
    <t>N118</t>
  </si>
  <si>
    <t>=SUM(L118-M118)</t>
  </si>
  <si>
    <t>O118</t>
  </si>
  <si>
    <t>=SUM(I118/H118)*1000</t>
  </si>
  <si>
    <t>C119</t>
  </si>
  <si>
    <t>17.5 - day 6</t>
  </si>
  <si>
    <t>E119</t>
  </si>
  <si>
    <t>=H118</t>
  </si>
  <si>
    <t>H119</t>
  </si>
  <si>
    <t>=SUM(E119-F119-G119)</t>
  </si>
  <si>
    <t>L119</t>
  </si>
  <si>
    <t>=SUM(J119+K119)/H119*100</t>
  </si>
  <si>
    <t>N119</t>
  </si>
  <si>
    <t>=SUM(L119-M119)</t>
  </si>
  <si>
    <t>O119</t>
  </si>
  <si>
    <t>=SUM(I119/H119)*1000</t>
  </si>
  <si>
    <t>C120</t>
  </si>
  <si>
    <t>17.6 - day 7</t>
  </si>
  <si>
    <t>E120</t>
  </si>
  <si>
    <t>=H119</t>
  </si>
  <si>
    <t>H120</t>
  </si>
  <si>
    <t>=SUM(E120-F120-G120)</t>
  </si>
  <si>
    <t>L120</t>
  </si>
  <si>
    <t>=SUM(J120+K120)/H120*100</t>
  </si>
  <si>
    <t>N120</t>
  </si>
  <si>
    <t>=SUM(L120-M120)</t>
  </si>
  <si>
    <t>O120</t>
  </si>
  <si>
    <t>=SUM(I120/H120)*1000</t>
  </si>
  <si>
    <t>C121</t>
  </si>
  <si>
    <t>18.0 - day 1</t>
  </si>
  <si>
    <t>E121</t>
  </si>
  <si>
    <t>=H120</t>
  </si>
  <si>
    <t>H121</t>
  </si>
  <si>
    <t>=SUM(E121-F121-G121)</t>
  </si>
  <si>
    <t>L121</t>
  </si>
  <si>
    <t>=SUM(J121+K121)/H121*100</t>
  </si>
  <si>
    <t>N121</t>
  </si>
  <si>
    <t>=SUM(L121-M121)</t>
  </si>
  <si>
    <t>O121</t>
  </si>
  <si>
    <t>=SUM(I121/H121)*1000</t>
  </si>
  <si>
    <t>C122</t>
  </si>
  <si>
    <t>18.1 - day 2</t>
  </si>
  <si>
    <t>E122</t>
  </si>
  <si>
    <t>=H121</t>
  </si>
  <si>
    <t>H122</t>
  </si>
  <si>
    <t>=SUM(E122-F122-G122)</t>
  </si>
  <si>
    <t>L122</t>
  </si>
  <si>
    <t>=SUM(J122+K122)/H122*100</t>
  </si>
  <si>
    <t>N122</t>
  </si>
  <si>
    <t>=SUM(L122-M122)</t>
  </si>
  <si>
    <t>O122</t>
  </si>
  <si>
    <t>=SUM(I122/H122)*1000</t>
  </si>
  <si>
    <t>C123</t>
  </si>
  <si>
    <t>18.2 - day 3</t>
  </si>
  <si>
    <t>E123</t>
  </si>
  <si>
    <t>=H122</t>
  </si>
  <si>
    <t>H123</t>
  </si>
  <si>
    <t>=SUM(E123-F123-G123)</t>
  </si>
  <si>
    <t>L123</t>
  </si>
  <si>
    <t>=SUM(J123+K123)/H123*100</t>
  </si>
  <si>
    <t>N123</t>
  </si>
  <si>
    <t>=SUM(L123-M123)</t>
  </si>
  <si>
    <t>O123</t>
  </si>
  <si>
    <t>=SUM(I123/H123)*1000</t>
  </si>
  <si>
    <t>C124</t>
  </si>
  <si>
    <t>18.3 - day 4</t>
  </si>
  <si>
    <t>E124</t>
  </si>
  <si>
    <t>=H123</t>
  </si>
  <si>
    <t>H124</t>
  </si>
  <si>
    <t>=SUM(E124-F124-G124)</t>
  </si>
  <si>
    <t>L124</t>
  </si>
  <si>
    <t>=SUM(J124+K124)/H124*100</t>
  </si>
  <si>
    <t>N124</t>
  </si>
  <si>
    <t>=SUM(L124-M124)</t>
  </si>
  <si>
    <t>O124</t>
  </si>
  <si>
    <t>=SUM(I124/H124)*1000</t>
  </si>
  <si>
    <t>C125</t>
  </si>
  <si>
    <t>18.4 - day 5</t>
  </si>
  <si>
    <t>E125</t>
  </si>
  <si>
    <t>=H124</t>
  </si>
  <si>
    <t>H125</t>
  </si>
  <si>
    <t>=SUM(E125-F125-G125)</t>
  </si>
  <si>
    <t>L125</t>
  </si>
  <si>
    <t>=SUM(J125+K125)/H125*100</t>
  </si>
  <si>
    <t>N125</t>
  </si>
  <si>
    <t>=SUM(L125-M125)</t>
  </si>
  <si>
    <t>O125</t>
  </si>
  <si>
    <t>=SUM(I125/H125)*1000</t>
  </si>
  <si>
    <t>C126</t>
  </si>
  <si>
    <t>18.5 - day 6</t>
  </si>
  <si>
    <t>E126</t>
  </si>
  <si>
    <t>=H125</t>
  </si>
  <si>
    <t>H126</t>
  </si>
  <si>
    <t>=SUM(E126-F126-G126)</t>
  </si>
  <si>
    <t>L126</t>
  </si>
  <si>
    <t>=SUM(J126+K126)/H126*100</t>
  </si>
  <si>
    <t>N126</t>
  </si>
  <si>
    <t>=SUM(L126-M126)</t>
  </si>
  <si>
    <t>O126</t>
  </si>
  <si>
    <t>=SUM(I126/H126)*1000</t>
  </si>
  <si>
    <t>C127</t>
  </si>
  <si>
    <t>18.6 - day 7</t>
  </si>
  <si>
    <t>E127</t>
  </si>
  <si>
    <t>=H126</t>
  </si>
  <si>
    <t>H127</t>
  </si>
  <si>
    <t>=SUM(E127-F127-G127)</t>
  </si>
  <si>
    <t>L127</t>
  </si>
  <si>
    <t>=SUM(J127+K127)/H127*100</t>
  </si>
  <si>
    <t>N127</t>
  </si>
  <si>
    <t>=SUM(L127-M127)</t>
  </si>
  <si>
    <t>O127</t>
  </si>
  <si>
    <t>=SUM(I127/H127)*1000</t>
  </si>
  <si>
    <t>C128</t>
  </si>
  <si>
    <t>19.0 - day 1</t>
  </si>
  <si>
    <t>E128</t>
  </si>
  <si>
    <t>=H127</t>
  </si>
  <si>
    <t>H128</t>
  </si>
  <si>
    <t>=SUM(E128-F128-G128)</t>
  </si>
  <si>
    <t>L128</t>
  </si>
  <si>
    <t>=SUM(J128+K128)/H128*100</t>
  </si>
  <si>
    <t>N128</t>
  </si>
  <si>
    <t>=SUM(L128-M128)</t>
  </si>
  <si>
    <t>O128</t>
  </si>
  <si>
    <t>=SUM(I128/H128)*1000</t>
  </si>
  <si>
    <t>C129</t>
  </si>
  <si>
    <t>19.1 - day 2</t>
  </si>
  <si>
    <t>E129</t>
  </si>
  <si>
    <t>=H128</t>
  </si>
  <si>
    <t>H129</t>
  </si>
  <si>
    <t>=SUM(E129-F129-G129)</t>
  </si>
  <si>
    <t>L129</t>
  </si>
  <si>
    <t>=SUM(J129+K129)/H129*100</t>
  </si>
  <si>
    <t>N129</t>
  </si>
  <si>
    <t>=SUM(L129-M129)</t>
  </si>
  <si>
    <t>O129</t>
  </si>
  <si>
    <t>=SUM(I129/H129)*1000</t>
  </si>
  <si>
    <t>C130</t>
  </si>
  <si>
    <t>19.2 - day 3</t>
  </si>
  <si>
    <t>E130</t>
  </si>
  <si>
    <t>=H129</t>
  </si>
  <si>
    <t>H130</t>
  </si>
  <si>
    <t>=SUM(E130-F130-G130)</t>
  </si>
  <si>
    <t>L130</t>
  </si>
  <si>
    <t>=SUM(J130+K130)/H130*100</t>
  </si>
  <si>
    <t>N130</t>
  </si>
  <si>
    <t>=SUM(L130-M130)</t>
  </si>
  <si>
    <t>O130</t>
  </si>
  <si>
    <t>=SUM(I130/H130)*1000</t>
  </si>
  <si>
    <t>C131</t>
  </si>
  <si>
    <t>19.3 - day 4</t>
  </si>
  <si>
    <t>E131</t>
  </si>
  <si>
    <t>=H130</t>
  </si>
  <si>
    <t>H131</t>
  </si>
  <si>
    <t>=SUM(E131-F131-G131)</t>
  </si>
  <si>
    <t>L131</t>
  </si>
  <si>
    <t>=SUM(J131+K131)/H131*100</t>
  </si>
  <si>
    <t>N131</t>
  </si>
  <si>
    <t>=SUM(L131-M131)</t>
  </si>
  <si>
    <t>O131</t>
  </si>
  <si>
    <t>=SUM(I131/H131)*1000</t>
  </si>
  <si>
    <t>C132</t>
  </si>
  <si>
    <t>19.4 - day 5</t>
  </si>
  <si>
    <t>E132</t>
  </si>
  <si>
    <t>=H131</t>
  </si>
  <si>
    <t>H132</t>
  </si>
  <si>
    <t>=SUM(E132-F132-G132)</t>
  </si>
  <si>
    <t>L132</t>
  </si>
  <si>
    <t>=SUM(J132+K132)/H132*100</t>
  </si>
  <si>
    <t>N132</t>
  </si>
  <si>
    <t>=SUM(L132-M132)</t>
  </si>
  <si>
    <t>O132</t>
  </si>
  <si>
    <t>=SUM(I132/H132)*1000</t>
  </si>
  <si>
    <t>C133</t>
  </si>
  <si>
    <t>19.5 - day 6</t>
  </si>
  <si>
    <t>E133</t>
  </si>
  <si>
    <t>=H132</t>
  </si>
  <si>
    <t>H133</t>
  </si>
  <si>
    <t>=SUM(E133-F133-G133)</t>
  </si>
  <si>
    <t>L133</t>
  </si>
  <si>
    <t>=SUM(J133+K133)/H133*100</t>
  </si>
  <si>
    <t>N133</t>
  </si>
  <si>
    <t>=SUM(L133-M133)</t>
  </si>
  <si>
    <t>O133</t>
  </si>
  <si>
    <t>=SUM(I133/H133)*1000</t>
  </si>
  <si>
    <t>C134</t>
  </si>
  <si>
    <t>19.6 - day 7</t>
  </si>
  <si>
    <t>E134</t>
  </si>
  <si>
    <t>=H133</t>
  </si>
  <si>
    <t>H134</t>
  </si>
  <si>
    <t>=SUM(E134-F134-G134)</t>
  </si>
  <si>
    <t>L134</t>
  </si>
  <si>
    <t>=SUM(J134+K134)/H134*100</t>
  </si>
  <si>
    <t>N134</t>
  </si>
  <si>
    <t>=SUM(L134-M134)</t>
  </si>
  <si>
    <t>O134</t>
  </si>
  <si>
    <t>=SUM(I134/H134)*1000</t>
  </si>
  <si>
    <t>C135</t>
  </si>
  <si>
    <t>20.0 - day 1</t>
  </si>
  <si>
    <t>E135</t>
  </si>
  <si>
    <t>=H134</t>
  </si>
  <si>
    <t>H135</t>
  </si>
  <si>
    <t>=SUM(E135-F135-G135)</t>
  </si>
  <si>
    <t>L135</t>
  </si>
  <si>
    <t>=SUM(J135+K135)/H135*100</t>
  </si>
  <si>
    <t>N135</t>
  </si>
  <si>
    <t>=SUM(L135-M135)</t>
  </si>
  <si>
    <t>O135</t>
  </si>
  <si>
    <t>=SUM(I135/H135)*1000</t>
  </si>
  <si>
    <t>C136</t>
  </si>
  <si>
    <t>20.1 - day 2</t>
  </si>
  <si>
    <t>E136</t>
  </si>
  <si>
    <t>=H135</t>
  </si>
  <si>
    <t>H136</t>
  </si>
  <si>
    <t>=SUM(E136-F136-G136)</t>
  </si>
  <si>
    <t>L136</t>
  </si>
  <si>
    <t>=SUM(J136+K136)/H136*100</t>
  </si>
  <si>
    <t>N136</t>
  </si>
  <si>
    <t>=SUM(L136-M136)</t>
  </si>
  <si>
    <t>O136</t>
  </si>
  <si>
    <t>=SUM(I136/H136)*1000</t>
  </si>
  <si>
    <t>C137</t>
  </si>
  <si>
    <t>20.2 - day 3</t>
  </si>
  <si>
    <t>E137</t>
  </si>
  <si>
    <t>=H136</t>
  </si>
  <si>
    <t>H137</t>
  </si>
  <si>
    <t>=SUM(E137-F137-G137)</t>
  </si>
  <si>
    <t>L137</t>
  </si>
  <si>
    <t>=SUM(J137+K137)/H137*100</t>
  </si>
  <si>
    <t>N137</t>
  </si>
  <si>
    <t>=SUM(L137-M137)</t>
  </si>
  <si>
    <t>O137</t>
  </si>
  <si>
    <t>=SUM(I137/H137)*1000</t>
  </si>
  <si>
    <t>C138</t>
  </si>
  <si>
    <t>20.3 - day 4</t>
  </si>
  <si>
    <t>E138</t>
  </si>
  <si>
    <t>=H137</t>
  </si>
  <si>
    <t>H138</t>
  </si>
  <si>
    <t>=SUM(E138-F138-G138)</t>
  </si>
  <si>
    <t>L138</t>
  </si>
  <si>
    <t>=SUM(J138+K138)/H138*100</t>
  </si>
  <si>
    <t>N138</t>
  </si>
  <si>
    <t>=SUM(L138-M138)</t>
  </si>
  <si>
    <t>O138</t>
  </si>
  <si>
    <t>=SUM(I138/H138)*1000</t>
  </si>
  <si>
    <t>C139</t>
  </si>
  <si>
    <t>20.4 - day 5</t>
  </si>
  <si>
    <t>E139</t>
  </si>
  <si>
    <t>=H138</t>
  </si>
  <si>
    <t>H139</t>
  </si>
  <si>
    <t>=SUM(E139-F139-G139)</t>
  </si>
  <si>
    <t>L139</t>
  </si>
  <si>
    <t>=SUM(J139+K139)/H139*100</t>
  </si>
  <si>
    <t>N139</t>
  </si>
  <si>
    <t>=SUM(L139-M139)</t>
  </si>
  <si>
    <t>O139</t>
  </si>
  <si>
    <t>=SUM(I139/H139)*1000</t>
  </si>
  <si>
    <t>C140</t>
  </si>
  <si>
    <t>20.5 - day 6</t>
  </si>
  <si>
    <t>E140</t>
  </si>
  <si>
    <t>=H139</t>
  </si>
  <si>
    <t>H140</t>
  </si>
  <si>
    <t>=SUM(E140-F140-G140)</t>
  </si>
  <si>
    <t>L140</t>
  </si>
  <si>
    <t>=SUM(J140+K140)/H140*100</t>
  </si>
  <si>
    <t>N140</t>
  </si>
  <si>
    <t>=SUM(L140-M140)</t>
  </si>
  <si>
    <t>O140</t>
  </si>
  <si>
    <t>=SUM(I140/H140)*1000</t>
  </si>
  <si>
    <t>C141</t>
  </si>
  <si>
    <t>20.6 - day 7</t>
  </si>
  <si>
    <t>E141</t>
  </si>
  <si>
    <t>=H140</t>
  </si>
  <si>
    <t>H141</t>
  </si>
  <si>
    <t>=SUM(E141-F141-G141)</t>
  </si>
  <si>
    <t>L141</t>
  </si>
  <si>
    <t>=SUM(J141+K141)/H141*100</t>
  </si>
  <si>
    <t>N141</t>
  </si>
  <si>
    <t>=SUM(L141-M141)</t>
  </si>
  <si>
    <t>O141</t>
  </si>
  <si>
    <t>=SUM(I141/H141)*1000</t>
  </si>
  <si>
    <t>C142</t>
  </si>
  <si>
    <t>21.0 - day 1</t>
  </si>
  <si>
    <t>E142</t>
  </si>
  <si>
    <t>=H141</t>
  </si>
  <si>
    <t>H142</t>
  </si>
  <si>
    <t>=SUM(E142-F142-G142)</t>
  </si>
  <si>
    <t>L142</t>
  </si>
  <si>
    <t>=SUM(J142+K142)/H142*100</t>
  </si>
  <si>
    <t>N142</t>
  </si>
  <si>
    <t>=SUM(L142-M142)</t>
  </si>
  <si>
    <t>O142</t>
  </si>
  <si>
    <t>=SUM(I142/H142)*1000</t>
  </si>
  <si>
    <t>C143</t>
  </si>
  <si>
    <t>21.1 - day 2</t>
  </si>
  <si>
    <t>E143</t>
  </si>
  <si>
    <t>=H142</t>
  </si>
  <si>
    <t>H143</t>
  </si>
  <si>
    <t>=SUM(E143-F143-G143)</t>
  </si>
  <si>
    <t>L143</t>
  </si>
  <si>
    <t>=SUM(J143+K143)/H143*100</t>
  </si>
  <si>
    <t>N143</t>
  </si>
  <si>
    <t>=SUM(L143-M143)</t>
  </si>
  <si>
    <t>O143</t>
  </si>
  <si>
    <t>=SUM(I143/H143)*1000</t>
  </si>
  <si>
    <t>C144</t>
  </si>
  <si>
    <t>21.2 - day 3</t>
  </si>
  <si>
    <t>E144</t>
  </si>
  <si>
    <t>=H143</t>
  </si>
  <si>
    <t>H144</t>
  </si>
  <si>
    <t>=SUM(E144-F144-G144)</t>
  </si>
  <si>
    <t>L144</t>
  </si>
  <si>
    <t>=SUM(J144+K144)/H144*100</t>
  </si>
  <si>
    <t>N144</t>
  </si>
  <si>
    <t>=SUM(L144-M144)</t>
  </si>
  <si>
    <t>O144</t>
  </si>
  <si>
    <t>=SUM(I144/H144)*1000</t>
  </si>
  <si>
    <t>C145</t>
  </si>
  <si>
    <t>21.3 - day 4</t>
  </si>
  <si>
    <t>E145</t>
  </si>
  <si>
    <t>=H144</t>
  </si>
  <si>
    <t>H145</t>
  </si>
  <si>
    <t>=SUM(E145-F145-G145)</t>
  </si>
  <si>
    <t>L145</t>
  </si>
  <si>
    <t>=SUM(J145+K145)/H145*100</t>
  </si>
  <si>
    <t>N145</t>
  </si>
  <si>
    <t>=SUM(L145-M145)</t>
  </si>
  <si>
    <t>O145</t>
  </si>
  <si>
    <t>=SUM(I145/H145)*1000</t>
  </si>
  <si>
    <t>C146</t>
  </si>
  <si>
    <t>21.4 - day 5</t>
  </si>
  <si>
    <t>E146</t>
  </si>
  <si>
    <t>=H145</t>
  </si>
  <si>
    <t>H146</t>
  </si>
  <si>
    <t>=SUM(E146-F146-G146)</t>
  </si>
  <si>
    <t>L146</t>
  </si>
  <si>
    <t>=SUM(J146+K146)/H146*100</t>
  </si>
  <si>
    <t>N146</t>
  </si>
  <si>
    <t>=SUM(L146-M146)</t>
  </si>
  <si>
    <t>O146</t>
  </si>
  <si>
    <t>=SUM(I146/H146)*1000</t>
  </si>
  <si>
    <t>C147</t>
  </si>
  <si>
    <t>21.5 - day 6</t>
  </si>
  <si>
    <t>E147</t>
  </si>
  <si>
    <t>=H146</t>
  </si>
  <si>
    <t>H147</t>
  </si>
  <si>
    <t>=SUM(E147-F147-G147)</t>
  </si>
  <si>
    <t>L147</t>
  </si>
  <si>
    <t>=SUM(J147+K147)/H147*100</t>
  </si>
  <si>
    <t>N147</t>
  </si>
  <si>
    <t>=SUM(L147-M147)</t>
  </si>
  <si>
    <t>O147</t>
  </si>
  <si>
    <t>=SUM(I147/H147)*1000</t>
  </si>
  <si>
    <t>C148</t>
  </si>
  <si>
    <t>21.6 - day 7</t>
  </si>
  <si>
    <t>E148</t>
  </si>
  <si>
    <t>=H147</t>
  </si>
  <si>
    <t>H148</t>
  </si>
  <si>
    <t>=SUM(E148-F148-G148)</t>
  </si>
  <si>
    <t>L148</t>
  </si>
  <si>
    <t>=SUM(J148+K148)/H148*100</t>
  </si>
  <si>
    <t>N148</t>
  </si>
  <si>
    <t>=SUM(L148-M148)</t>
  </si>
  <si>
    <t>O148</t>
  </si>
  <si>
    <t>=SUM(I148/H148)*1000</t>
  </si>
  <si>
    <t>C149</t>
  </si>
  <si>
    <t>22.0 - day 1</t>
  </si>
  <si>
    <t>E149</t>
  </si>
  <si>
    <t>=H148</t>
  </si>
  <si>
    <t>H149</t>
  </si>
  <si>
    <t>=SUM(E149-F149-G149)</t>
  </si>
  <si>
    <t>L149</t>
  </si>
  <si>
    <t>=SUM(J149+K149)/H149*100</t>
  </si>
  <si>
    <t>N149</t>
  </si>
  <si>
    <t>=SUM(L149-M149)</t>
  </si>
  <si>
    <t>O149</t>
  </si>
  <si>
    <t>=SUM(I149/H149)*1000</t>
  </si>
  <si>
    <t>C150</t>
  </si>
  <si>
    <t>22.1 - day 2</t>
  </si>
  <si>
    <t>E150</t>
  </si>
  <si>
    <t>=H149</t>
  </si>
  <si>
    <t>H150</t>
  </si>
  <si>
    <t>=SUM(E150-F150-G150)</t>
  </si>
  <si>
    <t>L150</t>
  </si>
  <si>
    <t>=SUM(J150+K150)/H150*100</t>
  </si>
  <si>
    <t>N150</t>
  </si>
  <si>
    <t>=SUM(L150-M150)</t>
  </si>
  <si>
    <t>O150</t>
  </si>
  <si>
    <t>=SUM(I150/H150)*1000</t>
  </si>
  <si>
    <t>C151</t>
  </si>
  <si>
    <t>22.2 - day 3</t>
  </si>
  <si>
    <t>E151</t>
  </si>
  <si>
    <t>=H150</t>
  </si>
  <si>
    <t>H151</t>
  </si>
  <si>
    <t>=SUM(E151-F151-G151)</t>
  </si>
  <si>
    <t>L151</t>
  </si>
  <si>
    <t>=SUM(J151+K151)/H151*100</t>
  </si>
  <si>
    <t>N151</t>
  </si>
  <si>
    <t>=SUM(L151-M151)</t>
  </si>
  <si>
    <t>O151</t>
  </si>
  <si>
    <t>=SUM(I151/H151)*1000</t>
  </si>
  <si>
    <t>C152</t>
  </si>
  <si>
    <t>22.3 - day 4</t>
  </si>
  <si>
    <t>E152</t>
  </si>
  <si>
    <t>=H151</t>
  </si>
  <si>
    <t>H152</t>
  </si>
  <si>
    <t>=SUM(E152-F152-G152)</t>
  </si>
  <si>
    <t>L152</t>
  </si>
  <si>
    <t>=SUM(J152+K152)/H152*100</t>
  </si>
  <si>
    <t>N152</t>
  </si>
  <si>
    <t>=SUM(L152-M152)</t>
  </si>
  <si>
    <t>O152</t>
  </si>
  <si>
    <t>=SUM(I152/H152)*1000</t>
  </si>
  <si>
    <t>C153</t>
  </si>
  <si>
    <t>22.4 - day 5</t>
  </si>
  <si>
    <t>E153</t>
  </si>
  <si>
    <t>=H152</t>
  </si>
  <si>
    <t>H153</t>
  </si>
  <si>
    <t>=SUM(E153-F153-G153)</t>
  </si>
  <si>
    <t>L153</t>
  </si>
  <si>
    <t>=SUM(J153+K153)/H153*100</t>
  </si>
  <si>
    <t>N153</t>
  </si>
  <si>
    <t>=SUM(L153-M153)</t>
  </si>
  <si>
    <t>O153</t>
  </si>
  <si>
    <t>=SUM(I153/H153)*1000</t>
  </si>
  <si>
    <t>C154</t>
  </si>
  <si>
    <t>22.5 - day 6</t>
  </si>
  <si>
    <t>E154</t>
  </si>
  <si>
    <t>=H153</t>
  </si>
  <si>
    <t>H154</t>
  </si>
  <si>
    <t>=SUM(E154-F154-G154)</t>
  </si>
  <si>
    <t>L154</t>
  </si>
  <si>
    <t>=SUM(J154+K154)/H154*100</t>
  </si>
  <si>
    <t>N154</t>
  </si>
  <si>
    <t>=SUM(L154-M154)</t>
  </si>
  <si>
    <t>O154</t>
  </si>
  <si>
    <t>=SUM(I154/H154)*1000</t>
  </si>
  <si>
    <t>C155</t>
  </si>
  <si>
    <t>22.6 - day 7</t>
  </si>
  <si>
    <t>E155</t>
  </si>
  <si>
    <t>=H154</t>
  </si>
  <si>
    <t>H155</t>
  </si>
  <si>
    <t>=SUM(E155-F155-G155)</t>
  </si>
  <si>
    <t>L155</t>
  </si>
  <si>
    <t>=SUM(J155+K155)/H155*100</t>
  </si>
  <si>
    <t>N155</t>
  </si>
  <si>
    <t>=SUM(L155-M155)</t>
  </si>
  <si>
    <t>O155</t>
  </si>
  <si>
    <t>=SUM(I155/H155)*1000</t>
  </si>
  <si>
    <t>C156</t>
  </si>
  <si>
    <t>23.0 - day 1</t>
  </si>
  <si>
    <t>E156</t>
  </si>
  <si>
    <t>=H155</t>
  </si>
  <si>
    <t>H156</t>
  </si>
  <si>
    <t>=SUM(E156-F156-G156)</t>
  </si>
  <si>
    <t>L156</t>
  </si>
  <si>
    <t>=SUM(J156+K156)/H156*100</t>
  </si>
  <si>
    <t>N156</t>
  </si>
  <si>
    <t>=SUM(L156-M156)</t>
  </si>
  <si>
    <t>O156</t>
  </si>
  <si>
    <t>=SUM(I156/H156)*1000</t>
  </si>
  <si>
    <t>C157</t>
  </si>
  <si>
    <t>23.1 - day 2</t>
  </si>
  <si>
    <t>E157</t>
  </si>
  <si>
    <t>=H156</t>
  </si>
  <si>
    <t>H157</t>
  </si>
  <si>
    <t>=SUM(E157-F157-G157)</t>
  </si>
  <si>
    <t>L157</t>
  </si>
  <si>
    <t>=SUM(J157+K157)/H157*100</t>
  </si>
  <si>
    <t>N157</t>
  </si>
  <si>
    <t>=SUM(L157-M157)</t>
  </si>
  <si>
    <t>O157</t>
  </si>
  <si>
    <t>=SUM(I157/H157)*1000</t>
  </si>
  <si>
    <t>C158</t>
  </si>
  <si>
    <t>23.2 - day 3</t>
  </si>
  <si>
    <t>E158</t>
  </si>
  <si>
    <t>=H157</t>
  </si>
  <si>
    <t>H158</t>
  </si>
  <si>
    <t>=SUM(E158-F158-G158)</t>
  </si>
  <si>
    <t>L158</t>
  </si>
  <si>
    <t>=SUM(J158+K158)/H158*100</t>
  </si>
  <si>
    <t>N158</t>
  </si>
  <si>
    <t>=SUM(L158-M158)</t>
  </si>
  <si>
    <t>O158</t>
  </si>
  <si>
    <t>=SUM(I158/H158)*1000</t>
  </si>
  <si>
    <t>C159</t>
  </si>
  <si>
    <t>23.3 - day 4</t>
  </si>
  <si>
    <t>E159</t>
  </si>
  <si>
    <t>=H158</t>
  </si>
  <si>
    <t>H159</t>
  </si>
  <si>
    <t>=SUM(E159-F159-G159)</t>
  </si>
  <si>
    <t>L159</t>
  </si>
  <si>
    <t>=SUM(J159+K159)/H159*100</t>
  </si>
  <si>
    <t>N159</t>
  </si>
  <si>
    <t>=SUM(L159-M159)</t>
  </si>
  <si>
    <t>O159</t>
  </si>
  <si>
    <t>=SUM(I159/H159)*1000</t>
  </si>
  <si>
    <t>C160</t>
  </si>
  <si>
    <t>23.4 - day 5</t>
  </si>
  <si>
    <t>E160</t>
  </si>
  <si>
    <t>=H159</t>
  </si>
  <si>
    <t>H160</t>
  </si>
  <si>
    <t>=SUM(E160-F160-G160)</t>
  </si>
  <si>
    <t>L160</t>
  </si>
  <si>
    <t>=SUM(J160+K160)/H160*100</t>
  </si>
  <si>
    <t>N160</t>
  </si>
  <si>
    <t>=SUM(L160-M160)</t>
  </si>
  <si>
    <t>O160</t>
  </si>
  <si>
    <t>=SUM(I160/H160)*1000</t>
  </si>
  <si>
    <t>C161</t>
  </si>
  <si>
    <t>23.5 - day 6</t>
  </si>
  <si>
    <t>E161</t>
  </si>
  <si>
    <t>=H160</t>
  </si>
  <si>
    <t>H161</t>
  </si>
  <si>
    <t>=SUM(E161-F161-G161)</t>
  </si>
  <si>
    <t>L161</t>
  </si>
  <si>
    <t>=SUM(J161+K161)/H161*100</t>
  </si>
  <si>
    <t>N161</t>
  </si>
  <si>
    <t>=SUM(L161-M161)</t>
  </si>
  <si>
    <t>O161</t>
  </si>
  <si>
    <t>=SUM(I161/H161)*1000</t>
  </si>
  <si>
    <t>C162</t>
  </si>
  <si>
    <t>23.6 - day 7</t>
  </si>
  <si>
    <t>E162</t>
  </si>
  <si>
    <t>=H161</t>
  </si>
  <si>
    <t>H162</t>
  </si>
  <si>
    <t>=SUM(E162-F162-G162)</t>
  </si>
  <si>
    <t>L162</t>
  </si>
  <si>
    <t>=SUM(J162+K162)/H162*100</t>
  </si>
  <si>
    <t>N162</t>
  </si>
  <si>
    <t>=SUM(L162-M162)</t>
  </si>
  <si>
    <t>O162</t>
  </si>
  <si>
    <t>=SUM(I162/H162)*1000</t>
  </si>
  <si>
    <t>C163</t>
  </si>
  <si>
    <t>24.0 - day 1</t>
  </si>
  <si>
    <t>E163</t>
  </si>
  <si>
    <t>=H162</t>
  </si>
  <si>
    <t>H163</t>
  </si>
  <si>
    <t>=SUM(E163-F163-G163)</t>
  </si>
  <si>
    <t>L163</t>
  </si>
  <si>
    <t>=SUM(J163+K163)/H163*100</t>
  </si>
  <si>
    <t>N163</t>
  </si>
  <si>
    <t>=SUM(L163-M163)</t>
  </si>
  <si>
    <t>O163</t>
  </si>
  <si>
    <t>=SUM(I163/H163)*1000</t>
  </si>
  <si>
    <t>C164</t>
  </si>
  <si>
    <t>24.1 - day 2</t>
  </si>
  <si>
    <t>E164</t>
  </si>
  <si>
    <t>=H163</t>
  </si>
  <si>
    <t>H164</t>
  </si>
  <si>
    <t>=SUM(E164-F164-G164)</t>
  </si>
  <si>
    <t>L164</t>
  </si>
  <si>
    <t>=SUM(J164+K164)/H164*100</t>
  </si>
  <si>
    <t>N164</t>
  </si>
  <si>
    <t>=SUM(L164-M164)</t>
  </si>
  <si>
    <t>O164</t>
  </si>
  <si>
    <t>=SUM(I164/H164)*1000</t>
  </si>
  <si>
    <t>C165</t>
  </si>
  <si>
    <t>24.2 - day 3</t>
  </si>
  <si>
    <t>E165</t>
  </si>
  <si>
    <t>=H164</t>
  </si>
  <si>
    <t>H165</t>
  </si>
  <si>
    <t>=SUM(E165-F165-G165)</t>
  </si>
  <si>
    <t>L165</t>
  </si>
  <si>
    <t>=SUM(J165+K165)/H165*100</t>
  </si>
  <si>
    <t>N165</t>
  </si>
  <si>
    <t>=SUM(L165-M165)</t>
  </si>
  <si>
    <t>O165</t>
  </si>
  <si>
    <t>=SUM(I165/H165)*1000</t>
  </si>
  <si>
    <t>C166</t>
  </si>
  <si>
    <t>24.3 - day 4</t>
  </si>
  <si>
    <t>E166</t>
  </si>
  <si>
    <t>=H165</t>
  </si>
  <si>
    <t>H166</t>
  </si>
  <si>
    <t>=SUM(E166-F166-G166)</t>
  </si>
  <si>
    <t>L166</t>
  </si>
  <si>
    <t>=SUM(J166+K166)/H166*100</t>
  </si>
  <si>
    <t>N166</t>
  </si>
  <si>
    <t>=SUM(L166-M166)</t>
  </si>
  <si>
    <t>O166</t>
  </si>
  <si>
    <t>=SUM(I166/H166)*1000</t>
  </si>
  <si>
    <t>C167</t>
  </si>
  <si>
    <t>24.4 - day 5</t>
  </si>
  <si>
    <t>E167</t>
  </si>
  <si>
    <t>=H166</t>
  </si>
  <si>
    <t>H167</t>
  </si>
  <si>
    <t>=SUM(E167-F167-G167)</t>
  </si>
  <si>
    <t>L167</t>
  </si>
  <si>
    <t>=SUM(J167+K167)/H167*100</t>
  </si>
  <si>
    <t>N167</t>
  </si>
  <si>
    <t>=SUM(L167-M167)</t>
  </si>
  <si>
    <t>O167</t>
  </si>
  <si>
    <t>=SUM(I167/H167)*1000</t>
  </si>
  <si>
    <t>C168</t>
  </si>
  <si>
    <t>24.5 - day 6</t>
  </si>
  <si>
    <t>E168</t>
  </si>
  <si>
    <t>=H167</t>
  </si>
  <si>
    <t>H168</t>
  </si>
  <si>
    <t>=SUM(E168-F168-G168)</t>
  </si>
  <si>
    <t>L168</t>
  </si>
  <si>
    <t>=SUM(J168+K168)/H168*100</t>
  </si>
  <si>
    <t>N168</t>
  </si>
  <si>
    <t>=SUM(L168-M168)</t>
  </si>
  <si>
    <t>O168</t>
  </si>
  <si>
    <t>=SUM(I168/H168)*1000</t>
  </si>
  <si>
    <t>C169</t>
  </si>
  <si>
    <t>24.6 - day 7</t>
  </si>
  <si>
    <t>E169</t>
  </si>
  <si>
    <t>=H168</t>
  </si>
  <si>
    <t>H169</t>
  </si>
  <si>
    <t>=SUM(E169-F169-G169)</t>
  </si>
  <si>
    <t>L169</t>
  </si>
  <si>
    <t>=SUM(J169+K169)/H169*100</t>
  </si>
  <si>
    <t>N169</t>
  </si>
  <si>
    <t>=SUM(L169-M169)</t>
  </si>
  <si>
    <t>O169</t>
  </si>
  <si>
    <t>=SUM(I169/H169)*1000</t>
  </si>
  <si>
    <t>C170</t>
  </si>
  <si>
    <t>25.0 - day 1</t>
  </si>
  <si>
    <t>E170</t>
  </si>
  <si>
    <t>=H169</t>
  </si>
  <si>
    <t>H170</t>
  </si>
  <si>
    <t>=SUM(E170-F170-G170)</t>
  </si>
  <si>
    <t>L170</t>
  </si>
  <si>
    <t>=SUM(J170+K170)/H170*100</t>
  </si>
  <si>
    <t>N170</t>
  </si>
  <si>
    <t>=SUM(L170-M170)</t>
  </si>
  <si>
    <t>O170</t>
  </si>
  <si>
    <t>=SUM(I170/H170)*1000</t>
  </si>
  <si>
    <t>C171</t>
  </si>
  <si>
    <t>25.1 - day 2</t>
  </si>
  <si>
    <t>E171</t>
  </si>
  <si>
    <t>=H170</t>
  </si>
  <si>
    <t>H171</t>
  </si>
  <si>
    <t>=SUM(E171-F171-G171)</t>
  </si>
  <si>
    <t>L171</t>
  </si>
  <si>
    <t>=SUM(J171+K171)/H171*100</t>
  </si>
  <si>
    <t>N171</t>
  </si>
  <si>
    <t>=SUM(L171-M171)</t>
  </si>
  <si>
    <t>O171</t>
  </si>
  <si>
    <t>=SUM(I171/H171)*1000</t>
  </si>
  <si>
    <t>C172</t>
  </si>
  <si>
    <t>25.2 - day 3</t>
  </si>
  <si>
    <t>E172</t>
  </si>
  <si>
    <t>=H171</t>
  </si>
  <si>
    <t>H172</t>
  </si>
  <si>
    <t>=SUM(E172-F172-G172)</t>
  </si>
  <si>
    <t>L172</t>
  </si>
  <si>
    <t>=SUM(J172+K172)/H172*100</t>
  </si>
  <si>
    <t>N172</t>
  </si>
  <si>
    <t>=SUM(L172-M172)</t>
  </si>
  <si>
    <t>O172</t>
  </si>
  <si>
    <t>=SUM(I172/H172)*1000</t>
  </si>
  <si>
    <t>C173</t>
  </si>
  <si>
    <t>25.3 - day 4</t>
  </si>
  <si>
    <t>E173</t>
  </si>
  <si>
    <t>=H172</t>
  </si>
  <si>
    <t>H173</t>
  </si>
  <si>
    <t>=SUM(E173-F173-G173)</t>
  </si>
  <si>
    <t>L173</t>
  </si>
  <si>
    <t>=SUM(J173+K173)/H173*100</t>
  </si>
  <si>
    <t>N173</t>
  </si>
  <si>
    <t>=SUM(L173-M173)</t>
  </si>
  <si>
    <t>O173</t>
  </si>
  <si>
    <t>=SUM(I173/H173)*1000</t>
  </si>
  <si>
    <t>C174</t>
  </si>
  <si>
    <t>25.4 - day 5</t>
  </si>
  <si>
    <t>E174</t>
  </si>
  <si>
    <t>=H173</t>
  </si>
  <si>
    <t>H174</t>
  </si>
  <si>
    <t>=SUM(E174-F174-G174)</t>
  </si>
  <si>
    <t>L174</t>
  </si>
  <si>
    <t>=SUM(J174+K174)/H174*100</t>
  </si>
  <si>
    <t>N174</t>
  </si>
  <si>
    <t>=SUM(L174-M174)</t>
  </si>
  <si>
    <t>O174</t>
  </si>
  <si>
    <t>=SUM(I174/H174)*1000</t>
  </si>
  <si>
    <t>C175</t>
  </si>
  <si>
    <t>25.5 - day 6</t>
  </si>
  <si>
    <t>E175</t>
  </si>
  <si>
    <t>=H174</t>
  </si>
  <si>
    <t>H175</t>
  </si>
  <si>
    <t>=SUM(E175-F175-G175)</t>
  </si>
  <si>
    <t>L175</t>
  </si>
  <si>
    <t>=SUM(J175+K175)/H175*100</t>
  </si>
  <si>
    <t>N175</t>
  </si>
  <si>
    <t>=SUM(L175-M175)</t>
  </si>
  <si>
    <t>O175</t>
  </si>
  <si>
    <t>=SUM(I175/H175)*1000</t>
  </si>
  <si>
    <t>C176</t>
  </si>
  <si>
    <t>25.6 - day 7</t>
  </si>
  <si>
    <t>E176</t>
  </si>
  <si>
    <t>=H175</t>
  </si>
  <si>
    <t>H176</t>
  </si>
  <si>
    <t>=SUM(E176-F176-G176)</t>
  </si>
  <si>
    <t>L176</t>
  </si>
  <si>
    <t>=SUM(J176+K176)/H176*100</t>
  </si>
  <si>
    <t>N176</t>
  </si>
  <si>
    <t>=SUM(L176-M176)</t>
  </si>
  <si>
    <t>O176</t>
  </si>
  <si>
    <t>=SUM(I176/H176)*1000</t>
  </si>
  <si>
    <t>C177</t>
  </si>
  <si>
    <t>26.0 - day 1</t>
  </si>
  <si>
    <t>E177</t>
  </si>
  <si>
    <t>=H176</t>
  </si>
  <si>
    <t>H177</t>
  </si>
  <si>
    <t>=SUM(E177-F177-G177)</t>
  </si>
  <si>
    <t>L177</t>
  </si>
  <si>
    <t>=SUM(J177+K177)/H177*100</t>
  </si>
  <si>
    <t>N177</t>
  </si>
  <si>
    <t>=SUM(L177-M177)</t>
  </si>
  <si>
    <t>O177</t>
  </si>
  <si>
    <t>=SUM(I177/H177)*1000</t>
  </si>
  <si>
    <t>C178</t>
  </si>
  <si>
    <t>26.1 - day 2</t>
  </si>
  <si>
    <t>E178</t>
  </si>
  <si>
    <t>=H177</t>
  </si>
  <si>
    <t>H178</t>
  </si>
  <si>
    <t>=SUM(E178-F178-G178)</t>
  </si>
  <si>
    <t>L178</t>
  </si>
  <si>
    <t>=SUM(J178+K178)/H178*100</t>
  </si>
  <si>
    <t>N178</t>
  </si>
  <si>
    <t>=SUM(L178-M178)</t>
  </si>
  <si>
    <t>O178</t>
  </si>
  <si>
    <t>=SUM(I178/H178)*1000</t>
  </si>
  <si>
    <t>C179</t>
  </si>
  <si>
    <t>26.2 - day 3</t>
  </si>
  <si>
    <t>E179</t>
  </si>
  <si>
    <t>=H178</t>
  </si>
  <si>
    <t>H179</t>
  </si>
  <si>
    <t>=SUM(E179-F179-G179)</t>
  </si>
  <si>
    <t>L179</t>
  </si>
  <si>
    <t>=SUM(J179+K179)/H179*100</t>
  </si>
  <si>
    <t>N179</t>
  </si>
  <si>
    <t>=SUM(L179-M179)</t>
  </si>
  <si>
    <t>O179</t>
  </si>
  <si>
    <t>=SUM(I179/H179)*1000</t>
  </si>
  <si>
    <t>C180</t>
  </si>
  <si>
    <t>26.3 - day 4</t>
  </si>
  <si>
    <t>E180</t>
  </si>
  <si>
    <t>=H179</t>
  </si>
  <si>
    <t>H180</t>
  </si>
  <si>
    <t>=SUM(E180-F180-G180)</t>
  </si>
  <si>
    <t>L180</t>
  </si>
  <si>
    <t>=SUM(J180+K180)/H180*100</t>
  </si>
  <si>
    <t>N180</t>
  </si>
  <si>
    <t>=SUM(L180-M180)</t>
  </si>
  <si>
    <t>O180</t>
  </si>
  <si>
    <t>=SUM(I180/H180)*1000</t>
  </si>
  <si>
    <t>C181</t>
  </si>
  <si>
    <t>26.4 - day 5</t>
  </si>
  <si>
    <t>E181</t>
  </si>
  <si>
    <t>=H180</t>
  </si>
  <si>
    <t>H181</t>
  </si>
  <si>
    <t>=SUM(E181-F181-G181)</t>
  </si>
  <si>
    <t>L181</t>
  </si>
  <si>
    <t>=SUM(J181+K181)/H181*100</t>
  </si>
  <si>
    <t>N181</t>
  </si>
  <si>
    <t>=SUM(L181-M181)</t>
  </si>
  <si>
    <t>O181</t>
  </si>
  <si>
    <t>=SUM(I181/H181)*1000</t>
  </si>
  <si>
    <t>C182</t>
  </si>
  <si>
    <t>26.5 - day 6</t>
  </si>
  <si>
    <t>E182</t>
  </si>
  <si>
    <t>=H181</t>
  </si>
  <si>
    <t>H182</t>
  </si>
  <si>
    <t>=SUM(E182-F182-G182)</t>
  </si>
  <si>
    <t>L182</t>
  </si>
  <si>
    <t>=SUM(J182+K182)/H182*100</t>
  </si>
  <si>
    <t>N182</t>
  </si>
  <si>
    <t>=SUM(L182-M182)</t>
  </si>
  <si>
    <t>O182</t>
  </si>
  <si>
    <t>=SUM(I182/H182)*1000</t>
  </si>
  <si>
    <t>C183</t>
  </si>
  <si>
    <t>26.6 - day 7</t>
  </si>
  <si>
    <t>E183</t>
  </si>
  <si>
    <t>=H182</t>
  </si>
  <si>
    <t>H183</t>
  </si>
  <si>
    <t>=SUM(E183-F183-G183)</t>
  </si>
  <si>
    <t>L183</t>
  </si>
  <si>
    <t>=SUM(J183+K183)/H183*100</t>
  </si>
  <si>
    <t>N183</t>
  </si>
  <si>
    <t>=SUM(L183-M183)</t>
  </si>
  <si>
    <t>O183</t>
  </si>
  <si>
    <t>=SUM(I183/H183)*1000</t>
  </si>
  <si>
    <t>C184</t>
  </si>
  <si>
    <t>27.0 - day 1</t>
  </si>
  <si>
    <t>E184</t>
  </si>
  <si>
    <t>=H183</t>
  </si>
  <si>
    <t>H184</t>
  </si>
  <si>
    <t>=SUM(E184-F184-G184)</t>
  </si>
  <si>
    <t>L184</t>
  </si>
  <si>
    <t>=SUM(J184+K184)/H184*100</t>
  </si>
  <si>
    <t>N184</t>
  </si>
  <si>
    <t>=SUM(L184-M184)</t>
  </si>
  <si>
    <t>O184</t>
  </si>
  <si>
    <t>=SUM(I184/H184)*1000</t>
  </si>
  <si>
    <t>C185</t>
  </si>
  <si>
    <t>27.1 - day 2</t>
  </si>
  <si>
    <t>E185</t>
  </si>
  <si>
    <t>=H184</t>
  </si>
  <si>
    <t>H185</t>
  </si>
  <si>
    <t>=SUM(E185-F185-G185)</t>
  </si>
  <si>
    <t>L185</t>
  </si>
  <si>
    <t>=SUM(J185+K185)/H185*100</t>
  </si>
  <si>
    <t>N185</t>
  </si>
  <si>
    <t>=SUM(L185-M185)</t>
  </si>
  <si>
    <t>O185</t>
  </si>
  <si>
    <t>=SUM(I185/H185)*1000</t>
  </si>
  <si>
    <t>C186</t>
  </si>
  <si>
    <t>27.2 - day 3</t>
  </si>
  <si>
    <t>E186</t>
  </si>
  <si>
    <t>=H185</t>
  </si>
  <si>
    <t>H186</t>
  </si>
  <si>
    <t>=SUM(E186-F186-G186)</t>
  </si>
  <si>
    <t>L186</t>
  </si>
  <si>
    <t>=SUM(J186+K186)/H186*100</t>
  </si>
  <si>
    <t>N186</t>
  </si>
  <si>
    <t>=SUM(L186-M186)</t>
  </si>
  <si>
    <t>O186</t>
  </si>
  <si>
    <t>=SUM(I186/H186)*1000</t>
  </si>
  <si>
    <t>C187</t>
  </si>
  <si>
    <t>27.3 - day 4</t>
  </si>
  <si>
    <t>E187</t>
  </si>
  <si>
    <t>=H186</t>
  </si>
  <si>
    <t>H187</t>
  </si>
  <si>
    <t>=SUM(E187-F187-G187)</t>
  </si>
  <si>
    <t>L187</t>
  </si>
  <si>
    <t>=SUM(J187+K187)/H187*100</t>
  </si>
  <si>
    <t>N187</t>
  </si>
  <si>
    <t>=SUM(L187-M187)</t>
  </si>
  <si>
    <t>O187</t>
  </si>
  <si>
    <t>=SUM(I187/H187)*1000</t>
  </si>
  <si>
    <t>C188</t>
  </si>
  <si>
    <t>27.4 - day 5</t>
  </si>
  <si>
    <t>E188</t>
  </si>
  <si>
    <t>=H187</t>
  </si>
  <si>
    <t>H188</t>
  </si>
  <si>
    <t>=SUM(E188-F188-G188)</t>
  </si>
  <si>
    <t>L188</t>
  </si>
  <si>
    <t>=SUM(J188+K188)/H188*100</t>
  </si>
  <si>
    <t>N188</t>
  </si>
  <si>
    <t>=SUM(L188-M188)</t>
  </si>
  <si>
    <t>O188</t>
  </si>
  <si>
    <t>=SUM(I188/H188)*1000</t>
  </si>
  <si>
    <t>C189</t>
  </si>
  <si>
    <t>27.5 - day 6</t>
  </si>
  <si>
    <t>E189</t>
  </si>
  <si>
    <t>=H188</t>
  </si>
  <si>
    <t>H189</t>
  </si>
  <si>
    <t>=SUM(E189-F189-G189)</t>
  </si>
  <si>
    <t>L189</t>
  </si>
  <si>
    <t>=SUM(J189+K189)/H189*100</t>
  </si>
  <si>
    <t>N189</t>
  </si>
  <si>
    <t>=SUM(L189-M189)</t>
  </si>
  <si>
    <t>O189</t>
  </si>
  <si>
    <t>=SUM(I189/H189)*1000</t>
  </si>
  <si>
    <t>C190</t>
  </si>
  <si>
    <t>27.6 - day 7</t>
  </si>
  <si>
    <t>E190</t>
  </si>
  <si>
    <t>=H189</t>
  </si>
  <si>
    <t>H190</t>
  </si>
  <si>
    <t>=SUM(E190-F190-G190)</t>
  </si>
  <si>
    <t>L190</t>
  </si>
  <si>
    <t>=SUM(J190+K190)/H190*100</t>
  </si>
  <si>
    <t>N190</t>
  </si>
  <si>
    <t>=SUM(L190-M190)</t>
  </si>
  <si>
    <t>O190</t>
  </si>
  <si>
    <t>=SUM(I190/H190)*1000</t>
  </si>
  <si>
    <t>C191</t>
  </si>
  <si>
    <t>28.0 - day 1</t>
  </si>
  <si>
    <t>E191</t>
  </si>
  <si>
    <t>=H190</t>
  </si>
  <si>
    <t>H191</t>
  </si>
  <si>
    <t>=SUM(E191-F191-G191)</t>
  </si>
  <si>
    <t>L191</t>
  </si>
  <si>
    <t>=SUM(J191+K191)/H191*100</t>
  </si>
  <si>
    <t>N191</t>
  </si>
  <si>
    <t>=SUM(L191-M191)</t>
  </si>
  <si>
    <t>O191</t>
  </si>
  <si>
    <t>=SUM(I191/H191)*1000</t>
  </si>
  <si>
    <t>C192</t>
  </si>
  <si>
    <t>28.1 - day 2</t>
  </si>
  <si>
    <t>E192</t>
  </si>
  <si>
    <t>=H191</t>
  </si>
  <si>
    <t>H192</t>
  </si>
  <si>
    <t>=SUM(E192-F192-G192)</t>
  </si>
  <si>
    <t>L192</t>
  </si>
  <si>
    <t>=SUM(J192+K192)/H192*100</t>
  </si>
  <si>
    <t>N192</t>
  </si>
  <si>
    <t>=SUM(L192-M192)</t>
  </si>
  <si>
    <t>O192</t>
  </si>
  <si>
    <t>=SUM(I192/H192)*1000</t>
  </si>
  <si>
    <t>C193</t>
  </si>
  <si>
    <t>28.2 - day 3</t>
  </si>
  <si>
    <t>E193</t>
  </si>
  <si>
    <t>=H192</t>
  </si>
  <si>
    <t>H193</t>
  </si>
  <si>
    <t>=SUM(E193-F193-G193)</t>
  </si>
  <si>
    <t>L193</t>
  </si>
  <si>
    <t>=SUM(J193+K193)/H193*100</t>
  </si>
  <si>
    <t>N193</t>
  </si>
  <si>
    <t>=SUM(L193-M193)</t>
  </si>
  <si>
    <t>O193</t>
  </si>
  <si>
    <t>=SUM(I193/H193)*1000</t>
  </si>
  <si>
    <t>C194</t>
  </si>
  <si>
    <t>28.3 - day 4</t>
  </si>
  <si>
    <t>E194</t>
  </si>
  <si>
    <t>=H193</t>
  </si>
  <si>
    <t>H194</t>
  </si>
  <si>
    <t>=SUM(E194-F194-G194)</t>
  </si>
  <si>
    <t>L194</t>
  </si>
  <si>
    <t>=SUM(J194+K194)/H194*100</t>
  </si>
  <si>
    <t>N194</t>
  </si>
  <si>
    <t>=SUM(L194-M194)</t>
  </si>
  <si>
    <t>O194</t>
  </si>
  <si>
    <t>=SUM(I194/H194)*1000</t>
  </si>
  <si>
    <t>C195</t>
  </si>
  <si>
    <t>28.4 - day 5</t>
  </si>
  <si>
    <t>E195</t>
  </si>
  <si>
    <t>=H194</t>
  </si>
  <si>
    <t>H195</t>
  </si>
  <si>
    <t>=SUM(E195-F195-G195)</t>
  </si>
  <si>
    <t>L195</t>
  </si>
  <si>
    <t>=SUM(J195+K195)/H195*100</t>
  </si>
  <si>
    <t>N195</t>
  </si>
  <si>
    <t>=SUM(L195-M195)</t>
  </si>
  <si>
    <t>O195</t>
  </si>
  <si>
    <t>=SUM(I195/H195)*1000</t>
  </si>
  <si>
    <t>C196</t>
  </si>
  <si>
    <t>28.5 - day 6</t>
  </si>
  <si>
    <t>E196</t>
  </si>
  <si>
    <t>=H195</t>
  </si>
  <si>
    <t>H196</t>
  </si>
  <si>
    <t>=SUM(E196-F196-G196)</t>
  </si>
  <si>
    <t>L196</t>
  </si>
  <si>
    <t>=SUM(J196+K196)/H196*100</t>
  </si>
  <si>
    <t>N196</t>
  </si>
  <si>
    <t>=SUM(L196-M196)</t>
  </si>
  <si>
    <t>O196</t>
  </si>
  <si>
    <t>=SUM(I196/H196)*1000</t>
  </si>
  <si>
    <t>C197</t>
  </si>
  <si>
    <t>28.6 - day 7</t>
  </si>
  <si>
    <t>E197</t>
  </si>
  <si>
    <t>=H196</t>
  </si>
  <si>
    <t>H197</t>
  </si>
  <si>
    <t>=SUM(E197-F197-G197)</t>
  </si>
  <si>
    <t>L197</t>
  </si>
  <si>
    <t>=SUM(J197+K197)/H197*100</t>
  </si>
  <si>
    <t>N197</t>
  </si>
  <si>
    <t>=SUM(L197-M197)</t>
  </si>
  <si>
    <t>O197</t>
  </si>
  <si>
    <t>=SUM(I197/H197)*1000</t>
  </si>
  <si>
    <t>C198</t>
  </si>
  <si>
    <t>29.0 - day 1</t>
  </si>
  <si>
    <t>E198</t>
  </si>
  <si>
    <t>=H197</t>
  </si>
  <si>
    <t>H198</t>
  </si>
  <si>
    <t>=SUM(E198-F198-G198)</t>
  </si>
  <si>
    <t>L198</t>
  </si>
  <si>
    <t>=SUM(J198+K198)/H198*100</t>
  </si>
  <si>
    <t>N198</t>
  </si>
  <si>
    <t>=SUM(L198-M198)</t>
  </si>
  <si>
    <t>O198</t>
  </si>
  <si>
    <t>=SUM(I198/H198)*1000</t>
  </si>
  <si>
    <t>C199</t>
  </si>
  <si>
    <t>29.1 - day 2</t>
  </si>
  <si>
    <t>E199</t>
  </si>
  <si>
    <t>=H198</t>
  </si>
  <si>
    <t>H199</t>
  </si>
  <si>
    <t>=SUM(E199-F199-G199)</t>
  </si>
  <si>
    <t>L199</t>
  </si>
  <si>
    <t>=SUM(J199+K199)/H199*100</t>
  </si>
  <si>
    <t>N199</t>
  </si>
  <si>
    <t>=SUM(L199-M199)</t>
  </si>
  <si>
    <t>O199</t>
  </si>
  <si>
    <t>=SUM(I199/H199)*1000</t>
  </si>
  <si>
    <t>C200</t>
  </si>
  <si>
    <t>29.2 - day 3</t>
  </si>
  <si>
    <t>E200</t>
  </si>
  <si>
    <t>=H199</t>
  </si>
  <si>
    <t>H200</t>
  </si>
  <si>
    <t>=SUM(E200-F200-G200)</t>
  </si>
  <si>
    <t>L200</t>
  </si>
  <si>
    <t>=SUM(J200+K200)/H200*100</t>
  </si>
  <si>
    <t>N200</t>
  </si>
  <si>
    <t>=SUM(L200-M200)</t>
  </si>
  <si>
    <t>O200</t>
  </si>
  <si>
    <t>=SUM(I200/H200)*1000</t>
  </si>
  <si>
    <t>C201</t>
  </si>
  <si>
    <t>29.3 - day 4</t>
  </si>
  <si>
    <t>E201</t>
  </si>
  <si>
    <t>=H200</t>
  </si>
  <si>
    <t>H201</t>
  </si>
  <si>
    <t>=SUM(E201-F201-G201)</t>
  </si>
  <si>
    <t>L201</t>
  </si>
  <si>
    <t>=SUM(J201+K201)/H201*100</t>
  </si>
  <si>
    <t>N201</t>
  </si>
  <si>
    <t>=SUM(L201-M201)</t>
  </si>
  <si>
    <t>O201</t>
  </si>
  <si>
    <t>=SUM(I201/H201)*1000</t>
  </si>
  <si>
    <t>C202</t>
  </si>
  <si>
    <t>29.4 - day 5</t>
  </si>
  <si>
    <t>E202</t>
  </si>
  <si>
    <t>=H201</t>
  </si>
  <si>
    <t>H202</t>
  </si>
  <si>
    <t>=SUM(E202-F202-G202)</t>
  </si>
  <si>
    <t>L202</t>
  </si>
  <si>
    <t>=SUM(J202+K202)/H202*100</t>
  </si>
  <si>
    <t>N202</t>
  </si>
  <si>
    <t>=SUM(L202-M202)</t>
  </si>
  <si>
    <t>O202</t>
  </si>
  <si>
    <t>=SUM(I202/H202)*1000</t>
  </si>
  <si>
    <t>C203</t>
  </si>
  <si>
    <t>29.5 - day 6</t>
  </si>
  <si>
    <t>E203</t>
  </si>
  <si>
    <t>=H202</t>
  </si>
  <si>
    <t>H203</t>
  </si>
  <si>
    <t>=SUM(E203-F203-G203)</t>
  </si>
  <si>
    <t>L203</t>
  </si>
  <si>
    <t>=SUM(J203+K203)/H203*100</t>
  </si>
  <si>
    <t>N203</t>
  </si>
  <si>
    <t>=SUM(L203-M203)</t>
  </si>
  <si>
    <t>O203</t>
  </si>
  <si>
    <t>=SUM(I203/H203)*1000</t>
  </si>
  <si>
    <t>C204</t>
  </si>
  <si>
    <t>29.6 - day 7</t>
  </si>
  <si>
    <t>E204</t>
  </si>
  <si>
    <t>=H203</t>
  </si>
  <si>
    <t>H204</t>
  </si>
  <si>
    <t>=SUM(E204-F204-G204)</t>
  </si>
  <si>
    <t>L204</t>
  </si>
  <si>
    <t>=SUM(J204+K204)/H204*100</t>
  </si>
  <si>
    <t>N204</t>
  </si>
  <si>
    <t>=SUM(L204-M204)</t>
  </si>
  <si>
    <t>O204</t>
  </si>
  <si>
    <t>=SUM(I204/H204)*1000</t>
  </si>
  <si>
    <t>C205</t>
  </si>
  <si>
    <t>30.0 - day 1</t>
  </si>
  <si>
    <t>E205</t>
  </si>
  <si>
    <t>=H204</t>
  </si>
  <si>
    <t>H205</t>
  </si>
  <si>
    <t>=SUM(E205-F205-G205)</t>
  </si>
  <si>
    <t>L205</t>
  </si>
  <si>
    <t>=SUM(J205+K205)/H205*100</t>
  </si>
  <si>
    <t>N205</t>
  </si>
  <si>
    <t>=SUM(L205-M205)</t>
  </si>
  <si>
    <t>O205</t>
  </si>
  <si>
    <t>=SUM(I205/H205)*1000</t>
  </si>
  <si>
    <t>C206</t>
  </si>
  <si>
    <t>30.1 - day 2</t>
  </si>
  <si>
    <t>E206</t>
  </si>
  <si>
    <t>=H205</t>
  </si>
  <si>
    <t>H206</t>
  </si>
  <si>
    <t>=SUM(E206-F206-G206)</t>
  </si>
  <si>
    <t>L206</t>
  </si>
  <si>
    <t>=SUM(J206+K206)/H206*100</t>
  </si>
  <si>
    <t>N206</t>
  </si>
  <si>
    <t>=SUM(L206-M206)</t>
  </si>
  <si>
    <t>O206</t>
  </si>
  <si>
    <t>=SUM(I206/H206)*1000</t>
  </si>
  <si>
    <t>C207</t>
  </si>
  <si>
    <t>30.2 - day 3</t>
  </si>
  <si>
    <t>E207</t>
  </si>
  <si>
    <t>=H206</t>
  </si>
  <si>
    <t>H207</t>
  </si>
  <si>
    <t>=SUM(E207-F207-G207)</t>
  </si>
  <si>
    <t>L207</t>
  </si>
  <si>
    <t>=SUM(J207+K207)/H207*100</t>
  </si>
  <si>
    <t>N207</t>
  </si>
  <si>
    <t>=SUM(L207-M207)</t>
  </si>
  <si>
    <t>O207</t>
  </si>
  <si>
    <t>=SUM(I207/H207)*1000</t>
  </si>
  <si>
    <t>C208</t>
  </si>
  <si>
    <t>30.3 - day 4</t>
  </si>
  <si>
    <t>E208</t>
  </si>
  <si>
    <t>=H207</t>
  </si>
  <si>
    <t>H208</t>
  </si>
  <si>
    <t>=SUM(E208-F208-G208)</t>
  </si>
  <si>
    <t>L208</t>
  </si>
  <si>
    <t>=SUM(J208+K208)/H208*100</t>
  </si>
  <si>
    <t>N208</t>
  </si>
  <si>
    <t>=SUM(L208-M208)</t>
  </si>
  <si>
    <t>O208</t>
  </si>
  <si>
    <t>=SUM(I208/H208)*1000</t>
  </si>
  <si>
    <t>C209</t>
  </si>
  <si>
    <t>30.4 - day 5</t>
  </si>
  <si>
    <t>E209</t>
  </si>
  <si>
    <t>=H208</t>
  </si>
  <si>
    <t>H209</t>
  </si>
  <si>
    <t>=SUM(E209-F209-G209)</t>
  </si>
  <si>
    <t>L209</t>
  </si>
  <si>
    <t>=SUM(J209+K209)/H209*100</t>
  </si>
  <si>
    <t>N209</t>
  </si>
  <si>
    <t>=SUM(L209-M209)</t>
  </si>
  <si>
    <t>O209</t>
  </si>
  <si>
    <t>=SUM(I209/H209)*1000</t>
  </si>
  <si>
    <t>C210</t>
  </si>
  <si>
    <t>30.5 - day 6</t>
  </si>
  <si>
    <t>E210</t>
  </si>
  <si>
    <t>=H209</t>
  </si>
  <si>
    <t>H210</t>
  </si>
  <si>
    <t>=SUM(E210-F210-G210)</t>
  </si>
  <si>
    <t>L210</t>
  </si>
  <si>
    <t>=SUM(J210+K210)/H210*100</t>
  </si>
  <si>
    <t>N210</t>
  </si>
  <si>
    <t>=SUM(L210-M210)</t>
  </si>
  <si>
    <t>O210</t>
  </si>
  <si>
    <t>=SUM(I210/H210)*1000</t>
  </si>
  <si>
    <t>C211</t>
  </si>
  <si>
    <t>30.6 - day 7</t>
  </si>
  <si>
    <t>E211</t>
  </si>
  <si>
    <t>=H210</t>
  </si>
  <si>
    <t>H211</t>
  </si>
  <si>
    <t>=SUM(E211-F211-G211)</t>
  </si>
  <si>
    <t>L211</t>
  </si>
  <si>
    <t>=SUM(J211+K211)/H211*100</t>
  </si>
  <si>
    <t>N211</t>
  </si>
  <si>
    <t>=SUM(L211-M211)</t>
  </si>
  <si>
    <t>O211</t>
  </si>
  <si>
    <t>=SUM(I211/H211)*1000</t>
  </si>
  <si>
    <t>C212</t>
  </si>
  <si>
    <t>31.0 - day 1</t>
  </si>
  <si>
    <t>E212</t>
  </si>
  <si>
    <t>=H211</t>
  </si>
  <si>
    <t>H212</t>
  </si>
  <si>
    <t>=SUM(E212-F212-G212)</t>
  </si>
  <si>
    <t>L212</t>
  </si>
  <si>
    <t>=SUM(J212+K212)/H212*100</t>
  </si>
  <si>
    <t>N212</t>
  </si>
  <si>
    <t>=SUM(L212-M212)</t>
  </si>
  <si>
    <t>O212</t>
  </si>
  <si>
    <t>=SUM(I212/H212)*1000</t>
  </si>
  <si>
    <t>C213</t>
  </si>
  <si>
    <t>31.1 - day 2</t>
  </si>
  <si>
    <t>E213</t>
  </si>
  <si>
    <t>=H212</t>
  </si>
  <si>
    <t>H213</t>
  </si>
  <si>
    <t>=SUM(E213-F213-G213)</t>
  </si>
  <si>
    <t>L213</t>
  </si>
  <si>
    <t>=SUM(J213+K213)/H213*100</t>
  </si>
  <si>
    <t>N213</t>
  </si>
  <si>
    <t>=SUM(L213-M213)</t>
  </si>
  <si>
    <t>O213</t>
  </si>
  <si>
    <t>=SUM(I213/H213)*1000</t>
  </si>
  <si>
    <t>C214</t>
  </si>
  <si>
    <t>31.2 - day 3</t>
  </si>
  <si>
    <t>E214</t>
  </si>
  <si>
    <t>=H213</t>
  </si>
  <si>
    <t>H214</t>
  </si>
  <si>
    <t>=SUM(E214-F214-G214)</t>
  </si>
  <si>
    <t>L214</t>
  </si>
  <si>
    <t>=SUM(J214+K214)/H214*100</t>
  </si>
  <si>
    <t>N214</t>
  </si>
  <si>
    <t>=SUM(L214-M214)</t>
  </si>
  <si>
    <t>O214</t>
  </si>
  <si>
    <t>=SUM(I214/H214)*1000</t>
  </si>
  <si>
    <t>C215</t>
  </si>
  <si>
    <t>31.3 - day 4</t>
  </si>
  <si>
    <t>E215</t>
  </si>
  <si>
    <t>=H214</t>
  </si>
  <si>
    <t>H215</t>
  </si>
  <si>
    <t>=SUM(E215-F215-G215)</t>
  </si>
  <si>
    <t>L215</t>
  </si>
  <si>
    <t>=SUM(J215+K215)/H215*100</t>
  </si>
  <si>
    <t>N215</t>
  </si>
  <si>
    <t>=SUM(L215-M215)</t>
  </si>
  <si>
    <t>O215</t>
  </si>
  <si>
    <t>=SUM(I215/H215)*1000</t>
  </si>
  <si>
    <t>C216</t>
  </si>
  <si>
    <t>31.4 - day 5</t>
  </si>
  <si>
    <t>E216</t>
  </si>
  <si>
    <t>=H215</t>
  </si>
  <si>
    <t>H216</t>
  </si>
  <si>
    <t>=SUM(E216-F216-G216)</t>
  </si>
  <si>
    <t>L216</t>
  </si>
  <si>
    <t>=SUM(J216+K216)/H216*100</t>
  </si>
  <si>
    <t>N216</t>
  </si>
  <si>
    <t>=SUM(L216-M216)</t>
  </si>
  <si>
    <t>O216</t>
  </si>
  <si>
    <t>=SUM(I216/H216)*1000</t>
  </si>
  <si>
    <t>C217</t>
  </si>
  <si>
    <t>31.5 - day 6</t>
  </si>
  <si>
    <t>E217</t>
  </si>
  <si>
    <t>=H216</t>
  </si>
  <si>
    <t>H217</t>
  </si>
  <si>
    <t>=SUM(E217-F217-G217)</t>
  </si>
  <si>
    <t>L217</t>
  </si>
  <si>
    <t>=SUM(J217+K217)/H217*100</t>
  </si>
  <si>
    <t>N217</t>
  </si>
  <si>
    <t>=SUM(L217-M217)</t>
  </si>
  <si>
    <t>O217</t>
  </si>
  <si>
    <t>=SUM(I217/H217)*1000</t>
  </si>
  <si>
    <t>C218</t>
  </si>
  <si>
    <t>31.6 - day 7</t>
  </si>
  <si>
    <t>E218</t>
  </si>
  <si>
    <t>=H217</t>
  </si>
  <si>
    <t>H218</t>
  </si>
  <si>
    <t>=SUM(E218-F218-G218)</t>
  </si>
  <si>
    <t>L218</t>
  </si>
  <si>
    <t>=SUM(J218+K218)/H218*100</t>
  </si>
  <si>
    <t>N218</t>
  </si>
  <si>
    <t>=SUM(L218-M218)</t>
  </si>
  <si>
    <t>O218</t>
  </si>
  <si>
    <t>=SUM(I218/H218)*1000</t>
  </si>
  <si>
    <t>C219</t>
  </si>
  <si>
    <t>32.0 - day 1</t>
  </si>
  <si>
    <t>E219</t>
  </si>
  <si>
    <t>=H218</t>
  </si>
  <si>
    <t>H219</t>
  </si>
  <si>
    <t>=SUM(E219-F219-G219)</t>
  </si>
  <si>
    <t>L219</t>
  </si>
  <si>
    <t>=SUM(J219+K219)/H219*100</t>
  </si>
  <si>
    <t>N219</t>
  </si>
  <si>
    <t>=SUM(L219-M219)</t>
  </si>
  <si>
    <t>O219</t>
  </si>
  <si>
    <t>=SUM(I219/H219)*1000</t>
  </si>
  <si>
    <t>C220</t>
  </si>
  <si>
    <t>32.1 - day 2</t>
  </si>
  <si>
    <t>E220</t>
  </si>
  <si>
    <t>=H219</t>
  </si>
  <si>
    <t>H220</t>
  </si>
  <si>
    <t>=SUM(E220-F220-G220)</t>
  </si>
  <si>
    <t>L220</t>
  </si>
  <si>
    <t>=SUM(J220+K220)/H220*100</t>
  </si>
  <si>
    <t>N220</t>
  </si>
  <si>
    <t>=SUM(L220-M220)</t>
  </si>
  <si>
    <t>O220</t>
  </si>
  <si>
    <t>=SUM(I220/H220)*1000</t>
  </si>
  <si>
    <t>C221</t>
  </si>
  <si>
    <t>32.2 - day 3</t>
  </si>
  <si>
    <t>E221</t>
  </si>
  <si>
    <t>=H220</t>
  </si>
  <si>
    <t>H221</t>
  </si>
  <si>
    <t>=SUM(E221-F221-G221)</t>
  </si>
  <si>
    <t>L221</t>
  </si>
  <si>
    <t>=SUM(J221+K221)/H221*100</t>
  </si>
  <si>
    <t>N221</t>
  </si>
  <si>
    <t>=SUM(L221-M221)</t>
  </si>
  <si>
    <t>O221</t>
  </si>
  <si>
    <t>=SUM(I221/H221)*1000</t>
  </si>
  <si>
    <t>C222</t>
  </si>
  <si>
    <t>32.3 - day 4</t>
  </si>
  <si>
    <t>E222</t>
  </si>
  <si>
    <t>=H221</t>
  </si>
  <si>
    <t>H222</t>
  </si>
  <si>
    <t>=SUM(E222-F222-G222)</t>
  </si>
  <si>
    <t>L222</t>
  </si>
  <si>
    <t>=SUM(J222+K222)/H222*100</t>
  </si>
  <si>
    <t>N222</t>
  </si>
  <si>
    <t>=SUM(L222-M222)</t>
  </si>
  <si>
    <t>O222</t>
  </si>
  <si>
    <t>=SUM(I222/H222)*1000</t>
  </si>
  <si>
    <t>C223</t>
  </si>
  <si>
    <t>32.4 - day 5</t>
  </si>
  <si>
    <t>E223</t>
  </si>
  <si>
    <t>=H222</t>
  </si>
  <si>
    <t>H223</t>
  </si>
  <si>
    <t>=SUM(E223-F223-G223)</t>
  </si>
  <si>
    <t>L223</t>
  </si>
  <si>
    <t>=SUM(J223+K223)/H223*100</t>
  </si>
  <si>
    <t>N223</t>
  </si>
  <si>
    <t>=SUM(L223-M223)</t>
  </si>
  <si>
    <t>O223</t>
  </si>
  <si>
    <t>=SUM(I223/H223)*1000</t>
  </si>
  <si>
    <t>C224</t>
  </si>
  <si>
    <t>32.5 - day 6</t>
  </si>
  <si>
    <t>E224</t>
  </si>
  <si>
    <t>=H223</t>
  </si>
  <si>
    <t>H224</t>
  </si>
  <si>
    <t>=SUM(E224-F224-G224)</t>
  </si>
  <si>
    <t>L224</t>
  </si>
  <si>
    <t>=SUM(J224+K224)/H224*100</t>
  </si>
  <si>
    <t>N224</t>
  </si>
  <si>
    <t>=SUM(L224-M224)</t>
  </si>
  <si>
    <t>O224</t>
  </si>
  <si>
    <t>=SUM(I224/H224)*1000</t>
  </si>
  <si>
    <t>C225</t>
  </si>
  <si>
    <t>32.6 - day 7</t>
  </si>
  <si>
    <t>E225</t>
  </si>
  <si>
    <t>=H224</t>
  </si>
  <si>
    <t>H225</t>
  </si>
  <si>
    <t>=SUM(E225-F225-G225)</t>
  </si>
  <si>
    <t>L225</t>
  </si>
  <si>
    <t>=SUM(J225+K225)/H225*100</t>
  </si>
  <si>
    <t>N225</t>
  </si>
  <si>
    <t>=SUM(L225-M225)</t>
  </si>
  <si>
    <t>O225</t>
  </si>
  <si>
    <t>=SUM(I225/H225)*1000</t>
  </si>
  <si>
    <t>C226</t>
  </si>
  <si>
    <t>33.0 - day 1</t>
  </si>
  <si>
    <t>E226</t>
  </si>
  <si>
    <t>=H225</t>
  </si>
  <si>
    <t>H226</t>
  </si>
  <si>
    <t>=SUM(E226-F226-G226)</t>
  </si>
  <si>
    <t>L226</t>
  </si>
  <si>
    <t>=SUM(J226+K226)/H226*100</t>
  </si>
  <si>
    <t>N226</t>
  </si>
  <si>
    <t>=SUM(L226-M226)</t>
  </si>
  <si>
    <t>O226</t>
  </si>
  <si>
    <t>=SUM(I226/H226)*1000</t>
  </si>
  <si>
    <t>C227</t>
  </si>
  <si>
    <t>33.1 - day 2</t>
  </si>
  <si>
    <t>E227</t>
  </si>
  <si>
    <t>=H226</t>
  </si>
  <si>
    <t>H227</t>
  </si>
  <si>
    <t>=SUM(E227-F227-G227)</t>
  </si>
  <si>
    <t>L227</t>
  </si>
  <si>
    <t>=SUM(J227+K227)/H227*100</t>
  </si>
  <si>
    <t>N227</t>
  </si>
  <si>
    <t>=SUM(L227-M227)</t>
  </si>
  <si>
    <t>O227</t>
  </si>
  <si>
    <t>=SUM(I227/H227)*1000</t>
  </si>
  <si>
    <t>C228</t>
  </si>
  <si>
    <t>33.2 - day 3</t>
  </si>
  <si>
    <t>E228</t>
  </si>
  <si>
    <t>=H227</t>
  </si>
  <si>
    <t>H228</t>
  </si>
  <si>
    <t>=SUM(E228-F228-G228)</t>
  </si>
  <si>
    <t>L228</t>
  </si>
  <si>
    <t>=SUM(J228+K228)/H228*100</t>
  </si>
  <si>
    <t>N228</t>
  </si>
  <si>
    <t>=SUM(L228-M228)</t>
  </si>
  <si>
    <t>O228</t>
  </si>
  <si>
    <t>=SUM(I228/H228)*1000</t>
  </si>
  <si>
    <t>C229</t>
  </si>
  <si>
    <t>33.3 - day 4</t>
  </si>
  <si>
    <t>E229</t>
  </si>
  <si>
    <t>=H228</t>
  </si>
  <si>
    <t>H229</t>
  </si>
  <si>
    <t>=SUM(E229-F229-G229)</t>
  </si>
  <si>
    <t>L229</t>
  </si>
  <si>
    <t>=SUM(J229+K229)/H229*100</t>
  </si>
  <si>
    <t>N229</t>
  </si>
  <si>
    <t>=SUM(L229-M229)</t>
  </si>
  <si>
    <t>O229</t>
  </si>
  <si>
    <t>=SUM(I229/H229)*1000</t>
  </si>
  <si>
    <t>C230</t>
  </si>
  <si>
    <t>33.4 - day 5</t>
  </si>
  <si>
    <t>E230</t>
  </si>
  <si>
    <t>=H229</t>
  </si>
  <si>
    <t>H230</t>
  </si>
  <si>
    <t>=SUM(E230-F230-G230)</t>
  </si>
  <si>
    <t>L230</t>
  </si>
  <si>
    <t>=SUM(J230+K230)/H230*100</t>
  </si>
  <si>
    <t>N230</t>
  </si>
  <si>
    <t>=SUM(L230-M230)</t>
  </si>
  <si>
    <t>O230</t>
  </si>
  <si>
    <t>=SUM(I230/H230)*1000</t>
  </si>
  <si>
    <t>C231</t>
  </si>
  <si>
    <t>33.5 - day 6</t>
  </si>
  <si>
    <t>E231</t>
  </si>
  <si>
    <t>=H230</t>
  </si>
  <si>
    <t>H231</t>
  </si>
  <si>
    <t>=SUM(E231-F231-G231)</t>
  </si>
  <si>
    <t>L231</t>
  </si>
  <si>
    <t>=SUM(J231+K231)/H231*100</t>
  </si>
  <si>
    <t>N231</t>
  </si>
  <si>
    <t>=SUM(L231-M231)</t>
  </si>
  <si>
    <t>O231</t>
  </si>
  <si>
    <t>=SUM(I231/H231)*1000</t>
  </si>
  <si>
    <t>C232</t>
  </si>
  <si>
    <t>33.6 - day 7</t>
  </si>
  <si>
    <t>E232</t>
  </si>
  <si>
    <t>=H231</t>
  </si>
  <si>
    <t>H232</t>
  </si>
  <si>
    <t>=SUM(E232-F232-G232)</t>
  </si>
  <si>
    <t>L232</t>
  </si>
  <si>
    <t>=SUM(J232+K232)/H232*100</t>
  </si>
  <si>
    <t>N232</t>
  </si>
  <si>
    <t>=SUM(L232-M232)</t>
  </si>
  <si>
    <t>O232</t>
  </si>
  <si>
    <t>=SUM(I232/H232)*1000</t>
  </si>
  <si>
    <t>C233</t>
  </si>
  <si>
    <t>34.0 - day 1</t>
  </si>
  <si>
    <t>E233</t>
  </si>
  <si>
    <t>=H232</t>
  </si>
  <si>
    <t>H233</t>
  </si>
  <si>
    <t>=SUM(E233-F233-G233)</t>
  </si>
  <si>
    <t>L233</t>
  </si>
  <si>
    <t>=SUM(J233+K233)/H233*100</t>
  </si>
  <si>
    <t>N233</t>
  </si>
  <si>
    <t>=SUM(L233-M233)</t>
  </si>
  <si>
    <t>O233</t>
  </si>
  <si>
    <t>=SUM(I233/H233)*1000</t>
  </si>
  <si>
    <t>C234</t>
  </si>
  <si>
    <t>34.1 - day 2</t>
  </si>
  <si>
    <t>E234</t>
  </si>
  <si>
    <t>=H233</t>
  </si>
  <si>
    <t>H234</t>
  </si>
  <si>
    <t>=SUM(E234-F234-G234)</t>
  </si>
  <si>
    <t>L234</t>
  </si>
  <si>
    <t>=SUM(J234+K234)/H234*100</t>
  </si>
  <si>
    <t>N234</t>
  </si>
  <si>
    <t>=SUM(L234-M234)</t>
  </si>
  <si>
    <t>O234</t>
  </si>
  <si>
    <t>=SUM(I234/H234)*1000</t>
  </si>
  <si>
    <t>C235</t>
  </si>
  <si>
    <t>34.2 - day 3</t>
  </si>
  <si>
    <t>E235</t>
  </si>
  <si>
    <t>=H234</t>
  </si>
  <si>
    <t>H235</t>
  </si>
  <si>
    <t>=SUM(E235-F235-G235)</t>
  </si>
  <si>
    <t>L235</t>
  </si>
  <si>
    <t>=SUM(J235+K235)/H235*100</t>
  </si>
  <si>
    <t>N235</t>
  </si>
  <si>
    <t>=SUM(L235-M235)</t>
  </si>
  <si>
    <t>O235</t>
  </si>
  <si>
    <t>=SUM(I235/H235)*1000</t>
  </si>
  <si>
    <t>C236</t>
  </si>
  <si>
    <t>34.3 - day 4</t>
  </si>
  <si>
    <t>E236</t>
  </si>
  <si>
    <t>=H235</t>
  </si>
  <si>
    <t>H236</t>
  </si>
  <si>
    <t>=SUM(E236-F236-G236)</t>
  </si>
  <si>
    <t>L236</t>
  </si>
  <si>
    <t>=SUM(J236+K236)/H236*100</t>
  </si>
  <si>
    <t>N236</t>
  </si>
  <si>
    <t>=SUM(L236-M236)</t>
  </si>
  <si>
    <t>O236</t>
  </si>
  <si>
    <t>=SUM(I236/H236)*1000</t>
  </si>
  <si>
    <t>C237</t>
  </si>
  <si>
    <t>34.4 - day 5</t>
  </si>
  <si>
    <t>E237</t>
  </si>
  <si>
    <t>=H236</t>
  </si>
  <si>
    <t>H237</t>
  </si>
  <si>
    <t>=SUM(E237-F237-G237)</t>
  </si>
  <si>
    <t>L237</t>
  </si>
  <si>
    <t>=SUM(J237+K237)/H237*100</t>
  </si>
  <si>
    <t>N237</t>
  </si>
  <si>
    <t>=SUM(L237-M237)</t>
  </si>
  <si>
    <t>O237</t>
  </si>
  <si>
    <t>=SUM(I237/H237)*1000</t>
  </si>
  <si>
    <t>C238</t>
  </si>
  <si>
    <t>34.5 - day 6</t>
  </si>
  <si>
    <t>E238</t>
  </si>
  <si>
    <t>=H237</t>
  </si>
  <si>
    <t>H238</t>
  </si>
  <si>
    <t>=SUM(E238-F238-G238)</t>
  </si>
  <si>
    <t>L238</t>
  </si>
  <si>
    <t>=SUM(J238+K238)/H238*100</t>
  </si>
  <si>
    <t>N238</t>
  </si>
  <si>
    <t>=SUM(L238-M238)</t>
  </si>
  <si>
    <t>O238</t>
  </si>
  <si>
    <t>=SUM(I238/H238)*1000</t>
  </si>
  <si>
    <t>C239</t>
  </si>
  <si>
    <t>34.6 - day 7</t>
  </si>
  <si>
    <t>E239</t>
  </si>
  <si>
    <t>=H238</t>
  </si>
  <si>
    <t>H239</t>
  </si>
  <si>
    <t>=SUM(E239-F239-G239)</t>
  </si>
  <si>
    <t>L239</t>
  </si>
  <si>
    <t>=SUM(J239+K239)/H239*100</t>
  </si>
  <si>
    <t>N239</t>
  </si>
  <si>
    <t>=SUM(L239-M239)</t>
  </si>
  <si>
    <t>O239</t>
  </si>
  <si>
    <t>=SUM(I239/H239)*1000</t>
  </si>
  <si>
    <t>C240</t>
  </si>
  <si>
    <t>35.0 - day 1</t>
  </si>
  <si>
    <t>E240</t>
  </si>
  <si>
    <t>=H239</t>
  </si>
  <si>
    <t>H240</t>
  </si>
  <si>
    <t>=SUM(E240-F240-G240)</t>
  </si>
  <si>
    <t>L240</t>
  </si>
  <si>
    <t>=SUM(J240+K240)/H240*100</t>
  </si>
  <si>
    <t>N240</t>
  </si>
  <si>
    <t>=SUM(L240-M240)</t>
  </si>
  <si>
    <t>O240</t>
  </si>
  <si>
    <t>=SUM(I240/H240)*1000</t>
  </si>
  <si>
    <t>C241</t>
  </si>
  <si>
    <t>35.1 - day 2</t>
  </si>
  <si>
    <t>E241</t>
  </si>
  <si>
    <t>=H240</t>
  </si>
  <si>
    <t>H241</t>
  </si>
  <si>
    <t>=SUM(E241-F241-G241)</t>
  </si>
  <si>
    <t>L241</t>
  </si>
  <si>
    <t>=SUM(J241+K241)/H241*100</t>
  </si>
  <si>
    <t>N241</t>
  </si>
  <si>
    <t>=SUM(L241-M241)</t>
  </si>
  <si>
    <t>O241</t>
  </si>
  <si>
    <t>=SUM(I241/H241)*1000</t>
  </si>
  <si>
    <t>C242</t>
  </si>
  <si>
    <t>35.2 - day 3</t>
  </si>
  <si>
    <t>E242</t>
  </si>
  <si>
    <t>=H241</t>
  </si>
  <si>
    <t>H242</t>
  </si>
  <si>
    <t>=SUM(E242-F242-G242)</t>
  </si>
  <si>
    <t>L242</t>
  </si>
  <si>
    <t>=SUM(J242+K242)/H242*100</t>
  </si>
  <si>
    <t>N242</t>
  </si>
  <si>
    <t>=SUM(L242-M242)</t>
  </si>
  <si>
    <t>O242</t>
  </si>
  <si>
    <t>=SUM(I242/H242)*1000</t>
  </si>
  <si>
    <t>C243</t>
  </si>
  <si>
    <t>35.3 - day 4</t>
  </si>
  <si>
    <t>E243</t>
  </si>
  <si>
    <t>=H242</t>
  </si>
  <si>
    <t>H243</t>
  </si>
  <si>
    <t>=SUM(E243-F243-G243)</t>
  </si>
  <si>
    <t>L243</t>
  </si>
  <si>
    <t>=SUM(J243+K243)/H243*100</t>
  </si>
  <si>
    <t>N243</t>
  </si>
  <si>
    <t>=SUM(L243-M243)</t>
  </si>
  <si>
    <t>O243</t>
  </si>
  <si>
    <t>=SUM(I243/H243)*1000</t>
  </si>
  <si>
    <t>C244</t>
  </si>
  <si>
    <t>35.4 - day 5</t>
  </si>
  <si>
    <t>E244</t>
  </si>
  <si>
    <t>=H243</t>
  </si>
  <si>
    <t>H244</t>
  </si>
  <si>
    <t>=SUM(E244-F244-G244)</t>
  </si>
  <si>
    <t>L244</t>
  </si>
  <si>
    <t>=SUM(J244+K244)/H244*100</t>
  </si>
  <si>
    <t>N244</t>
  </si>
  <si>
    <t>=SUM(L244-M244)</t>
  </si>
  <si>
    <t>O244</t>
  </si>
  <si>
    <t>=SUM(I244/H244)*1000</t>
  </si>
  <si>
    <t>C245</t>
  </si>
  <si>
    <t>35.5 - day 6</t>
  </si>
  <si>
    <t>E245</t>
  </si>
  <si>
    <t>=H244</t>
  </si>
  <si>
    <t>H245</t>
  </si>
  <si>
    <t>=SUM(E245-F245-G245)</t>
  </si>
  <si>
    <t>L245</t>
  </si>
  <si>
    <t>=SUM(J245+K245)/H245*100</t>
  </si>
  <si>
    <t>N245</t>
  </si>
  <si>
    <t>=SUM(L245-M245)</t>
  </si>
  <si>
    <t>O245</t>
  </si>
  <si>
    <t>=SUM(I245/H245)*1000</t>
  </si>
  <si>
    <t>C246</t>
  </si>
  <si>
    <t>35.6 - day 7</t>
  </si>
  <si>
    <t>E246</t>
  </si>
  <si>
    <t>=H245</t>
  </si>
  <si>
    <t>H246</t>
  </si>
  <si>
    <t>=SUM(E246-F246-G246)</t>
  </si>
  <si>
    <t>L246</t>
  </si>
  <si>
    <t>=SUM(J246+K246)/H246*100</t>
  </si>
  <si>
    <t>N246</t>
  </si>
  <si>
    <t>=SUM(L246-M246)</t>
  </si>
  <si>
    <t>O246</t>
  </si>
  <si>
    <t>=SUM(I246/H246)*1000</t>
  </si>
  <si>
    <t>C247</t>
  </si>
  <si>
    <t>36.0 - day 1</t>
  </si>
  <si>
    <t>E247</t>
  </si>
  <si>
    <t>=H246</t>
  </si>
  <si>
    <t>H247</t>
  </si>
  <si>
    <t>=SUM(E247-F247-G247)</t>
  </si>
  <si>
    <t>L247</t>
  </si>
  <si>
    <t>=SUM(J247+K247)/H247*100</t>
  </si>
  <si>
    <t>N247</t>
  </si>
  <si>
    <t>=SUM(L247-M247)</t>
  </si>
  <si>
    <t>O247</t>
  </si>
  <si>
    <t>=SUM(I247/H247)*1000</t>
  </si>
  <si>
    <t>C248</t>
  </si>
  <si>
    <t>36.1 - day 2</t>
  </si>
  <si>
    <t>E248</t>
  </si>
  <si>
    <t>=H247</t>
  </si>
  <si>
    <t>H248</t>
  </si>
  <si>
    <t>=SUM(E248-F248-G248)</t>
  </si>
  <si>
    <t>L248</t>
  </si>
  <si>
    <t>=SUM(J248+K248)/H248*100</t>
  </si>
  <si>
    <t>N248</t>
  </si>
  <si>
    <t>=SUM(L248-M248)</t>
  </si>
  <si>
    <t>O248</t>
  </si>
  <si>
    <t>=SUM(I248/H248)*1000</t>
  </si>
  <si>
    <t>C249</t>
  </si>
  <si>
    <t>36.2 - day 3</t>
  </si>
  <si>
    <t>E249</t>
  </si>
  <si>
    <t>=H248</t>
  </si>
  <si>
    <t>H249</t>
  </si>
  <si>
    <t>=SUM(E249-F249-G249)</t>
  </si>
  <si>
    <t>L249</t>
  </si>
  <si>
    <t>=SUM(J249+K249)/H249*100</t>
  </si>
  <si>
    <t>N249</t>
  </si>
  <si>
    <t>=SUM(L249-M249)</t>
  </si>
  <si>
    <t>O249</t>
  </si>
  <si>
    <t>=SUM(I249/H249)*1000</t>
  </si>
  <si>
    <t>C250</t>
  </si>
  <si>
    <t>36.3 - day 4</t>
  </si>
  <si>
    <t>E250</t>
  </si>
  <si>
    <t>=H249</t>
  </si>
  <si>
    <t>H250</t>
  </si>
  <si>
    <t>=SUM(E250-F250-G250)</t>
  </si>
  <si>
    <t>L250</t>
  </si>
  <si>
    <t>=SUM(J250+K250)/H250*100</t>
  </si>
  <si>
    <t>N250</t>
  </si>
  <si>
    <t>=SUM(L250-M250)</t>
  </si>
  <si>
    <t>O250</t>
  </si>
  <si>
    <t>=SUM(I250/H250)*1000</t>
  </si>
  <si>
    <t>C251</t>
  </si>
  <si>
    <t>36.4 - day 5</t>
  </si>
  <si>
    <t>E251</t>
  </si>
  <si>
    <t>=H250</t>
  </si>
  <si>
    <t>H251</t>
  </si>
  <si>
    <t>=SUM(E251-F251-G251)</t>
  </si>
  <si>
    <t>L251</t>
  </si>
  <si>
    <t>=SUM(J251+K251)/H251*100</t>
  </si>
  <si>
    <t>N251</t>
  </si>
  <si>
    <t>=SUM(L251-M251)</t>
  </si>
  <si>
    <t>O251</t>
  </si>
  <si>
    <t>=SUM(I251/H251)*1000</t>
  </si>
  <si>
    <t>C252</t>
  </si>
  <si>
    <t>36.5 - day 6</t>
  </si>
  <si>
    <t>E252</t>
  </si>
  <si>
    <t>=H251</t>
  </si>
  <si>
    <t>H252</t>
  </si>
  <si>
    <t>=SUM(E252-F252-G252)</t>
  </si>
  <si>
    <t>L252</t>
  </si>
  <si>
    <t>=SUM(J252+K252)/H252*100</t>
  </si>
  <si>
    <t>N252</t>
  </si>
  <si>
    <t>=SUM(L252-M252)</t>
  </si>
  <si>
    <t>O252</t>
  </si>
  <si>
    <t>=SUM(I252/H252)*1000</t>
  </si>
  <si>
    <t>C253</t>
  </si>
  <si>
    <t>36.6 - day 7</t>
  </si>
  <si>
    <t>E253</t>
  </si>
  <si>
    <t>=H252</t>
  </si>
  <si>
    <t>H253</t>
  </si>
  <si>
    <t>=SUM(E253-F253-G253)</t>
  </si>
  <si>
    <t>L253</t>
  </si>
  <si>
    <t>=SUM(J253+K253)/H253*100</t>
  </si>
  <si>
    <t>N253</t>
  </si>
  <si>
    <t>=SUM(L253-M253)</t>
  </si>
  <si>
    <t>O253</t>
  </si>
  <si>
    <t>=SUM(I253/H253)*1000</t>
  </si>
  <si>
    <t>C254</t>
  </si>
  <si>
    <t>37.0 - day 1</t>
  </si>
  <si>
    <t>E254</t>
  </si>
  <si>
    <t>=H253</t>
  </si>
  <si>
    <t>H254</t>
  </si>
  <si>
    <t>=SUM(E254-F254-G254)</t>
  </si>
  <si>
    <t>L254</t>
  </si>
  <si>
    <t>=SUM(J254+K254)/H254*100</t>
  </si>
  <si>
    <t>N254</t>
  </si>
  <si>
    <t>=SUM(L254-M254)</t>
  </si>
  <si>
    <t>O254</t>
  </si>
  <si>
    <t>=SUM(I254/H254)*1000</t>
  </si>
  <si>
    <t>C255</t>
  </si>
  <si>
    <t>37.1 - day 2</t>
  </si>
  <si>
    <t>E255</t>
  </si>
  <si>
    <t>=H254</t>
  </si>
  <si>
    <t>H255</t>
  </si>
  <si>
    <t>=SUM(E255-F255-G255)</t>
  </si>
  <si>
    <t>L255</t>
  </si>
  <si>
    <t>=SUM(J255+K255)/H255*100</t>
  </si>
  <si>
    <t>N255</t>
  </si>
  <si>
    <t>=SUM(L255-M255)</t>
  </si>
  <si>
    <t>O255</t>
  </si>
  <si>
    <t>=SUM(I255/H255)*1000</t>
  </si>
  <si>
    <t>C256</t>
  </si>
  <si>
    <t>37.2 - day 3</t>
  </si>
  <si>
    <t>E256</t>
  </si>
  <si>
    <t>=H255</t>
  </si>
  <si>
    <t>H256</t>
  </si>
  <si>
    <t>=SUM(E256-F256-G256)</t>
  </si>
  <si>
    <t>L256</t>
  </si>
  <si>
    <t>=SUM(J256+K256)/H256*100</t>
  </si>
  <si>
    <t>N256</t>
  </si>
  <si>
    <t>=SUM(L256-M256)</t>
  </si>
  <si>
    <t>O256</t>
  </si>
  <si>
    <t>=SUM(I256/H256)*1000</t>
  </si>
  <si>
    <t>C257</t>
  </si>
  <si>
    <t>37.3 - day 4</t>
  </si>
  <si>
    <t>E257</t>
  </si>
  <si>
    <t>=H256</t>
  </si>
  <si>
    <t>H257</t>
  </si>
  <si>
    <t>=SUM(E257-F257-G257)</t>
  </si>
  <si>
    <t>L257</t>
  </si>
  <si>
    <t>=SUM(J257+K257)/H257*100</t>
  </si>
  <si>
    <t>N257</t>
  </si>
  <si>
    <t>=SUM(L257-M257)</t>
  </si>
  <si>
    <t>O257</t>
  </si>
  <si>
    <t>=SUM(I257/H257)*1000</t>
  </si>
  <si>
    <t>C258</t>
  </si>
  <si>
    <t>37.4 - day 5</t>
  </si>
  <si>
    <t>E258</t>
  </si>
  <si>
    <t>=H257</t>
  </si>
  <si>
    <t>H258</t>
  </si>
  <si>
    <t>=SUM(E258-F258-G258)</t>
  </si>
  <si>
    <t>L258</t>
  </si>
  <si>
    <t>=SUM(J258+K258)/H258*100</t>
  </si>
  <si>
    <t>N258</t>
  </si>
  <si>
    <t>=SUM(L258-M258)</t>
  </si>
  <si>
    <t>O258</t>
  </si>
  <si>
    <t>=SUM(I258/H258)*1000</t>
  </si>
  <si>
    <t>C259</t>
  </si>
  <si>
    <t>37.5 - day 6</t>
  </si>
  <si>
    <t>E259</t>
  </si>
  <si>
    <t>=H258</t>
  </si>
  <si>
    <t>H259</t>
  </si>
  <si>
    <t>=SUM(E259-F259-G259)</t>
  </si>
  <si>
    <t>L259</t>
  </si>
  <si>
    <t>=SUM(J259+K259)/H259*100</t>
  </si>
  <si>
    <t>N259</t>
  </si>
  <si>
    <t>=SUM(L259-M259)</t>
  </si>
  <si>
    <t>O259</t>
  </si>
  <si>
    <t>=SUM(I259/H259)*1000</t>
  </si>
  <si>
    <t>C260</t>
  </si>
  <si>
    <t>37.6 - day 7</t>
  </si>
  <si>
    <t>E260</t>
  </si>
  <si>
    <t>=H259</t>
  </si>
  <si>
    <t>H260</t>
  </si>
  <si>
    <t>=SUM(E260-F260-G260)</t>
  </si>
  <si>
    <t>L260</t>
  </si>
  <si>
    <t>=SUM(J260+K260)/H260*100</t>
  </si>
  <si>
    <t>N260</t>
  </si>
  <si>
    <t>=SUM(L260-M260)</t>
  </si>
  <si>
    <t>O260</t>
  </si>
  <si>
    <t>=SUM(I260/H260)*1000</t>
  </si>
  <si>
    <t>C261</t>
  </si>
  <si>
    <t>38.0 - day 1</t>
  </si>
  <si>
    <t>E261</t>
  </si>
  <si>
    <t>=H260</t>
  </si>
  <si>
    <t>H261</t>
  </si>
  <si>
    <t>=SUM(E261-F261-G261)</t>
  </si>
  <si>
    <t>L261</t>
  </si>
  <si>
    <t>=SUM(J261+K261)/H261*100</t>
  </si>
  <si>
    <t>N261</t>
  </si>
  <si>
    <t>=SUM(L261-M261)</t>
  </si>
  <si>
    <t>O261</t>
  </si>
  <si>
    <t>=SUM(I261/H261)*1000</t>
  </si>
  <si>
    <t>C262</t>
  </si>
  <si>
    <t>38.1 - day 2</t>
  </si>
  <si>
    <t>E262</t>
  </si>
  <si>
    <t>=H261</t>
  </si>
  <si>
    <t>H262</t>
  </si>
  <si>
    <t>=SUM(E262-F262-G262)</t>
  </si>
  <si>
    <t>L262</t>
  </si>
  <si>
    <t>=SUM(J262+K262)/H262*100</t>
  </si>
  <si>
    <t>N262</t>
  </si>
  <si>
    <t>=SUM(L262-M262)</t>
  </si>
  <si>
    <t>O262</t>
  </si>
  <si>
    <t>=SUM(I262/H262)*1000</t>
  </si>
  <si>
    <t>C263</t>
  </si>
  <si>
    <t>38.2 - day 3</t>
  </si>
  <si>
    <t>E263</t>
  </si>
  <si>
    <t>=H262</t>
  </si>
  <si>
    <t>H263</t>
  </si>
  <si>
    <t>=SUM(E263-F263-G263)</t>
  </si>
  <si>
    <t>L263</t>
  </si>
  <si>
    <t>=SUM(J263+K263)/H263*100</t>
  </si>
  <si>
    <t>N263</t>
  </si>
  <si>
    <t>=SUM(L263-M263)</t>
  </si>
  <si>
    <t>O263</t>
  </si>
  <si>
    <t>=SUM(I263/H263)*1000</t>
  </si>
  <si>
    <t>C264</t>
  </si>
  <si>
    <t>38.3 - day 4</t>
  </si>
  <si>
    <t>E264</t>
  </si>
  <si>
    <t>=H263</t>
  </si>
  <si>
    <t>H264</t>
  </si>
  <si>
    <t>=SUM(E264-F264-G264)</t>
  </si>
  <si>
    <t>L264</t>
  </si>
  <si>
    <t>=SUM(J264+K264)/H264*100</t>
  </si>
  <si>
    <t>N264</t>
  </si>
  <si>
    <t>=SUM(L264-M264)</t>
  </si>
  <si>
    <t>O264</t>
  </si>
  <si>
    <t>=SUM(I264/H264)*1000</t>
  </si>
  <si>
    <t>C265</t>
  </si>
  <si>
    <t>38.4 - day 5</t>
  </si>
  <si>
    <t>E265</t>
  </si>
  <si>
    <t>=H264</t>
  </si>
  <si>
    <t>H265</t>
  </si>
  <si>
    <t>=SUM(E265-F265-G265)</t>
  </si>
  <si>
    <t>L265</t>
  </si>
  <si>
    <t>=SUM(J265+K265)/H265*100</t>
  </si>
  <si>
    <t>N265</t>
  </si>
  <si>
    <t>=SUM(L265-M265)</t>
  </si>
  <si>
    <t>O265</t>
  </si>
  <si>
    <t>=SUM(I265/H265)*1000</t>
  </si>
  <si>
    <t>C266</t>
  </si>
  <si>
    <t>38.5 - day 6</t>
  </si>
  <si>
    <t>E266</t>
  </si>
  <si>
    <t>=H265</t>
  </si>
  <si>
    <t>H266</t>
  </si>
  <si>
    <t>=SUM(E266-F266-G266)</t>
  </si>
  <si>
    <t>L266</t>
  </si>
  <si>
    <t>=SUM(J266+K266)/H266*100</t>
  </si>
  <si>
    <t>N266</t>
  </si>
  <si>
    <t>=SUM(L266-M266)</t>
  </si>
  <si>
    <t>O266</t>
  </si>
  <si>
    <t>=SUM(I266/H266)*1000</t>
  </si>
  <si>
    <t>C267</t>
  </si>
  <si>
    <t>38.6 - day 7</t>
  </si>
  <si>
    <t>E267</t>
  </si>
  <si>
    <t>=H266</t>
  </si>
  <si>
    <t>H267</t>
  </si>
  <si>
    <t>=SUM(E267-F267-G267)</t>
  </si>
  <si>
    <t>L267</t>
  </si>
  <si>
    <t>=SUM(J267+K267)/H267*100</t>
  </si>
  <si>
    <t>N267</t>
  </si>
  <si>
    <t>=SUM(L267-M267)</t>
  </si>
  <si>
    <t>O267</t>
  </si>
  <si>
    <t>=SUM(I267/H267)*1000</t>
  </si>
  <si>
    <t>C268</t>
  </si>
  <si>
    <t>39.0 - day 1</t>
  </si>
  <si>
    <t>E268</t>
  </si>
  <si>
    <t>=H267</t>
  </si>
  <si>
    <t>H268</t>
  </si>
  <si>
    <t>=SUM(E268-F268-G268)</t>
  </si>
  <si>
    <t>L268</t>
  </si>
  <si>
    <t>=SUM(J268+K268)/H268*100</t>
  </si>
  <si>
    <t>N268</t>
  </si>
  <si>
    <t>=SUM(L268-M268)</t>
  </si>
  <si>
    <t>O268</t>
  </si>
  <si>
    <t>=SUM(I268/H268)*1000</t>
  </si>
  <si>
    <t>C269</t>
  </si>
  <si>
    <t>39.1 - day 2</t>
  </si>
  <si>
    <t>E269</t>
  </si>
  <si>
    <t>=H268</t>
  </si>
  <si>
    <t>H269</t>
  </si>
  <si>
    <t>=SUM(E269-F269-G269)</t>
  </si>
  <si>
    <t>L269</t>
  </si>
  <si>
    <t>=SUM(J269+K269)/H269*100</t>
  </si>
  <si>
    <t>N269</t>
  </si>
  <si>
    <t>=SUM(L269-M269)</t>
  </si>
  <si>
    <t>O269</t>
  </si>
  <si>
    <t>=SUM(I269/H269)*1000</t>
  </si>
  <si>
    <t>C270</t>
  </si>
  <si>
    <t>39.2 - day 3</t>
  </si>
  <si>
    <t>E270</t>
  </si>
  <si>
    <t>=H269</t>
  </si>
  <si>
    <t>H270</t>
  </si>
  <si>
    <t>=SUM(E270-F270-G270)</t>
  </si>
  <si>
    <t>L270</t>
  </si>
  <si>
    <t>=SUM(J270+K270)/H270*100</t>
  </si>
  <si>
    <t>N270</t>
  </si>
  <si>
    <t>=SUM(L270-M270)</t>
  </si>
  <si>
    <t>O270</t>
  </si>
  <si>
    <t>=SUM(I270/H270)*1000</t>
  </si>
  <si>
    <t>C271</t>
  </si>
  <si>
    <t>39.3 - day 4</t>
  </si>
  <si>
    <t>E271</t>
  </si>
  <si>
    <t>=H270</t>
  </si>
  <si>
    <t>H271</t>
  </si>
  <si>
    <t>=SUM(E271-F271-G271)</t>
  </si>
  <si>
    <t>L271</t>
  </si>
  <si>
    <t>=SUM(J271+K271)/H271*100</t>
  </si>
  <si>
    <t>N271</t>
  </si>
  <si>
    <t>=SUM(L271-M271)</t>
  </si>
  <si>
    <t>O271</t>
  </si>
  <si>
    <t>=SUM(I271/H271)*1000</t>
  </si>
  <si>
    <t>C272</t>
  </si>
  <si>
    <t>39.4 - day 5</t>
  </si>
  <si>
    <t>E272</t>
  </si>
  <si>
    <t>=H271</t>
  </si>
  <si>
    <t>H272</t>
  </si>
  <si>
    <t>=SUM(E272-F272-G272)</t>
  </si>
  <si>
    <t>L272</t>
  </si>
  <si>
    <t>=SUM(J272+K272)/H272*100</t>
  </si>
  <si>
    <t>N272</t>
  </si>
  <si>
    <t>=SUM(L272-M272)</t>
  </si>
  <si>
    <t>O272</t>
  </si>
  <si>
    <t>=SUM(I272/H272)*1000</t>
  </si>
  <si>
    <t>C273</t>
  </si>
  <si>
    <t>39.5 - day 6</t>
  </si>
  <si>
    <t>E273</t>
  </si>
  <si>
    <t>=H272</t>
  </si>
  <si>
    <t>H273</t>
  </si>
  <si>
    <t>=SUM(E273-F273-G273)</t>
  </si>
  <si>
    <t>L273</t>
  </si>
  <si>
    <t>=SUM(J273+K273)/H273*100</t>
  </si>
  <si>
    <t>N273</t>
  </si>
  <si>
    <t>=SUM(L273-M273)</t>
  </si>
  <si>
    <t>O273</t>
  </si>
  <si>
    <t>=SUM(I273/H273)*1000</t>
  </si>
  <si>
    <t>C274</t>
  </si>
  <si>
    <t>39.6 - day 7</t>
  </si>
  <si>
    <t>E274</t>
  </si>
  <si>
    <t>=H273</t>
  </si>
  <si>
    <t>H274</t>
  </si>
  <si>
    <t>=SUM(E274-F274-G274)</t>
  </si>
  <si>
    <t>L274</t>
  </si>
  <si>
    <t>=SUM(J274+K274)/H274*100</t>
  </si>
  <si>
    <t>N274</t>
  </si>
  <si>
    <t>=SUM(L274-M274)</t>
  </si>
  <si>
    <t>O274</t>
  </si>
  <si>
    <t>=SUM(I274/H274)*1000</t>
  </si>
  <si>
    <t>C275</t>
  </si>
  <si>
    <t>40.0 - day 1</t>
  </si>
  <si>
    <t>E275</t>
  </si>
  <si>
    <t>=H274</t>
  </si>
  <si>
    <t>H275</t>
  </si>
  <si>
    <t>=SUM(E275-F275-G275)</t>
  </si>
  <si>
    <t>L275</t>
  </si>
  <si>
    <t>=SUM(J275+K275)/H275*100</t>
  </si>
  <si>
    <t>N275</t>
  </si>
  <si>
    <t>=SUM(L275-M275)</t>
  </si>
  <si>
    <t>O275</t>
  </si>
  <si>
    <t>=SUM(I275/H275)*1000</t>
  </si>
  <si>
    <t>C276</t>
  </si>
  <si>
    <t>40.1 - day 2</t>
  </si>
  <si>
    <t>E276</t>
  </si>
  <si>
    <t>=H275</t>
  </si>
  <si>
    <t>H276</t>
  </si>
  <si>
    <t>=SUM(E276-F276-G276)</t>
  </si>
  <si>
    <t>L276</t>
  </si>
  <si>
    <t>=SUM(J276+K276)/H276*100</t>
  </si>
  <si>
    <t>N276</t>
  </si>
  <si>
    <t>=SUM(L276-M276)</t>
  </si>
  <si>
    <t>O276</t>
  </si>
  <si>
    <t>=SUM(I276/H276)*1000</t>
  </si>
  <si>
    <t>C277</t>
  </si>
  <si>
    <t>40.2 - day 3</t>
  </si>
  <si>
    <t>E277</t>
  </si>
  <si>
    <t>=H276</t>
  </si>
  <si>
    <t>H277</t>
  </si>
  <si>
    <t>=SUM(E277-F277-G277)</t>
  </si>
  <si>
    <t>L277</t>
  </si>
  <si>
    <t>=SUM(J277+K277)/H277*100</t>
  </si>
  <si>
    <t>N277</t>
  </si>
  <si>
    <t>=SUM(L277-M277)</t>
  </si>
  <si>
    <t>O277</t>
  </si>
  <si>
    <t>=SUM(I277/H277)*1000</t>
  </si>
  <si>
    <t>C278</t>
  </si>
  <si>
    <t>40.3 - day 4</t>
  </si>
  <si>
    <t>E278</t>
  </si>
  <si>
    <t>=H277</t>
  </si>
  <si>
    <t>H278</t>
  </si>
  <si>
    <t>=SUM(E278-F278-G278)</t>
  </si>
  <si>
    <t>L278</t>
  </si>
  <si>
    <t>=SUM(J278+K278)/H278*100</t>
  </si>
  <si>
    <t>N278</t>
  </si>
  <si>
    <t>=SUM(L278-M278)</t>
  </si>
  <si>
    <t>O278</t>
  </si>
  <si>
    <t>=SUM(I278/H278)*1000</t>
  </si>
  <si>
    <t>C279</t>
  </si>
  <si>
    <t>40.4 - day 5</t>
  </si>
  <si>
    <t>E279</t>
  </si>
  <si>
    <t>=H278</t>
  </si>
  <si>
    <t>H279</t>
  </si>
  <si>
    <t>=SUM(E279-F279-G279)</t>
  </si>
  <si>
    <t>L279</t>
  </si>
  <si>
    <t>=SUM(J279+K279)/H279*100</t>
  </si>
  <si>
    <t>N279</t>
  </si>
  <si>
    <t>=SUM(L279-M279)</t>
  </si>
  <si>
    <t>O279</t>
  </si>
  <si>
    <t>=SUM(I279/H279)*1000</t>
  </si>
  <si>
    <t>C280</t>
  </si>
  <si>
    <t>40.5 - day 6</t>
  </si>
  <si>
    <t>E280</t>
  </si>
  <si>
    <t>=H279</t>
  </si>
  <si>
    <t>H280</t>
  </si>
  <si>
    <t>=SUM(E280-F280-G280)</t>
  </si>
  <si>
    <t>L280</t>
  </si>
  <si>
    <t>=SUM(J280+K280)/H280*100</t>
  </si>
  <si>
    <t>N280</t>
  </si>
  <si>
    <t>=SUM(L280-M280)</t>
  </si>
  <si>
    <t>O280</t>
  </si>
  <si>
    <t>=SUM(I280/H280)*1000</t>
  </si>
  <si>
    <t>C281</t>
  </si>
  <si>
    <t>40.6 - day 7</t>
  </si>
  <si>
    <t>E281</t>
  </si>
  <si>
    <t>=H280</t>
  </si>
  <si>
    <t>H281</t>
  </si>
  <si>
    <t>=SUM(E281-F281-G281)</t>
  </si>
  <si>
    <t>L281</t>
  </si>
  <si>
    <t>=SUM(J281+K281)/H281*100</t>
  </si>
  <si>
    <t>N281</t>
  </si>
  <si>
    <t>=SUM(L281-M281)</t>
  </si>
  <si>
    <t>O281</t>
  </si>
  <si>
    <t>=SUM(I281/H281)*1000</t>
  </si>
  <si>
    <t>C282</t>
  </si>
  <si>
    <t>41.0 - day 1</t>
  </si>
  <si>
    <t>E282</t>
  </si>
  <si>
    <t>=H281</t>
  </si>
  <si>
    <t>H282</t>
  </si>
  <si>
    <t>=SUM(E282-F282-G282)</t>
  </si>
  <si>
    <t>L282</t>
  </si>
  <si>
    <t>=SUM(J282+K282)/H282*100</t>
  </si>
  <si>
    <t>N282</t>
  </si>
  <si>
    <t>=SUM(L282-M282)</t>
  </si>
  <si>
    <t>O282</t>
  </si>
  <si>
    <t>=SUM(I282/H282)*1000</t>
  </si>
  <si>
    <t>C283</t>
  </si>
  <si>
    <t>41.1 - day 2</t>
  </si>
  <si>
    <t>E283</t>
  </si>
  <si>
    <t>=H282</t>
  </si>
  <si>
    <t>H283</t>
  </si>
  <si>
    <t>=SUM(E283-F283-G283)</t>
  </si>
  <si>
    <t>L283</t>
  </si>
  <si>
    <t>=SUM(J283+K283)/H283*100</t>
  </si>
  <si>
    <t>N283</t>
  </si>
  <si>
    <t>=SUM(L283-M283)</t>
  </si>
  <si>
    <t>O283</t>
  </si>
  <si>
    <t>=SUM(I283/H283)*1000</t>
  </si>
  <si>
    <t>C284</t>
  </si>
  <si>
    <t>41.2 - day 3</t>
  </si>
  <si>
    <t>E284</t>
  </si>
  <si>
    <t>=H283</t>
  </si>
  <si>
    <t>H284</t>
  </si>
  <si>
    <t>=SUM(E284-F284-G284)</t>
  </si>
  <si>
    <t>L284</t>
  </si>
  <si>
    <t>=SUM(J284+K284)/H284*100</t>
  </si>
  <si>
    <t>N284</t>
  </si>
  <si>
    <t>=SUM(L284-M284)</t>
  </si>
  <si>
    <t>O284</t>
  </si>
  <si>
    <t>=SUM(I284/H284)*1000</t>
  </si>
  <si>
    <t>C285</t>
  </si>
  <si>
    <t>41.3 - day 4</t>
  </si>
  <si>
    <t>E285</t>
  </si>
  <si>
    <t>=H284</t>
  </si>
  <si>
    <t>H285</t>
  </si>
  <si>
    <t>=SUM(E285-F285-G285)</t>
  </si>
  <si>
    <t>L285</t>
  </si>
  <si>
    <t>=SUM(J285+K285)/H285*100</t>
  </si>
  <si>
    <t>N285</t>
  </si>
  <si>
    <t>=SUM(L285-M285)</t>
  </si>
  <si>
    <t>O285</t>
  </si>
  <si>
    <t>=SUM(I285/H285)*1000</t>
  </si>
  <si>
    <t>C286</t>
  </si>
  <si>
    <t>41.4 - day 5</t>
  </si>
  <si>
    <t>E286</t>
  </si>
  <si>
    <t>=H285</t>
  </si>
  <si>
    <t>H286</t>
  </si>
  <si>
    <t>=SUM(E286-F286-G286)</t>
  </si>
  <si>
    <t>L286</t>
  </si>
  <si>
    <t>=SUM(J286+K286)/H286*100</t>
  </si>
  <si>
    <t>N286</t>
  </si>
  <si>
    <t>=SUM(L286-M286)</t>
  </si>
  <si>
    <t>O286</t>
  </si>
  <si>
    <t>=SUM(I286/H286)*1000</t>
  </si>
  <si>
    <t>C287</t>
  </si>
  <si>
    <t>41.5 - day 6</t>
  </si>
  <si>
    <t>E287</t>
  </si>
  <si>
    <t>=H286</t>
  </si>
  <si>
    <t>H287</t>
  </si>
  <si>
    <t>=SUM(E287-F287-G287)</t>
  </si>
  <si>
    <t>L287</t>
  </si>
  <si>
    <t>=SUM(J287+K287)/H287*100</t>
  </si>
  <si>
    <t>N287</t>
  </si>
  <si>
    <t>=SUM(L287-M287)</t>
  </si>
  <si>
    <t>O287</t>
  </si>
  <si>
    <t>=SUM(I287/H287)*1000</t>
  </si>
  <si>
    <t>C288</t>
  </si>
  <si>
    <t>41.6 - day 7</t>
  </si>
  <si>
    <t>E288</t>
  </si>
  <si>
    <t>=H287</t>
  </si>
  <si>
    <t>H288</t>
  </si>
  <si>
    <t>=SUM(E288-F288-G288)</t>
  </si>
  <si>
    <t>L288</t>
  </si>
  <si>
    <t>=SUM(J288+K288)/H288*100</t>
  </si>
  <si>
    <t>N288</t>
  </si>
  <si>
    <t>=SUM(L288-M288)</t>
  </si>
  <si>
    <t>O288</t>
  </si>
  <si>
    <t>=SUM(I288/H288)*1000</t>
  </si>
  <si>
    <t>C289</t>
  </si>
  <si>
    <t>42.0 - day 1</t>
  </si>
  <si>
    <t>E289</t>
  </si>
  <si>
    <t>=H288</t>
  </si>
  <si>
    <t>H289</t>
  </si>
  <si>
    <t>=SUM(E289-F289-G289)</t>
  </si>
  <si>
    <t>L289</t>
  </si>
  <si>
    <t>=SUM(J289+K289)/H289*100</t>
  </si>
  <si>
    <t>N289</t>
  </si>
  <si>
    <t>=SUM(L289-M289)</t>
  </si>
  <si>
    <t>O289</t>
  </si>
  <si>
    <t>=SUM(I289/H289)*1000</t>
  </si>
  <si>
    <t>C290</t>
  </si>
  <si>
    <t>42.1 - day 2</t>
  </si>
  <si>
    <t>E290</t>
  </si>
  <si>
    <t>=H289</t>
  </si>
  <si>
    <t>H290</t>
  </si>
  <si>
    <t>=SUM(E290-F290-G290)</t>
  </si>
  <si>
    <t>L290</t>
  </si>
  <si>
    <t>=SUM(J290+K290)/H290*100</t>
  </si>
  <si>
    <t>N290</t>
  </si>
  <si>
    <t>=SUM(L290-M290)</t>
  </si>
  <si>
    <t>O290</t>
  </si>
  <si>
    <t>=SUM(I290/H290)*1000</t>
  </si>
  <si>
    <t>C291</t>
  </si>
  <si>
    <t>42.2 - day 3</t>
  </si>
  <si>
    <t>E291</t>
  </si>
  <si>
    <t>=H290</t>
  </si>
  <si>
    <t>H291</t>
  </si>
  <si>
    <t>=SUM(E291-F291-G291)</t>
  </si>
  <si>
    <t>L291</t>
  </si>
  <si>
    <t>=SUM(J291+K291)/H291*100</t>
  </si>
  <si>
    <t>N291</t>
  </si>
  <si>
    <t>=SUM(L291-M291)</t>
  </si>
  <si>
    <t>O291</t>
  </si>
  <si>
    <t>=SUM(I291/H291)*1000</t>
  </si>
  <si>
    <t>C292</t>
  </si>
  <si>
    <t>42.3 - day 4</t>
  </si>
  <si>
    <t>E292</t>
  </si>
  <si>
    <t>=H291</t>
  </si>
  <si>
    <t>H292</t>
  </si>
  <si>
    <t>=SUM(E292-F292-G292)</t>
  </si>
  <si>
    <t>L292</t>
  </si>
  <si>
    <t>=SUM(J292+K292)/H292*100</t>
  </si>
  <si>
    <t>N292</t>
  </si>
  <si>
    <t>=SUM(L292-M292)</t>
  </si>
  <si>
    <t>O292</t>
  </si>
  <si>
    <t>=SUM(I292/H292)*1000</t>
  </si>
  <si>
    <t>C293</t>
  </si>
  <si>
    <t>42.4 - day 5</t>
  </si>
  <si>
    <t>E293</t>
  </si>
  <si>
    <t>=H292</t>
  </si>
  <si>
    <t>H293</t>
  </si>
  <si>
    <t>=SUM(E293-F293-G293)</t>
  </si>
  <si>
    <t>L293</t>
  </si>
  <si>
    <t>=SUM(J293+K293)/H293*100</t>
  </si>
  <si>
    <t>N293</t>
  </si>
  <si>
    <t>=SUM(L293-M293)</t>
  </si>
  <si>
    <t>O293</t>
  </si>
  <si>
    <t>=SUM(I293/H293)*1000</t>
  </si>
  <si>
    <t>C294</t>
  </si>
  <si>
    <t>42.5 - day 6</t>
  </si>
  <si>
    <t>E294</t>
  </si>
  <si>
    <t>=H293</t>
  </si>
  <si>
    <t>H294</t>
  </si>
  <si>
    <t>=SUM(E294-F294-G294)</t>
  </si>
  <si>
    <t>L294</t>
  </si>
  <si>
    <t>=SUM(J294+K294)/H294*100</t>
  </si>
  <si>
    <t>N294</t>
  </si>
  <si>
    <t>=SUM(L294-M294)</t>
  </si>
  <si>
    <t>O294</t>
  </si>
  <si>
    <t>=SUM(I294/H294)*1000</t>
  </si>
  <si>
    <t>C295</t>
  </si>
  <si>
    <t>42.6 - day 7</t>
  </si>
  <si>
    <t>E295</t>
  </si>
  <si>
    <t>=H294</t>
  </si>
  <si>
    <t>H295</t>
  </si>
  <si>
    <t>=SUM(E295-F295-G295)</t>
  </si>
  <si>
    <t>L295</t>
  </si>
  <si>
    <t>=SUM(J295+K295)/H295*100</t>
  </si>
  <si>
    <t>N295</t>
  </si>
  <si>
    <t>=SUM(L295-M295)</t>
  </si>
  <si>
    <t>O295</t>
  </si>
  <si>
    <t>=SUM(I295/H295)*1000</t>
  </si>
  <si>
    <t>C296</t>
  </si>
  <si>
    <t>43.0 - day 1</t>
  </si>
  <si>
    <t>E296</t>
  </si>
  <si>
    <t>=H295</t>
  </si>
  <si>
    <t>H296</t>
  </si>
  <si>
    <t>=SUM(E296-F296-G296)</t>
  </si>
  <si>
    <t>L296</t>
  </si>
  <si>
    <t>=SUM(J296+K296)/H296*100</t>
  </si>
  <si>
    <t>N296</t>
  </si>
  <si>
    <t>=SUM(L296-M296)</t>
  </si>
  <si>
    <t>O296</t>
  </si>
  <si>
    <t>=SUM(I296/H296)*1000</t>
  </si>
  <si>
    <t>C297</t>
  </si>
  <si>
    <t>43.1 - day 2</t>
  </si>
  <si>
    <t>E297</t>
  </si>
  <si>
    <t>=H296</t>
  </si>
  <si>
    <t>H297</t>
  </si>
  <si>
    <t>=SUM(E297-F297-G297)</t>
  </si>
  <si>
    <t>L297</t>
  </si>
  <si>
    <t>=SUM(J297+K297)/H297*100</t>
  </si>
  <si>
    <t>N297</t>
  </si>
  <si>
    <t>=SUM(L297-M297)</t>
  </si>
  <si>
    <t>O297</t>
  </si>
  <si>
    <t>=SUM(I297/H297)*1000</t>
  </si>
  <si>
    <t>C298</t>
  </si>
  <si>
    <t>43.2 - day 3</t>
  </si>
  <si>
    <t>E298</t>
  </si>
  <si>
    <t>=H297</t>
  </si>
  <si>
    <t>H298</t>
  </si>
  <si>
    <t>=SUM(E298-F298-G298)</t>
  </si>
  <si>
    <t>L298</t>
  </si>
  <si>
    <t>=SUM(J298+K298)/H298*100</t>
  </si>
  <si>
    <t>N298</t>
  </si>
  <si>
    <t>=SUM(L298-M298)</t>
  </si>
  <si>
    <t>O298</t>
  </si>
  <si>
    <t>=SUM(I298/H298)*1000</t>
  </si>
  <si>
    <t>C299</t>
  </si>
  <si>
    <t>43.3 - day 4</t>
  </si>
  <si>
    <t>E299</t>
  </si>
  <si>
    <t>=H298</t>
  </si>
  <si>
    <t>H299</t>
  </si>
  <si>
    <t>=SUM(E299-F299-G299)</t>
  </si>
  <si>
    <t>L299</t>
  </si>
  <si>
    <t>=SUM(J299+K299)/H299*100</t>
  </si>
  <si>
    <t>N299</t>
  </si>
  <si>
    <t>=SUM(L299-M299)</t>
  </si>
  <si>
    <t>O299</t>
  </si>
  <si>
    <t>=SUM(I299/H299)*1000</t>
  </si>
  <si>
    <t>C300</t>
  </si>
  <si>
    <t>43.4 - day 5</t>
  </si>
  <si>
    <t>E300</t>
  </si>
  <si>
    <t>=H299</t>
  </si>
  <si>
    <t>H300</t>
  </si>
  <si>
    <t>=SUM(E300-F300-G300)</t>
  </si>
  <si>
    <t>L300</t>
  </si>
  <si>
    <t>=SUM(J300+K300)/H300*100</t>
  </si>
  <si>
    <t>N300</t>
  </si>
  <si>
    <t>=SUM(L300-M300)</t>
  </si>
  <si>
    <t>O300</t>
  </si>
  <si>
    <t>=SUM(I300/H300)*1000</t>
  </si>
  <si>
    <t>C301</t>
  </si>
  <si>
    <t>43.5 - day 6</t>
  </si>
  <si>
    <t>E301</t>
  </si>
  <si>
    <t>=H300</t>
  </si>
  <si>
    <t>H301</t>
  </si>
  <si>
    <t>=SUM(E301-F301-G301)</t>
  </si>
  <si>
    <t>L301</t>
  </si>
  <si>
    <t>=SUM(J301+K301)/H301*100</t>
  </si>
  <si>
    <t>N301</t>
  </si>
  <si>
    <t>=SUM(L301-M301)</t>
  </si>
  <si>
    <t>O301</t>
  </si>
  <si>
    <t>=SUM(I301/H301)*1000</t>
  </si>
  <si>
    <t>C302</t>
  </si>
  <si>
    <t>43.6 - day 7</t>
  </si>
  <si>
    <t>E302</t>
  </si>
  <si>
    <t>=H301</t>
  </si>
  <si>
    <t>H302</t>
  </si>
  <si>
    <t>=SUM(E302-F302-G302)</t>
  </si>
  <si>
    <t>L302</t>
  </si>
  <si>
    <t>=SUM(J302+K302)/H302*100</t>
  </si>
  <si>
    <t>N302</t>
  </si>
  <si>
    <t>=SUM(L302-M302)</t>
  </si>
  <si>
    <t>O302</t>
  </si>
  <si>
    <t>=SUM(I302/H302)*1000</t>
  </si>
  <si>
    <t>C303</t>
  </si>
  <si>
    <t>44.0 - day 1</t>
  </si>
  <si>
    <t>E303</t>
  </si>
  <si>
    <t>=H302</t>
  </si>
  <si>
    <t>H303</t>
  </si>
  <si>
    <t>=SUM(E303-F303-G303)</t>
  </si>
  <si>
    <t>L303</t>
  </si>
  <si>
    <t>=SUM(J303+K303)/H303*100</t>
  </si>
  <si>
    <t>N303</t>
  </si>
  <si>
    <t>=SUM(L303-M303)</t>
  </si>
  <si>
    <t>O303</t>
  </si>
  <si>
    <t>=SUM(I303/H303)*1000</t>
  </si>
  <si>
    <t>C304</t>
  </si>
  <si>
    <t>44.1 - day 2</t>
  </si>
  <si>
    <t>E304</t>
  </si>
  <si>
    <t>=H303</t>
  </si>
  <si>
    <t>H304</t>
  </si>
  <si>
    <t>=SUM(E304-F304-G304)</t>
  </si>
  <si>
    <t>L304</t>
  </si>
  <si>
    <t>=SUM(J304+K304)/H304*100</t>
  </si>
  <si>
    <t>N304</t>
  </si>
  <si>
    <t>=SUM(L304-M304)</t>
  </si>
  <si>
    <t>O304</t>
  </si>
  <si>
    <t>=SUM(I304/H304)*1000</t>
  </si>
  <si>
    <t>C305</t>
  </si>
  <si>
    <t>44.2 - day 3</t>
  </si>
  <si>
    <t>E305</t>
  </si>
  <si>
    <t>=H304</t>
  </si>
  <si>
    <t>H305</t>
  </si>
  <si>
    <t>=SUM(E305-F305-G305)</t>
  </si>
  <si>
    <t>L305</t>
  </si>
  <si>
    <t>=SUM(J305+K305)/H305*100</t>
  </si>
  <si>
    <t>N305</t>
  </si>
  <si>
    <t>=SUM(L305-M305)</t>
  </si>
  <si>
    <t>O305</t>
  </si>
  <si>
    <t>=SUM(I305/H305)*1000</t>
  </si>
  <si>
    <t>C306</t>
  </si>
  <si>
    <t>44.3 - day 4</t>
  </si>
  <si>
    <t>E306</t>
  </si>
  <si>
    <t>=H305</t>
  </si>
  <si>
    <t>H306</t>
  </si>
  <si>
    <t>=SUM(E306-F306-G306)</t>
  </si>
  <si>
    <t>L306</t>
  </si>
  <si>
    <t>=SUM(J306+K306)/H306*100</t>
  </si>
  <si>
    <t>N306</t>
  </si>
  <si>
    <t>=SUM(L306-M306)</t>
  </si>
  <si>
    <t>O306</t>
  </si>
  <si>
    <t>=SUM(I306/H306)*1000</t>
  </si>
  <si>
    <t>C307</t>
  </si>
  <si>
    <t>44.4 - day 5</t>
  </si>
  <si>
    <t>E307</t>
  </si>
  <si>
    <t>=H306</t>
  </si>
  <si>
    <t>H307</t>
  </si>
  <si>
    <t>=SUM(E307-F307-G307)</t>
  </si>
  <si>
    <t>L307</t>
  </si>
  <si>
    <t>=SUM(J307+K307)/H307*100</t>
  </si>
  <si>
    <t>N307</t>
  </si>
  <si>
    <t>=SUM(L307-M307)</t>
  </si>
  <si>
    <t>O307</t>
  </si>
  <si>
    <t>=SUM(I307/H307)*1000</t>
  </si>
  <si>
    <t>C308</t>
  </si>
  <si>
    <t>44.5 - day 6</t>
  </si>
  <si>
    <t>E308</t>
  </si>
  <si>
    <t>=H307</t>
  </si>
  <si>
    <t>H308</t>
  </si>
  <si>
    <t>=SUM(E308-F308-G308)</t>
  </si>
  <si>
    <t>L308</t>
  </si>
  <si>
    <t>=SUM(J308+K308)/H308*100</t>
  </si>
  <si>
    <t>N308</t>
  </si>
  <si>
    <t>=SUM(L308-M308)</t>
  </si>
  <si>
    <t>O308</t>
  </si>
  <si>
    <t>=SUM(I308/H308)*1000</t>
  </si>
  <si>
    <t>C309</t>
  </si>
  <si>
    <t>44.6 - day 7</t>
  </si>
  <si>
    <t>E309</t>
  </si>
  <si>
    <t>=H308</t>
  </si>
  <si>
    <t>H309</t>
  </si>
  <si>
    <t>=SUM(E309-F309-G309)</t>
  </si>
  <si>
    <t>L309</t>
  </si>
  <si>
    <t>=SUM(J309+K309)/H309*100</t>
  </si>
  <si>
    <t>N309</t>
  </si>
  <si>
    <t>=SUM(L309-M309)</t>
  </si>
  <si>
    <t>O309</t>
  </si>
  <si>
    <t>=SUM(I309/H309)*1000</t>
  </si>
  <si>
    <t>C310</t>
  </si>
  <si>
    <t>45.0 - day 1</t>
  </si>
  <si>
    <t>E310</t>
  </si>
  <si>
    <t>=H309</t>
  </si>
  <si>
    <t>H310</t>
  </si>
  <si>
    <t>=SUM(E310-F310-G310)</t>
  </si>
  <si>
    <t>L310</t>
  </si>
  <si>
    <t>=SUM(J310+K310)/H310*100</t>
  </si>
  <si>
    <t>N310</t>
  </si>
  <si>
    <t>=SUM(L310-M310)</t>
  </si>
  <si>
    <t>O310</t>
  </si>
  <si>
    <t>=SUM(I310/H310)*1000</t>
  </si>
  <si>
    <t>C311</t>
  </si>
  <si>
    <t>45.1 - day 2</t>
  </si>
  <si>
    <t>E311</t>
  </si>
  <si>
    <t>=H310</t>
  </si>
  <si>
    <t>H311</t>
  </si>
  <si>
    <t>=SUM(E311-F311-G311)</t>
  </si>
  <si>
    <t>L311</t>
  </si>
  <si>
    <t>=SUM(J311+K311)/H311*100</t>
  </si>
  <si>
    <t>N311</t>
  </si>
  <si>
    <t>=SUM(L311-M311)</t>
  </si>
  <si>
    <t>O311</t>
  </si>
  <si>
    <t>=SUM(I311/H311)*1000</t>
  </si>
  <si>
    <t>C312</t>
  </si>
  <si>
    <t>45.2 - day 3</t>
  </si>
  <si>
    <t>E312</t>
  </si>
  <si>
    <t>=H311</t>
  </si>
  <si>
    <t>H312</t>
  </si>
  <si>
    <t>=SUM(E312-F312-G312)</t>
  </si>
  <si>
    <t>L312</t>
  </si>
  <si>
    <t>=SUM(J312+K312)/H312*100</t>
  </si>
  <si>
    <t>N312</t>
  </si>
  <si>
    <t>=SUM(L312-M312)</t>
  </si>
  <si>
    <t>O312</t>
  </si>
  <si>
    <t>=SUM(I312/H312)*1000</t>
  </si>
  <si>
    <t>C313</t>
  </si>
  <si>
    <t>45.3 - day 4</t>
  </si>
  <si>
    <t>E313</t>
  </si>
  <si>
    <t>=H312</t>
  </si>
  <si>
    <t>H313</t>
  </si>
  <si>
    <t>=SUM(E313-F313-G313)</t>
  </si>
  <si>
    <t>L313</t>
  </si>
  <si>
    <t>=SUM(J313+K313)/H313*100</t>
  </si>
  <si>
    <t>N313</t>
  </si>
  <si>
    <t>=SUM(L313-M313)</t>
  </si>
  <si>
    <t>O313</t>
  </si>
  <si>
    <t>=SUM(I313/H313)*1000</t>
  </si>
  <si>
    <t>C314</t>
  </si>
  <si>
    <t>45.4 - day 5</t>
  </si>
  <si>
    <t>E314</t>
  </si>
  <si>
    <t>=H313</t>
  </si>
  <si>
    <t>H314</t>
  </si>
  <si>
    <t>=SUM(E314-F314-G314)</t>
  </si>
  <si>
    <t>L314</t>
  </si>
  <si>
    <t>=SUM(J314+K314)/H314*100</t>
  </si>
  <si>
    <t>N314</t>
  </si>
  <si>
    <t>=SUM(L314-M314)</t>
  </si>
  <si>
    <t>O314</t>
  </si>
  <si>
    <t>=SUM(I314/H314)*1000</t>
  </si>
  <si>
    <t>C315</t>
  </si>
  <si>
    <t>45.5 - day 6</t>
  </si>
  <si>
    <t>E315</t>
  </si>
  <si>
    <t>=H314</t>
  </si>
  <si>
    <t>H315</t>
  </si>
  <si>
    <t>=SUM(E315-F315-G315)</t>
  </si>
  <si>
    <t>L315</t>
  </si>
  <si>
    <t>=SUM(J315+K315)/H315*100</t>
  </si>
  <si>
    <t>N315</t>
  </si>
  <si>
    <t>=SUM(L315-M315)</t>
  </si>
  <si>
    <t>O315</t>
  </si>
  <si>
    <t>=SUM(I315/H315)*1000</t>
  </si>
  <si>
    <t>C316</t>
  </si>
  <si>
    <t>45.6 - day 7</t>
  </si>
  <si>
    <t>E316</t>
  </si>
  <si>
    <t>=H315</t>
  </si>
  <si>
    <t>H316</t>
  </si>
  <si>
    <t>=SUM(E316-F316-G316)</t>
  </si>
  <si>
    <t>L316</t>
  </si>
  <si>
    <t>=SUM(J316+K316)/H316*100</t>
  </si>
  <si>
    <t>N316</t>
  </si>
  <si>
    <t>=SUM(L316-M316)</t>
  </si>
  <si>
    <t>O316</t>
  </si>
  <si>
    <t>=SUM(I316/H316)*1000</t>
  </si>
  <si>
    <t>C317</t>
  </si>
  <si>
    <t>46.0 - day 1</t>
  </si>
  <si>
    <t>E317</t>
  </si>
  <si>
    <t>=H316</t>
  </si>
  <si>
    <t>H317</t>
  </si>
  <si>
    <t>=SUM(E317-F317-G317)</t>
  </si>
  <si>
    <t>L317</t>
  </si>
  <si>
    <t>=SUM(J317+K317)/H317*100</t>
  </si>
  <si>
    <t>N317</t>
  </si>
  <si>
    <t>=SUM(L317-M317)</t>
  </si>
  <si>
    <t>O317</t>
  </si>
  <si>
    <t>=SUM(I317/H317)*1000</t>
  </si>
  <si>
    <t>C318</t>
  </si>
  <si>
    <t>46.1 - day 2</t>
  </si>
  <si>
    <t>E318</t>
  </si>
  <si>
    <t>=H317</t>
  </si>
  <si>
    <t>H318</t>
  </si>
  <si>
    <t>=SUM(E318-F318-G318)</t>
  </si>
  <si>
    <t>L318</t>
  </si>
  <si>
    <t>=SUM(J318+K318)/H318*100</t>
  </si>
  <si>
    <t>N318</t>
  </si>
  <si>
    <t>=SUM(L318-M318)</t>
  </si>
  <si>
    <t>O318</t>
  </si>
  <si>
    <t>=SUM(I318/H318)*1000</t>
  </si>
  <si>
    <t>C319</t>
  </si>
  <si>
    <t>46.2 - day 3</t>
  </si>
  <si>
    <t>E319</t>
  </si>
  <si>
    <t>=H318</t>
  </si>
  <si>
    <t>H319</t>
  </si>
  <si>
    <t>=SUM(E319-F319-G319)</t>
  </si>
  <si>
    <t>L319</t>
  </si>
  <si>
    <t>=SUM(J319+K319)/H319*100</t>
  </si>
  <si>
    <t>N319</t>
  </si>
  <si>
    <t>=SUM(L319-M319)</t>
  </si>
  <si>
    <t>O319</t>
  </si>
  <si>
    <t>=SUM(I319/H319)*1000</t>
  </si>
  <si>
    <t>C320</t>
  </si>
  <si>
    <t>46.3 - day 4</t>
  </si>
  <si>
    <t>E320</t>
  </si>
  <si>
    <t>=H319</t>
  </si>
  <si>
    <t>H320</t>
  </si>
  <si>
    <t>=SUM(E320-F320-G320)</t>
  </si>
  <si>
    <t>L320</t>
  </si>
  <si>
    <t>=SUM(J320+K320)/H320*100</t>
  </si>
  <si>
    <t>N320</t>
  </si>
  <si>
    <t>=SUM(L320-M320)</t>
  </si>
  <si>
    <t>O320</t>
  </si>
  <si>
    <t>=SUM(I320/H320)*1000</t>
  </si>
  <si>
    <t>C321</t>
  </si>
  <si>
    <t>46.4 - day 5</t>
  </si>
  <si>
    <t>E321</t>
  </si>
  <si>
    <t>=H320</t>
  </si>
  <si>
    <t>H321</t>
  </si>
  <si>
    <t>=SUM(E321-F321-G321)</t>
  </si>
  <si>
    <t>L321</t>
  </si>
  <si>
    <t>=SUM(J321+K321)/H321*100</t>
  </si>
  <si>
    <t>N321</t>
  </si>
  <si>
    <t>=SUM(L321-M321)</t>
  </si>
  <si>
    <t>O321</t>
  </si>
  <si>
    <t>=SUM(I321/H321)*1000</t>
  </si>
  <si>
    <t>C322</t>
  </si>
  <si>
    <t>46.5 - day 6</t>
  </si>
  <si>
    <t>E322</t>
  </si>
  <si>
    <t>=H321</t>
  </si>
  <si>
    <t>H322</t>
  </si>
  <si>
    <t>=SUM(E322-F322-G322)</t>
  </si>
  <si>
    <t>L322</t>
  </si>
  <si>
    <t>=SUM(J322+K322)/H322*100</t>
  </si>
  <si>
    <t>N322</t>
  </si>
  <si>
    <t>=SUM(L322-M322)</t>
  </si>
  <si>
    <t>O322</t>
  </si>
  <si>
    <t>=SUM(I322/H322)*1000</t>
  </si>
  <si>
    <t>C323</t>
  </si>
  <si>
    <t>46.6 - day 7</t>
  </si>
  <si>
    <t>E323</t>
  </si>
  <si>
    <t>=H322</t>
  </si>
  <si>
    <t>H323</t>
  </si>
  <si>
    <t>=SUM(E323-F323-G323)</t>
  </si>
  <si>
    <t>L323</t>
  </si>
  <si>
    <t>=SUM(J323+K323)/H323*100</t>
  </si>
  <si>
    <t>N323</t>
  </si>
  <si>
    <t>=SUM(L323-M323)</t>
  </si>
  <si>
    <t>O323</t>
  </si>
  <si>
    <t>=SUM(I323/H323)*1000</t>
  </si>
  <si>
    <t>C324</t>
  </si>
  <si>
    <t>47.0 - day 1</t>
  </si>
  <si>
    <t>E324</t>
  </si>
  <si>
    <t>=H323</t>
  </si>
  <si>
    <t>H324</t>
  </si>
  <si>
    <t>=SUM(E324-F324-G324)</t>
  </si>
  <si>
    <t>L324</t>
  </si>
  <si>
    <t>=SUM(J324+K324)/H324*100</t>
  </si>
  <si>
    <t>N324</t>
  </si>
  <si>
    <t>=SUM(L324-M324)</t>
  </si>
  <si>
    <t>O324</t>
  </si>
  <si>
    <t>=SUM(I324/H324)*1000</t>
  </si>
  <si>
    <t>C325</t>
  </si>
  <si>
    <t>47.1 - day 2</t>
  </si>
  <si>
    <t>E325</t>
  </si>
  <si>
    <t>=H324</t>
  </si>
  <si>
    <t>H325</t>
  </si>
  <si>
    <t>=SUM(E325-F325-G325)</t>
  </si>
  <si>
    <t>L325</t>
  </si>
  <si>
    <t>=SUM(J325+K325)/H325*100</t>
  </si>
  <si>
    <t>N325</t>
  </si>
  <si>
    <t>=SUM(L325-M325)</t>
  </si>
  <si>
    <t>O325</t>
  </si>
  <si>
    <t>=SUM(I325/H325)*1000</t>
  </si>
  <si>
    <t>C326</t>
  </si>
  <si>
    <t>47.2 - day 3</t>
  </si>
  <si>
    <t>E326</t>
  </si>
  <si>
    <t>=H325</t>
  </si>
  <si>
    <t>H326</t>
  </si>
  <si>
    <t>=SUM(E326-F326-G326)</t>
  </si>
  <si>
    <t>L326</t>
  </si>
  <si>
    <t>=SUM(J326+K326)/H326*100</t>
  </si>
  <si>
    <t>N326</t>
  </si>
  <si>
    <t>=SUM(L326-M326)</t>
  </si>
  <si>
    <t>O326</t>
  </si>
  <si>
    <t>=SUM(I326/H326)*1000</t>
  </si>
  <si>
    <t>C327</t>
  </si>
  <si>
    <t>47.3 - day 4</t>
  </si>
  <si>
    <t>E327</t>
  </si>
  <si>
    <t>=H326</t>
  </si>
  <si>
    <t>H327</t>
  </si>
  <si>
    <t>=SUM(E327-F327-G327)</t>
  </si>
  <si>
    <t>L327</t>
  </si>
  <si>
    <t>=SUM(J327+K327)/H327*100</t>
  </si>
  <si>
    <t>N327</t>
  </si>
  <si>
    <t>=SUM(L327-M327)</t>
  </si>
  <si>
    <t>O327</t>
  </si>
  <si>
    <t>=SUM(I327/H327)*1000</t>
  </si>
  <si>
    <t>C328</t>
  </si>
  <si>
    <t>47.4 - day 5</t>
  </si>
  <si>
    <t>E328</t>
  </si>
  <si>
    <t>=H327</t>
  </si>
  <si>
    <t>H328</t>
  </si>
  <si>
    <t>=SUM(E328-F328-G328)</t>
  </si>
  <si>
    <t>L328</t>
  </si>
  <si>
    <t>=SUM(J328+K328)/H328*100</t>
  </si>
  <si>
    <t>N328</t>
  </si>
  <si>
    <t>=SUM(L328-M328)</t>
  </si>
  <si>
    <t>O328</t>
  </si>
  <si>
    <t>=SUM(I328/H328)*1000</t>
  </si>
  <si>
    <t>C329</t>
  </si>
  <si>
    <t>47.5 - day 6</t>
  </si>
  <si>
    <t>E329</t>
  </si>
  <si>
    <t>=H328</t>
  </si>
  <si>
    <t>H329</t>
  </si>
  <si>
    <t>=SUM(E329-F329-G329)</t>
  </si>
  <si>
    <t>L329</t>
  </si>
  <si>
    <t>=SUM(J329+K329)/H329*100</t>
  </si>
  <si>
    <t>N329</t>
  </si>
  <si>
    <t>=SUM(L329-M329)</t>
  </si>
  <si>
    <t>O329</t>
  </si>
  <si>
    <t>=SUM(I329/H329)*1000</t>
  </si>
  <si>
    <t>C330</t>
  </si>
  <si>
    <t>47.6 - day 7</t>
  </si>
  <si>
    <t>E330</t>
  </si>
  <si>
    <t>=H329</t>
  </si>
  <si>
    <t>H330</t>
  </si>
  <si>
    <t>=SUM(E330-F330-G330)</t>
  </si>
  <si>
    <t>L330</t>
  </si>
  <si>
    <t>=SUM(J330+K330)/H330*100</t>
  </si>
  <si>
    <t>N330</t>
  </si>
  <si>
    <t>=SUM(L330-M330)</t>
  </si>
  <si>
    <t>O330</t>
  </si>
  <si>
    <t>=SUM(I330/H330)*1000</t>
  </si>
  <si>
    <t>C331</t>
  </si>
  <si>
    <t>48.0 - day 1</t>
  </si>
  <si>
    <t>E331</t>
  </si>
  <si>
    <t>=H330</t>
  </si>
  <si>
    <t>H331</t>
  </si>
  <si>
    <t>=SUM(E331-F331-G331)</t>
  </si>
  <si>
    <t>L331</t>
  </si>
  <si>
    <t>=SUM(J331+K331)/H331*100</t>
  </si>
  <si>
    <t>N331</t>
  </si>
  <si>
    <t>=SUM(L331-M331)</t>
  </si>
  <si>
    <t>O331</t>
  </si>
  <si>
    <t>=SUM(I331/H331)*1000</t>
  </si>
  <si>
    <t>C332</t>
  </si>
  <si>
    <t>48.1 - day 2</t>
  </si>
  <si>
    <t>E332</t>
  </si>
  <si>
    <t>=H331</t>
  </si>
  <si>
    <t>H332</t>
  </si>
  <si>
    <t>=SUM(E332-F332-G332)</t>
  </si>
  <si>
    <t>L332</t>
  </si>
  <si>
    <t>=SUM(J332+K332)/H332*100</t>
  </si>
  <si>
    <t>N332</t>
  </si>
  <si>
    <t>=SUM(L332-M332)</t>
  </si>
  <si>
    <t>O332</t>
  </si>
  <si>
    <t>=SUM(I332/H332)*1000</t>
  </si>
  <si>
    <t>C333</t>
  </si>
  <si>
    <t>48.2 - day 3</t>
  </si>
  <si>
    <t>E333</t>
  </si>
  <si>
    <t>=H332</t>
  </si>
  <si>
    <t>H333</t>
  </si>
  <si>
    <t>=SUM(E333-F333-G333)</t>
  </si>
  <si>
    <t>L333</t>
  </si>
  <si>
    <t>=SUM(J333+K333)/H333*100</t>
  </si>
  <si>
    <t>N333</t>
  </si>
  <si>
    <t>=SUM(L333-M333)</t>
  </si>
  <si>
    <t>O333</t>
  </si>
  <si>
    <t>=SUM(I333/H333)*1000</t>
  </si>
  <si>
    <t>C334</t>
  </si>
  <si>
    <t>48.3 - day 4</t>
  </si>
  <si>
    <t>E334</t>
  </si>
  <si>
    <t>=H333</t>
  </si>
  <si>
    <t>H334</t>
  </si>
  <si>
    <t>=SUM(E334-F334-G334)</t>
  </si>
  <si>
    <t>L334</t>
  </si>
  <si>
    <t>=SUM(J334+K334)/H334*100</t>
  </si>
  <si>
    <t>N334</t>
  </si>
  <si>
    <t>=SUM(L334-M334)</t>
  </si>
  <si>
    <t>O334</t>
  </si>
  <si>
    <t>=SUM(I334/H334)*1000</t>
  </si>
  <si>
    <t>C335</t>
  </si>
  <si>
    <t>48.4 - day 5</t>
  </si>
  <si>
    <t>E335</t>
  </si>
  <si>
    <t>=H334</t>
  </si>
  <si>
    <t>H335</t>
  </si>
  <si>
    <t>=SUM(E335-F335-G335)</t>
  </si>
  <si>
    <t>L335</t>
  </si>
  <si>
    <t>=SUM(J335+K335)/H335*100</t>
  </si>
  <si>
    <t>N335</t>
  </si>
  <si>
    <t>=SUM(L335-M335)</t>
  </si>
  <si>
    <t>O335</t>
  </si>
  <si>
    <t>=SUM(I335/H335)*1000</t>
  </si>
  <si>
    <t>C336</t>
  </si>
  <si>
    <t>48.5 - day 6</t>
  </si>
  <si>
    <t>E336</t>
  </si>
  <si>
    <t>=H335</t>
  </si>
  <si>
    <t>H336</t>
  </si>
  <si>
    <t>=SUM(E336-F336-G336)</t>
  </si>
  <si>
    <t>L336</t>
  </si>
  <si>
    <t>=SUM(J336+K336)/H336*100</t>
  </si>
  <si>
    <t>N336</t>
  </si>
  <si>
    <t>=SUM(L336-M336)</t>
  </si>
  <si>
    <t>O336</t>
  </si>
  <si>
    <t>=SUM(I336/H336)*1000</t>
  </si>
  <si>
    <t>C337</t>
  </si>
  <si>
    <t>48.6 - day 7</t>
  </si>
  <si>
    <t>E337</t>
  </si>
  <si>
    <t>=H336</t>
  </si>
  <si>
    <t>H337</t>
  </si>
  <si>
    <t>=SUM(E337-F337-G337)</t>
  </si>
  <si>
    <t>L337</t>
  </si>
  <si>
    <t>=SUM(J337+K337)/H337*100</t>
  </si>
  <si>
    <t>N337</t>
  </si>
  <si>
    <t>=SUM(L337-M337)</t>
  </si>
  <si>
    <t>O337</t>
  </si>
  <si>
    <t>=SUM(I337/H337)*1000</t>
  </si>
  <si>
    <t>C338</t>
  </si>
  <si>
    <t>49.0 - day 1</t>
  </si>
  <si>
    <t>E338</t>
  </si>
  <si>
    <t>=H337</t>
  </si>
  <si>
    <t>H338</t>
  </si>
  <si>
    <t>=SUM(E338-F338-G338)</t>
  </si>
  <si>
    <t>L338</t>
  </si>
  <si>
    <t>=SUM(J338+K338)/H338*100</t>
  </si>
  <si>
    <t>N338</t>
  </si>
  <si>
    <t>=SUM(L338-M338)</t>
  </si>
  <si>
    <t>O338</t>
  </si>
  <si>
    <t>=SUM(I338/H338)*1000</t>
  </si>
  <si>
    <t>C339</t>
  </si>
  <si>
    <t>49.1 - day 2</t>
  </si>
  <si>
    <t>E339</t>
  </si>
  <si>
    <t>=H338</t>
  </si>
  <si>
    <t>H339</t>
  </si>
  <si>
    <t>=SUM(E339-F339-G339)</t>
  </si>
  <si>
    <t>L339</t>
  </si>
  <si>
    <t>=SUM(J339+K339)/H339*100</t>
  </si>
  <si>
    <t>N339</t>
  </si>
  <si>
    <t>=SUM(L339-M339)</t>
  </si>
  <si>
    <t>O339</t>
  </si>
  <si>
    <t>=SUM(I339/H339)*1000</t>
  </si>
  <si>
    <t>C340</t>
  </si>
  <si>
    <t>49.2 - day 3</t>
  </si>
  <si>
    <t>E340</t>
  </si>
  <si>
    <t>=H339</t>
  </si>
  <si>
    <t>H340</t>
  </si>
  <si>
    <t>=SUM(E340-F340-G340)</t>
  </si>
  <si>
    <t>L340</t>
  </si>
  <si>
    <t>=SUM(J340+K340)/H340*100</t>
  </si>
  <si>
    <t>N340</t>
  </si>
  <si>
    <t>=SUM(L340-M340)</t>
  </si>
  <si>
    <t>O340</t>
  </si>
  <si>
    <t>=SUM(I340/H340)*1000</t>
  </si>
  <si>
    <t>C341</t>
  </si>
  <si>
    <t>49.3 - day 4</t>
  </si>
  <si>
    <t>E341</t>
  </si>
  <si>
    <t>=H340</t>
  </si>
  <si>
    <t>H341</t>
  </si>
  <si>
    <t>=SUM(E341-F341-G341)</t>
  </si>
  <si>
    <t>L341</t>
  </si>
  <si>
    <t>=SUM(J341+K341)/H341*100</t>
  </si>
  <si>
    <t>N341</t>
  </si>
  <si>
    <t>=SUM(L341-M341)</t>
  </si>
  <si>
    <t>O341</t>
  </si>
  <si>
    <t>=SUM(I341/H341)*1000</t>
  </si>
  <si>
    <t>C342</t>
  </si>
  <si>
    <t>49.4 - day 5</t>
  </si>
  <si>
    <t>E342</t>
  </si>
  <si>
    <t>=H341</t>
  </si>
  <si>
    <t>H342</t>
  </si>
  <si>
    <t>=SUM(E342-F342-G342)</t>
  </si>
  <si>
    <t>L342</t>
  </si>
  <si>
    <t>=SUM(J342+K342)/H342*100</t>
  </si>
  <si>
    <t>N342</t>
  </si>
  <si>
    <t>=SUM(L342-M342)</t>
  </si>
  <si>
    <t>O342</t>
  </si>
  <si>
    <t>=SUM(I342/H342)*1000</t>
  </si>
  <si>
    <t>C343</t>
  </si>
  <si>
    <t>49.5 - day 6</t>
  </si>
  <si>
    <t>E343</t>
  </si>
  <si>
    <t>=H342</t>
  </si>
  <si>
    <t>H343</t>
  </si>
  <si>
    <t>=SUM(E343-F343-G343)</t>
  </si>
  <si>
    <t>L343</t>
  </si>
  <si>
    <t>=SUM(J343+K343)/H343*100</t>
  </si>
  <si>
    <t>N343</t>
  </si>
  <si>
    <t>=SUM(L343-M343)</t>
  </si>
  <si>
    <t>O343</t>
  </si>
  <si>
    <t>=SUM(I343/H343)*1000</t>
  </si>
  <si>
    <t>C344</t>
  </si>
  <si>
    <t>49.6 - day 7</t>
  </si>
  <si>
    <t>E344</t>
  </si>
  <si>
    <t>=H343</t>
  </si>
  <si>
    <t>H344</t>
  </si>
  <si>
    <t>=SUM(E344-F344-G344)</t>
  </si>
  <si>
    <t>L344</t>
  </si>
  <si>
    <t>=SUM(J344+K344)/H344*100</t>
  </si>
  <si>
    <t>N344</t>
  </si>
  <si>
    <t>=SUM(L344-M344)</t>
  </si>
  <si>
    <t>O344</t>
  </si>
  <si>
    <t>=SUM(I344/H344)*1000</t>
  </si>
  <si>
    <t>C345</t>
  </si>
  <si>
    <t>50.0 - day 1</t>
  </si>
  <si>
    <t>E345</t>
  </si>
  <si>
    <t>=H344</t>
  </si>
  <si>
    <t>H345</t>
  </si>
  <si>
    <t>=SUM(E345-F345-G345)</t>
  </si>
  <si>
    <t>L345</t>
  </si>
  <si>
    <t>=SUM(J345+K345)/H345*100</t>
  </si>
  <si>
    <t>N345</t>
  </si>
  <si>
    <t>=SUM(L345-M345)</t>
  </si>
  <si>
    <t>O345</t>
  </si>
  <si>
    <t>=SUM(I345/H345)*1000</t>
  </si>
  <si>
    <t>C346</t>
  </si>
  <si>
    <t>50.1 - day 2</t>
  </si>
  <si>
    <t>E346</t>
  </si>
  <si>
    <t>=H345</t>
  </si>
  <si>
    <t>H346</t>
  </si>
  <si>
    <t>=SUM(E346-F346-G346)</t>
  </si>
  <si>
    <t>L346</t>
  </si>
  <si>
    <t>=SUM(J346+K346)/H346*100</t>
  </si>
  <si>
    <t>N346</t>
  </si>
  <si>
    <t>=SUM(L346-M346)</t>
  </si>
  <si>
    <t>O346</t>
  </si>
  <si>
    <t>=SUM(I346/H346)*1000</t>
  </si>
  <si>
    <t>C347</t>
  </si>
  <si>
    <t>50.2 - day 3</t>
  </si>
  <si>
    <t>E347</t>
  </si>
  <si>
    <t>=H346</t>
  </si>
  <si>
    <t>H347</t>
  </si>
  <si>
    <t>=SUM(E347-F347-G347)</t>
  </si>
  <si>
    <t>L347</t>
  </si>
  <si>
    <t>=SUM(J347+K347)/H347*100</t>
  </si>
  <si>
    <t>N347</t>
  </si>
  <si>
    <t>=SUM(L347-M347)</t>
  </si>
  <si>
    <t>O347</t>
  </si>
  <si>
    <t>=SUM(I347/H347)*1000</t>
  </si>
  <si>
    <t>C348</t>
  </si>
  <si>
    <t>50.3 - day 4</t>
  </si>
  <si>
    <t>E348</t>
  </si>
  <si>
    <t>=H347</t>
  </si>
  <si>
    <t>H348</t>
  </si>
  <si>
    <t>=SUM(E348-F348-G348)</t>
  </si>
  <si>
    <t>L348</t>
  </si>
  <si>
    <t>=SUM(J348+K348)/H348*100</t>
  </si>
  <si>
    <t>N348</t>
  </si>
  <si>
    <t>=SUM(L348-M348)</t>
  </si>
  <si>
    <t>O348</t>
  </si>
  <si>
    <t>=SUM(I348/H348)*1000</t>
  </si>
  <si>
    <t>C349</t>
  </si>
  <si>
    <t>50.4 - day 5</t>
  </si>
  <si>
    <t>E349</t>
  </si>
  <si>
    <t>=H348</t>
  </si>
  <si>
    <t>H349</t>
  </si>
  <si>
    <t>=SUM(E349-F349-G349)</t>
  </si>
  <si>
    <t>L349</t>
  </si>
  <si>
    <t>=SUM(J349+K349)/H349*100</t>
  </si>
  <si>
    <t>N349</t>
  </si>
  <si>
    <t>=SUM(L349-M349)</t>
  </si>
  <si>
    <t>O349</t>
  </si>
  <si>
    <t>=SUM(I349/H349)*1000</t>
  </si>
  <si>
    <t>C350</t>
  </si>
  <si>
    <t>50.5 - day 6</t>
  </si>
  <si>
    <t>E350</t>
  </si>
  <si>
    <t>=H349</t>
  </si>
  <si>
    <t>H350</t>
  </si>
  <si>
    <t>=SUM(E350-F350-G350)</t>
  </si>
  <si>
    <t>L350</t>
  </si>
  <si>
    <t>=SUM(J350+K350)/H350*100</t>
  </si>
  <si>
    <t>N350</t>
  </si>
  <si>
    <t>=SUM(L350-M350)</t>
  </si>
  <si>
    <t>O350</t>
  </si>
  <si>
    <t>=SUM(I350/H350)*1000</t>
  </si>
  <si>
    <t>C351</t>
  </si>
  <si>
    <t>50.6 - day 7</t>
  </si>
  <si>
    <t>E351</t>
  </si>
  <si>
    <t>=H350</t>
  </si>
  <si>
    <t>H351</t>
  </si>
  <si>
    <t>=SUM(E351-F351-G351)</t>
  </si>
  <si>
    <t>L351</t>
  </si>
  <si>
    <t>=SUM(J351+K351)/H351*100</t>
  </si>
  <si>
    <t>N351</t>
  </si>
  <si>
    <t>=SUM(L351-M351)</t>
  </si>
  <si>
    <t>O351</t>
  </si>
  <si>
    <t>=SUM(I351/H351)*1000</t>
  </si>
  <si>
    <t>C352</t>
  </si>
  <si>
    <t>51.0 - day 1</t>
  </si>
  <si>
    <t>E352</t>
  </si>
  <si>
    <t>=H351</t>
  </si>
  <si>
    <t>H352</t>
  </si>
  <si>
    <t>=SUM(E352-F352-G352)</t>
  </si>
  <si>
    <t>L352</t>
  </si>
  <si>
    <t>=SUM(J352+K352)/H352*100</t>
  </si>
  <si>
    <t>N352</t>
  </si>
  <si>
    <t>=SUM(L352-M352)</t>
  </si>
  <si>
    <t>O352</t>
  </si>
  <si>
    <t>=SUM(I352/H352)*1000</t>
  </si>
  <si>
    <t>C353</t>
  </si>
  <si>
    <t>51.1 - day 2</t>
  </si>
  <si>
    <t>E353</t>
  </si>
  <si>
    <t>=H352</t>
  </si>
  <si>
    <t>H353</t>
  </si>
  <si>
    <t>=SUM(E353-F353-G353)</t>
  </si>
  <si>
    <t>L353</t>
  </si>
  <si>
    <t>=SUM(J353+K353)/H353*100</t>
  </si>
  <si>
    <t>N353</t>
  </si>
  <si>
    <t>=SUM(L353-M353)</t>
  </si>
  <si>
    <t>O353</t>
  </si>
  <si>
    <t>=SUM(I353/H353)*1000</t>
  </si>
  <si>
    <t>C354</t>
  </si>
  <si>
    <t>51.2 - day 3</t>
  </si>
  <si>
    <t>E354</t>
  </si>
  <si>
    <t>=H353</t>
  </si>
  <si>
    <t>H354</t>
  </si>
  <si>
    <t>=SUM(E354-F354-G354)</t>
  </si>
  <si>
    <t>L354</t>
  </si>
  <si>
    <t>=SUM(J354+K354)/H354*100</t>
  </si>
  <si>
    <t>N354</t>
  </si>
  <si>
    <t>=SUM(L354-M354)</t>
  </si>
  <si>
    <t>O354</t>
  </si>
  <si>
    <t>=SUM(I354/H354)*1000</t>
  </si>
  <si>
    <t>C355</t>
  </si>
  <si>
    <t>51.3 - day 4</t>
  </si>
  <si>
    <t>E355</t>
  </si>
  <si>
    <t>=H354</t>
  </si>
  <si>
    <t>H355</t>
  </si>
  <si>
    <t>=SUM(E355-F355-G355)</t>
  </si>
  <si>
    <t>L355</t>
  </si>
  <si>
    <t>=SUM(J355+K355)/H355*100</t>
  </si>
  <si>
    <t>N355</t>
  </si>
  <si>
    <t>=SUM(L355-M355)</t>
  </si>
  <si>
    <t>O355</t>
  </si>
  <si>
    <t>=SUM(I355/H355)*1000</t>
  </si>
  <si>
    <t>C356</t>
  </si>
  <si>
    <t>51.4 - day 5</t>
  </si>
  <si>
    <t>E356</t>
  </si>
  <si>
    <t>=H355</t>
  </si>
  <si>
    <t>H356</t>
  </si>
  <si>
    <t>=SUM(E356-F356-G356)</t>
  </si>
  <si>
    <t>L356</t>
  </si>
  <si>
    <t>=SUM(J356+K356)/H356*100</t>
  </si>
  <si>
    <t>N356</t>
  </si>
  <si>
    <t>=SUM(L356-M356)</t>
  </si>
  <si>
    <t>O356</t>
  </si>
  <si>
    <t>=SUM(I356/H356)*1000</t>
  </si>
  <si>
    <t>C357</t>
  </si>
  <si>
    <t>51.5 - day 6</t>
  </si>
  <si>
    <t>E357</t>
  </si>
  <si>
    <t>=H356</t>
  </si>
  <si>
    <t>H357</t>
  </si>
  <si>
    <t>=SUM(E357-F357-G357)</t>
  </si>
  <si>
    <t>L357</t>
  </si>
  <si>
    <t>=SUM(J357+K357)/H357*100</t>
  </si>
  <si>
    <t>N357</t>
  </si>
  <si>
    <t>=SUM(L357-M357)</t>
  </si>
  <si>
    <t>O357</t>
  </si>
  <si>
    <t>=SUM(I357/H357)*1000</t>
  </si>
  <si>
    <t>C358</t>
  </si>
  <si>
    <t>51.6 - day 7</t>
  </si>
  <si>
    <t>E358</t>
  </si>
  <si>
    <t>=H357</t>
  </si>
  <si>
    <t>H358</t>
  </si>
  <si>
    <t>=SUM(E358-F358-G358)</t>
  </si>
  <si>
    <t>L358</t>
  </si>
  <si>
    <t>=SUM(J358+K358)/H358*100</t>
  </si>
  <si>
    <t>N358</t>
  </si>
  <si>
    <t>=SUM(L358-M358)</t>
  </si>
  <si>
    <t>O358</t>
  </si>
  <si>
    <t>=SUM(I358/H358)*1000</t>
  </si>
  <si>
    <t>C359</t>
  </si>
  <si>
    <t>52.0 - day 1</t>
  </si>
  <si>
    <t>E359</t>
  </si>
  <si>
    <t>=H358</t>
  </si>
  <si>
    <t>H359</t>
  </si>
  <si>
    <t>=SUM(E359-F359-G359)</t>
  </si>
  <si>
    <t>L359</t>
  </si>
  <si>
    <t>=SUM(J359+K359)/H359*100</t>
  </si>
  <si>
    <t>N359</t>
  </si>
  <si>
    <t>=SUM(L359-M359)</t>
  </si>
  <si>
    <t>O359</t>
  </si>
  <si>
    <t>=SUM(I359/H359)*1000</t>
  </si>
  <si>
    <t>C360</t>
  </si>
  <si>
    <t>52.1 - day 2</t>
  </si>
  <si>
    <t>E360</t>
  </si>
  <si>
    <t>=H359</t>
  </si>
  <si>
    <t>H360</t>
  </si>
  <si>
    <t>=SUM(E360-F360-G360)</t>
  </si>
  <si>
    <t>L360</t>
  </si>
  <si>
    <t>=SUM(J360+K360)/H360*100</t>
  </si>
  <si>
    <t>N360</t>
  </si>
  <si>
    <t>=SUM(L360-M360)</t>
  </si>
  <si>
    <t>O360</t>
  </si>
  <si>
    <t>=SUM(I360/H360)*1000</t>
  </si>
  <si>
    <t>C361</t>
  </si>
  <si>
    <t>52.2 - day 3</t>
  </si>
  <si>
    <t>E361</t>
  </si>
  <si>
    <t>=H360</t>
  </si>
  <si>
    <t>H361</t>
  </si>
  <si>
    <t>=SUM(E361-F361-G361)</t>
  </si>
  <si>
    <t>L361</t>
  </si>
  <si>
    <t>=SUM(J361+K361)/H361*100</t>
  </si>
  <si>
    <t>N361</t>
  </si>
  <si>
    <t>=SUM(L361-M361)</t>
  </si>
  <si>
    <t>O361</t>
  </si>
  <si>
    <t>=SUM(I361/H361)*1000</t>
  </si>
  <si>
    <t>C362</t>
  </si>
  <si>
    <t>52.3 - day 4</t>
  </si>
  <si>
    <t>E362</t>
  </si>
  <si>
    <t>=H361</t>
  </si>
  <si>
    <t>H362</t>
  </si>
  <si>
    <t>=SUM(E362-F362-G362)</t>
  </si>
  <si>
    <t>L362</t>
  </si>
  <si>
    <t>=SUM(J362+K362)/H362*100</t>
  </si>
  <si>
    <t>N362</t>
  </si>
  <si>
    <t>=SUM(L362-M362)</t>
  </si>
  <si>
    <t>O362</t>
  </si>
  <si>
    <t>=SUM(I362/H362)*1000</t>
  </si>
  <si>
    <t>C363</t>
  </si>
  <si>
    <t>52.4 - day 5</t>
  </si>
  <si>
    <t>E363</t>
  </si>
  <si>
    <t>=H362</t>
  </si>
  <si>
    <t>H363</t>
  </si>
  <si>
    <t>=SUM(E363-F363-G363)</t>
  </si>
  <si>
    <t>L363</t>
  </si>
  <si>
    <t>=SUM(J363+K363)/H363*100</t>
  </si>
  <si>
    <t>N363</t>
  </si>
  <si>
    <t>=SUM(L363-M363)</t>
  </si>
  <si>
    <t>O363</t>
  </si>
  <si>
    <t>=SUM(I363/H363)*1000</t>
  </si>
  <si>
    <t>C364</t>
  </si>
  <si>
    <t>52.5 - day 6</t>
  </si>
  <si>
    <t>E364</t>
  </si>
  <si>
    <t>=H363</t>
  </si>
  <si>
    <t>H364</t>
  </si>
  <si>
    <t>=SUM(E364-F364-G364)</t>
  </si>
  <si>
    <t>L364</t>
  </si>
  <si>
    <t>=SUM(J364+K364)/H364*100</t>
  </si>
  <si>
    <t>N364</t>
  </si>
  <si>
    <t>=SUM(L364-M364)</t>
  </si>
  <si>
    <t>O364</t>
  </si>
  <si>
    <t>=SUM(I364/H364)*1000</t>
  </si>
  <si>
    <t>C365</t>
  </si>
  <si>
    <t>52.6 - day 7</t>
  </si>
  <si>
    <t>E365</t>
  </si>
  <si>
    <t>=H364</t>
  </si>
  <si>
    <t>H365</t>
  </si>
  <si>
    <t>=SUM(E365-F365-G365)</t>
  </si>
  <si>
    <t>L365</t>
  </si>
  <si>
    <t>=SUM(J365+K365)/H365*100</t>
  </si>
  <si>
    <t>N365</t>
  </si>
  <si>
    <t>=SUM(L365-M365)</t>
  </si>
  <si>
    <t>O365</t>
  </si>
  <si>
    <t>=SUM(I365/H365)*1000</t>
  </si>
  <si>
    <t>C366</t>
  </si>
  <si>
    <t>53.0 - day 1</t>
  </si>
  <si>
    <t>E366</t>
  </si>
  <si>
    <t>=H365</t>
  </si>
  <si>
    <t>H366</t>
  </si>
  <si>
    <t>=SUM(E366-F366-G366)</t>
  </si>
  <si>
    <t>L366</t>
  </si>
  <si>
    <t>=SUM(J366+K366)/H366*100</t>
  </si>
  <si>
    <t>N366</t>
  </si>
  <si>
    <t>=SUM(L366-M366)</t>
  </si>
  <si>
    <t>O366</t>
  </si>
  <si>
    <t>=SUM(I366/H366)*1000</t>
  </si>
  <si>
    <t>C367</t>
  </si>
  <si>
    <t>53.1 - day 2</t>
  </si>
  <si>
    <t>E367</t>
  </si>
  <si>
    <t>=H366</t>
  </si>
  <si>
    <t>H367</t>
  </si>
  <si>
    <t>=SUM(E367-F367-G367)</t>
  </si>
  <si>
    <t>L367</t>
  </si>
  <si>
    <t>=SUM(J367+K367)/H367*100</t>
  </si>
  <si>
    <t>N367</t>
  </si>
  <si>
    <t>=SUM(L367-M367)</t>
  </si>
  <si>
    <t>O367</t>
  </si>
  <si>
    <t>=SUM(I367/H367)*1000</t>
  </si>
  <si>
    <t>C368</t>
  </si>
  <si>
    <t>53.2 - day 3</t>
  </si>
  <si>
    <t>E368</t>
  </si>
  <si>
    <t>=H367</t>
  </si>
  <si>
    <t>H368</t>
  </si>
  <si>
    <t>=SUM(E368-F368-G368)</t>
  </si>
  <si>
    <t>L368</t>
  </si>
  <si>
    <t>=SUM(J368+K368)/H368*100</t>
  </si>
  <si>
    <t>N368</t>
  </si>
  <si>
    <t>=SUM(L368-M368)</t>
  </si>
  <si>
    <t>O368</t>
  </si>
  <si>
    <t>=SUM(I368/H368)*1000</t>
  </si>
  <si>
    <t>C369</t>
  </si>
  <si>
    <t>53.3 - day 4</t>
  </si>
  <si>
    <t>E369</t>
  </si>
  <si>
    <t>=H368</t>
  </si>
  <si>
    <t>H369</t>
  </si>
  <si>
    <t>=SUM(E369-F369-G369)</t>
  </si>
  <si>
    <t>L369</t>
  </si>
  <si>
    <t>=SUM(J369+K369)/H369*100</t>
  </si>
  <si>
    <t>N369</t>
  </si>
  <si>
    <t>=SUM(L369-M369)</t>
  </si>
  <si>
    <t>O369</t>
  </si>
  <si>
    <t>=SUM(I369/H369)*1000</t>
  </si>
  <si>
    <t>C370</t>
  </si>
  <si>
    <t>53.4 - day 5</t>
  </si>
  <si>
    <t>E370</t>
  </si>
  <si>
    <t>=H369</t>
  </si>
  <si>
    <t>H370</t>
  </si>
  <si>
    <t>=SUM(E370-F370-G370)</t>
  </si>
  <si>
    <t>L370</t>
  </si>
  <si>
    <t>=SUM(J370+K370)/H370*100</t>
  </si>
  <si>
    <t>N370</t>
  </si>
  <si>
    <t>=SUM(L370-M370)</t>
  </si>
  <si>
    <t>O370</t>
  </si>
  <si>
    <t>=SUM(I370/H370)*1000</t>
  </si>
  <si>
    <t>C371</t>
  </si>
  <si>
    <t>53.5 - day 6</t>
  </si>
  <si>
    <t>E371</t>
  </si>
  <si>
    <t>=H370</t>
  </si>
  <si>
    <t>H371</t>
  </si>
  <si>
    <t>=SUM(E371-F371-G371)</t>
  </si>
  <si>
    <t>L371</t>
  </si>
  <si>
    <t>=SUM(J371+K371)/H371*100</t>
  </si>
  <si>
    <t>N371</t>
  </si>
  <si>
    <t>=SUM(L371-M371)</t>
  </si>
  <si>
    <t>O371</t>
  </si>
  <si>
    <t>=SUM(I371/H371)*1000</t>
  </si>
  <si>
    <t>C372</t>
  </si>
  <si>
    <t>53.6 - day 7</t>
  </si>
  <si>
    <t>E372</t>
  </si>
  <si>
    <t>=H371</t>
  </si>
  <si>
    <t>H372</t>
  </si>
  <si>
    <t>=SUM(E372-F372-G372)</t>
  </si>
  <si>
    <t>L372</t>
  </si>
  <si>
    <t>=SUM(J372+K372)/H372*100</t>
  </si>
  <si>
    <t>N372</t>
  </si>
  <si>
    <t>=SUM(L372-M372)</t>
  </si>
  <si>
    <t>O372</t>
  </si>
  <si>
    <t>=SUM(I372/H372)*1000</t>
  </si>
  <si>
    <t>C373</t>
  </si>
  <si>
    <t>54.0 - day 1</t>
  </si>
  <si>
    <t>E373</t>
  </si>
  <si>
    <t>=H372</t>
  </si>
  <si>
    <t>H373</t>
  </si>
  <si>
    <t>=SUM(E373-F373-G373)</t>
  </si>
  <si>
    <t>L373</t>
  </si>
  <si>
    <t>=SUM(J373+K373)/H373*100</t>
  </si>
  <si>
    <t>N373</t>
  </si>
  <si>
    <t>=SUM(L373-M373)</t>
  </si>
  <si>
    <t>O373</t>
  </si>
  <si>
    <t>=SUM(I373/H373)*1000</t>
  </si>
  <si>
    <t>C374</t>
  </si>
  <si>
    <t>54.1 - day 2</t>
  </si>
  <si>
    <t>E374</t>
  </si>
  <si>
    <t>=H373</t>
  </si>
  <si>
    <t>H374</t>
  </si>
  <si>
    <t>=SUM(E374-F374-G374)</t>
  </si>
  <si>
    <t>L374</t>
  </si>
  <si>
    <t>=SUM(J374+K374)/H374*100</t>
  </si>
  <si>
    <t>N374</t>
  </si>
  <si>
    <t>=SUM(L374-M374)</t>
  </si>
  <si>
    <t>O374</t>
  </si>
  <si>
    <t>=SUM(I374/H374)*1000</t>
  </si>
  <si>
    <t>C375</t>
  </si>
  <si>
    <t>54.2 - day 3</t>
  </si>
  <si>
    <t>E375</t>
  </si>
  <si>
    <t>=H374</t>
  </si>
  <si>
    <t>H375</t>
  </si>
  <si>
    <t>=SUM(E375-F375-G375)</t>
  </si>
  <si>
    <t>L375</t>
  </si>
  <si>
    <t>=SUM(J375+K375)/H375*100</t>
  </si>
  <si>
    <t>N375</t>
  </si>
  <si>
    <t>=SUM(L375-M375)</t>
  </si>
  <si>
    <t>O375</t>
  </si>
  <si>
    <t>=SUM(I375/H375)*1000</t>
  </si>
  <si>
    <t>C376</t>
  </si>
  <si>
    <t>54.3 - day 4</t>
  </si>
  <si>
    <t>E376</t>
  </si>
  <si>
    <t>=H375</t>
  </si>
  <si>
    <t>H376</t>
  </si>
  <si>
    <t>=SUM(E376-F376-G376)</t>
  </si>
  <si>
    <t>L376</t>
  </si>
  <si>
    <t>=SUM(J376+K376)/H376*100</t>
  </si>
  <si>
    <t>N376</t>
  </si>
  <si>
    <t>=SUM(L376-M376)</t>
  </si>
  <si>
    <t>O376</t>
  </si>
  <si>
    <t>=SUM(I376/H376)*1000</t>
  </si>
  <si>
    <t>C377</t>
  </si>
  <si>
    <t>54.4 - day 5</t>
  </si>
  <si>
    <t>E377</t>
  </si>
  <si>
    <t>=H376</t>
  </si>
  <si>
    <t>H377</t>
  </si>
  <si>
    <t>=SUM(E377-F377-G377)</t>
  </si>
  <si>
    <t>L377</t>
  </si>
  <si>
    <t>=SUM(J377+K377)/H377*100</t>
  </si>
  <si>
    <t>N377</t>
  </si>
  <si>
    <t>=SUM(L377-M377)</t>
  </si>
  <si>
    <t>O377</t>
  </si>
  <si>
    <t>=SUM(I377/H377)*1000</t>
  </si>
  <si>
    <t>C378</t>
  </si>
  <si>
    <t>54.5 - day 6</t>
  </si>
  <si>
    <t>E378</t>
  </si>
  <si>
    <t>=H377</t>
  </si>
  <si>
    <t>H378</t>
  </si>
  <si>
    <t>=SUM(E378-F378-G378)</t>
  </si>
  <si>
    <t>L378</t>
  </si>
  <si>
    <t>=SUM(J378+K378)/H378*100</t>
  </si>
  <si>
    <t>N378</t>
  </si>
  <si>
    <t>=SUM(L378-M378)</t>
  </si>
  <si>
    <t>O378</t>
  </si>
  <si>
    <t>=SUM(I378/H378)*1000</t>
  </si>
  <si>
    <t>C379</t>
  </si>
  <si>
    <t>54.6 - day 7</t>
  </si>
  <si>
    <t>E379</t>
  </si>
  <si>
    <t>=H378</t>
  </si>
  <si>
    <t>H379</t>
  </si>
  <si>
    <t>=SUM(E379-F379-G379)</t>
  </si>
  <si>
    <t>L379</t>
  </si>
  <si>
    <t>=SUM(J379+K379)/H379*100</t>
  </si>
  <si>
    <t>N379</t>
  </si>
  <si>
    <t>=SUM(L379-M379)</t>
  </si>
  <si>
    <t>O379</t>
  </si>
  <si>
    <t>=SUM(I379/H379)*1000</t>
  </si>
  <si>
    <t>C380</t>
  </si>
  <si>
    <t>55.0 - day 1</t>
  </si>
  <si>
    <t>E380</t>
  </si>
  <si>
    <t>=H379</t>
  </si>
  <si>
    <t>H380</t>
  </si>
  <si>
    <t>=SUM(E380-F380-G380)</t>
  </si>
  <si>
    <t>L380</t>
  </si>
  <si>
    <t>=SUM(J380+K380)/H380*100</t>
  </si>
  <si>
    <t>N380</t>
  </si>
  <si>
    <t>=SUM(L380-M380)</t>
  </si>
  <si>
    <t>O380</t>
  </si>
  <si>
    <t>=SUM(I380/H380)*1000</t>
  </si>
  <si>
    <t>C381</t>
  </si>
  <si>
    <t>55.1 - day 2</t>
  </si>
  <si>
    <t>E381</t>
  </si>
  <si>
    <t>=H380</t>
  </si>
  <si>
    <t>H381</t>
  </si>
  <si>
    <t>=SUM(E381-F381-G381)</t>
  </si>
  <si>
    <t>L381</t>
  </si>
  <si>
    <t>=SUM(J381+K381)/H381*100</t>
  </si>
  <si>
    <t>N381</t>
  </si>
  <si>
    <t>=SUM(L381-M381)</t>
  </si>
  <si>
    <t>O381</t>
  </si>
  <si>
    <t>=SUM(I381/H381)*1000</t>
  </si>
  <si>
    <t>C382</t>
  </si>
  <si>
    <t>55.2 - day 3</t>
  </si>
  <si>
    <t>E382</t>
  </si>
  <si>
    <t>=H381</t>
  </si>
  <si>
    <t>H382</t>
  </si>
  <si>
    <t>=SUM(E382-F382-G382)</t>
  </si>
  <si>
    <t>L382</t>
  </si>
  <si>
    <t>=SUM(J382+K382)/H382*100</t>
  </si>
  <si>
    <t>N382</t>
  </si>
  <si>
    <t>=SUM(L382-M382)</t>
  </si>
  <si>
    <t>O382</t>
  </si>
  <si>
    <t>=SUM(I382/H382)*1000</t>
  </si>
  <si>
    <t>C383</t>
  </si>
  <si>
    <t>55.3 - day 4</t>
  </si>
  <si>
    <t>E383</t>
  </si>
  <si>
    <t>=H382</t>
  </si>
  <si>
    <t>H383</t>
  </si>
  <si>
    <t>=SUM(E383-F383-G383)</t>
  </si>
  <si>
    <t>L383</t>
  </si>
  <si>
    <t>=SUM(J383+K383)/H383*100</t>
  </si>
  <si>
    <t>N383</t>
  </si>
  <si>
    <t>=SUM(L383-M383)</t>
  </si>
  <si>
    <t>O383</t>
  </si>
  <si>
    <t>=SUM(I383/H383)*1000</t>
  </si>
  <si>
    <t>C384</t>
  </si>
  <si>
    <t>55.4 - day 5</t>
  </si>
  <si>
    <t>E384</t>
  </si>
  <si>
    <t>=H383</t>
  </si>
  <si>
    <t>H384</t>
  </si>
  <si>
    <t>=SUM(E384-F384-G384)</t>
  </si>
  <si>
    <t>L384</t>
  </si>
  <si>
    <t>=SUM(J384+K384)/H384*100</t>
  </si>
  <si>
    <t>N384</t>
  </si>
  <si>
    <t>=SUM(L384-M384)</t>
  </si>
  <si>
    <t>O384</t>
  </si>
  <si>
    <t>=SUM(I384/H384)*1000</t>
  </si>
  <si>
    <t>C385</t>
  </si>
  <si>
    <t>55.5 - day 6</t>
  </si>
  <si>
    <t>E385</t>
  </si>
  <si>
    <t>=H384</t>
  </si>
  <si>
    <t>H385</t>
  </si>
  <si>
    <t>=SUM(E385-F385-G385)</t>
  </si>
  <si>
    <t>L385</t>
  </si>
  <si>
    <t>=SUM(J385+K385)/H385*100</t>
  </si>
  <si>
    <t>N385</t>
  </si>
  <si>
    <t>=SUM(L385-M385)</t>
  </si>
  <si>
    <t>O385</t>
  </si>
  <si>
    <t>=SUM(I385/H385)*1000</t>
  </si>
  <si>
    <t>C386</t>
  </si>
  <si>
    <t>55.6 - day 7</t>
  </si>
  <si>
    <t>E386</t>
  </si>
  <si>
    <t>=H385</t>
  </si>
  <si>
    <t>H386</t>
  </si>
  <si>
    <t>=SUM(E386-F386-G386)</t>
  </si>
  <si>
    <t>L386</t>
  </si>
  <si>
    <t>=SUM(J386+K386)/H386*100</t>
  </si>
  <si>
    <t>N386</t>
  </si>
  <si>
    <t>=SUM(L386-M386)</t>
  </si>
  <si>
    <t>O386</t>
  </si>
  <si>
    <t>=SUM(I386/H386)*1000</t>
  </si>
  <si>
    <t>C387</t>
  </si>
  <si>
    <t>56.0 - day 1</t>
  </si>
  <si>
    <t>E387</t>
  </si>
  <si>
    <t>=H386</t>
  </si>
  <si>
    <t>H387</t>
  </si>
  <si>
    <t>=SUM(E387-F387-G387)</t>
  </si>
  <si>
    <t>L387</t>
  </si>
  <si>
    <t>=SUM(J387+K387)/H387*100</t>
  </si>
  <si>
    <t>N387</t>
  </si>
  <si>
    <t>=SUM(L387-M387)</t>
  </si>
  <si>
    <t>O387</t>
  </si>
  <si>
    <t>=SUM(I387/H387)*1000</t>
  </si>
  <si>
    <t>C388</t>
  </si>
  <si>
    <t>56.1 - day 2</t>
  </si>
  <si>
    <t>E388</t>
  </si>
  <si>
    <t>=H387</t>
  </si>
  <si>
    <t>H388</t>
  </si>
  <si>
    <t>=SUM(E388-F388-G388)</t>
  </si>
  <si>
    <t>L388</t>
  </si>
  <si>
    <t>=SUM(J388+K388)/H388*100</t>
  </si>
  <si>
    <t>N388</t>
  </si>
  <si>
    <t>=SUM(L388-M388)</t>
  </si>
  <si>
    <t>O388</t>
  </si>
  <si>
    <t>=SUM(I388/H388)*1000</t>
  </si>
  <si>
    <t>C389</t>
  </si>
  <si>
    <t>56.2 - day 3</t>
  </si>
  <si>
    <t>E389</t>
  </si>
  <si>
    <t>=H388</t>
  </si>
  <si>
    <t>H389</t>
  </si>
  <si>
    <t>=SUM(E389-F389-G389)</t>
  </si>
  <si>
    <t>L389</t>
  </si>
  <si>
    <t>=SUM(J389+K389)/H389*100</t>
  </si>
  <si>
    <t>N389</t>
  </si>
  <si>
    <t>=SUM(L389-M389)</t>
  </si>
  <si>
    <t>O389</t>
  </si>
  <si>
    <t>=SUM(I389/H389)*1000</t>
  </si>
  <si>
    <t>C390</t>
  </si>
  <si>
    <t>56.3 - day 4</t>
  </si>
  <si>
    <t>E390</t>
  </si>
  <si>
    <t>=H389</t>
  </si>
  <si>
    <t>H390</t>
  </si>
  <si>
    <t>=SUM(E390-F390-G390)</t>
  </si>
  <si>
    <t>L390</t>
  </si>
  <si>
    <t>=SUM(J390+K390)/H390*100</t>
  </si>
  <si>
    <t>N390</t>
  </si>
  <si>
    <t>=SUM(L390-M390)</t>
  </si>
  <si>
    <t>O390</t>
  </si>
  <si>
    <t>=SUM(I390/H390)*1000</t>
  </si>
  <si>
    <t>C391</t>
  </si>
  <si>
    <t>56.4 - day 5</t>
  </si>
  <si>
    <t>E391</t>
  </si>
  <si>
    <t>=H390</t>
  </si>
  <si>
    <t>H391</t>
  </si>
  <si>
    <t>=SUM(E391-F391-G391)</t>
  </si>
  <si>
    <t>L391</t>
  </si>
  <si>
    <t>=SUM(J391+K391)/H391*100</t>
  </si>
  <si>
    <t>N391</t>
  </si>
  <si>
    <t>=SUM(L391-M391)</t>
  </si>
  <si>
    <t>O391</t>
  </si>
  <si>
    <t>=SUM(I391/H391)*1000</t>
  </si>
  <si>
    <t>C392</t>
  </si>
  <si>
    <t>56.5 - day 6</t>
  </si>
  <si>
    <t>E392</t>
  </si>
  <si>
    <t>=H391</t>
  </si>
  <si>
    <t>H392</t>
  </si>
  <si>
    <t>=SUM(E392-F392-G392)</t>
  </si>
  <si>
    <t>L392</t>
  </si>
  <si>
    <t>=SUM(J392+K392)/H392*100</t>
  </si>
  <si>
    <t>N392</t>
  </si>
  <si>
    <t>=SUM(L392-M392)</t>
  </si>
  <si>
    <t>O392</t>
  </si>
  <si>
    <t>=SUM(I392/H392)*1000</t>
  </si>
  <si>
    <t>C393</t>
  </si>
  <si>
    <t>56.6 - day 7</t>
  </si>
  <si>
    <t>E393</t>
  </si>
  <si>
    <t>=H392</t>
  </si>
  <si>
    <t>H393</t>
  </si>
  <si>
    <t>=SUM(E393-F393-G393)</t>
  </si>
  <si>
    <t>L393</t>
  </si>
  <si>
    <t>=SUM(J393+K393)/H393*100</t>
  </si>
  <si>
    <t>N393</t>
  </si>
  <si>
    <t>=SUM(L393-M393)</t>
  </si>
  <si>
    <t>O393</t>
  </si>
  <si>
    <t>=SUM(I393/H393)*1000</t>
  </si>
  <si>
    <t>C394</t>
  </si>
  <si>
    <t>57.0 - day 1</t>
  </si>
  <si>
    <t>E394</t>
  </si>
  <si>
    <t>=H393</t>
  </si>
  <si>
    <t>H394</t>
  </si>
  <si>
    <t>=SUM(E394-F394-G394)</t>
  </si>
  <si>
    <t>L394</t>
  </si>
  <si>
    <t>=SUM(J394+K394)/H394*100</t>
  </si>
  <si>
    <t>N394</t>
  </si>
  <si>
    <t>=SUM(L394-M394)</t>
  </si>
  <si>
    <t>O394</t>
  </si>
  <si>
    <t>=SUM(I394/H394)*1000</t>
  </si>
  <si>
    <t>C395</t>
  </si>
  <si>
    <t>57.1 - day 2</t>
  </si>
  <si>
    <t>E395</t>
  </si>
  <si>
    <t>=H394</t>
  </si>
  <si>
    <t>H395</t>
  </si>
  <si>
    <t>=SUM(E395-F395-G395)</t>
  </si>
  <si>
    <t>L395</t>
  </si>
  <si>
    <t>=SUM(J395+K395)/H395*100</t>
  </si>
  <si>
    <t>N395</t>
  </si>
  <si>
    <t>=SUM(L395-M395)</t>
  </si>
  <si>
    <t>O395</t>
  </si>
  <si>
    <t>=SUM(I395/H395)*1000</t>
  </si>
  <si>
    <t>C396</t>
  </si>
  <si>
    <t>57.2 - day 3</t>
  </si>
  <si>
    <t>E396</t>
  </si>
  <si>
    <t>=H395</t>
  </si>
  <si>
    <t>H396</t>
  </si>
  <si>
    <t>=SUM(E396-F396-G396)</t>
  </si>
  <si>
    <t>L396</t>
  </si>
  <si>
    <t>=SUM(J396+K396)/H396*100</t>
  </si>
  <si>
    <t>N396</t>
  </si>
  <si>
    <t>=SUM(L396-M396)</t>
  </si>
  <si>
    <t>O396</t>
  </si>
  <si>
    <t>=SUM(I396/H396)*1000</t>
  </si>
  <si>
    <t>C397</t>
  </si>
  <si>
    <t>57.3 - day 4</t>
  </si>
  <si>
    <t>E397</t>
  </si>
  <si>
    <t>=H396</t>
  </si>
  <si>
    <t>H397</t>
  </si>
  <si>
    <t>=SUM(E397-F397-G397)</t>
  </si>
  <si>
    <t>L397</t>
  </si>
  <si>
    <t>=SUM(J397+K397)/H397*100</t>
  </si>
  <si>
    <t>N397</t>
  </si>
  <si>
    <t>=SUM(L397-M397)</t>
  </si>
  <si>
    <t>O397</t>
  </si>
  <si>
    <t>=SUM(I397/H397)*1000</t>
  </si>
  <si>
    <t>C398</t>
  </si>
  <si>
    <t>57.4 - day 5</t>
  </si>
  <si>
    <t>E398</t>
  </si>
  <si>
    <t>=H397</t>
  </si>
  <si>
    <t>H398</t>
  </si>
  <si>
    <t>=SUM(E398-F398-G398)</t>
  </si>
  <si>
    <t>L398</t>
  </si>
  <si>
    <t>=SUM(J398+K398)/H398*100</t>
  </si>
  <si>
    <t>N398</t>
  </si>
  <si>
    <t>=SUM(L398-M398)</t>
  </si>
  <si>
    <t>O398</t>
  </si>
  <si>
    <t>=SUM(I398/H398)*1000</t>
  </si>
  <si>
    <t>C399</t>
  </si>
  <si>
    <t>57.5 - day 6</t>
  </si>
  <si>
    <t>E399</t>
  </si>
  <si>
    <t>=H398</t>
  </si>
  <si>
    <t>H399</t>
  </si>
  <si>
    <t>=SUM(E399-F399-G399)</t>
  </si>
  <si>
    <t>L399</t>
  </si>
  <si>
    <t>=SUM(J399+K399)/H399*100</t>
  </si>
  <si>
    <t>N399</t>
  </si>
  <si>
    <t>=SUM(L399-M399)</t>
  </si>
  <si>
    <t>O399</t>
  </si>
  <si>
    <t>=SUM(I399/H399)*1000</t>
  </si>
  <si>
    <t>C400</t>
  </si>
  <si>
    <t>57.6 - day 7</t>
  </si>
  <si>
    <t>E400</t>
  </si>
  <si>
    <t>=H399</t>
  </si>
  <si>
    <t>H400</t>
  </si>
  <si>
    <t>=SUM(E400-F400-G400)</t>
  </si>
  <si>
    <t>L400</t>
  </si>
  <si>
    <t>=SUM(J400+K400)/H400*100</t>
  </si>
  <si>
    <t>N400</t>
  </si>
  <si>
    <t>=SUM(L400-M400)</t>
  </si>
  <si>
    <t>O400</t>
  </si>
  <si>
    <t>=SUM(I400/H400)*1000</t>
  </si>
  <si>
    <t>C401</t>
  </si>
  <si>
    <t>58.0 - day 1</t>
  </si>
  <si>
    <t>E401</t>
  </si>
  <si>
    <t>=H400</t>
  </si>
  <si>
    <t>H401</t>
  </si>
  <si>
    <t>=SUM(E401-F401-G401)</t>
  </si>
  <si>
    <t>L401</t>
  </si>
  <si>
    <t>=SUM(J401+K401)/H401*100</t>
  </si>
  <si>
    <t>N401</t>
  </si>
  <si>
    <t>=SUM(L401-M401)</t>
  </si>
  <si>
    <t>O401</t>
  </si>
  <si>
    <t>=SUM(I401/H401)*1000</t>
  </si>
  <si>
    <t>C402</t>
  </si>
  <si>
    <t>58.1 - day 2</t>
  </si>
  <si>
    <t>E402</t>
  </si>
  <si>
    <t>=H401</t>
  </si>
  <si>
    <t>H402</t>
  </si>
  <si>
    <t>=SUM(E402-F402-G402)</t>
  </si>
  <si>
    <t>L402</t>
  </si>
  <si>
    <t>=SUM(J402+K402)/H402*100</t>
  </si>
  <si>
    <t>N402</t>
  </si>
  <si>
    <t>=SUM(L402-M402)</t>
  </si>
  <si>
    <t>O402</t>
  </si>
  <si>
    <t>=SUM(I402/H402)*1000</t>
  </si>
  <si>
    <t>C403</t>
  </si>
  <si>
    <t>58.2 - day 3</t>
  </si>
  <si>
    <t>E403</t>
  </si>
  <si>
    <t>=H402</t>
  </si>
  <si>
    <t>H403</t>
  </si>
  <si>
    <t>=SUM(E403-F403-G403)</t>
  </si>
  <si>
    <t>L403</t>
  </si>
  <si>
    <t>=SUM(J403+K403)/H403*100</t>
  </si>
  <si>
    <t>N403</t>
  </si>
  <si>
    <t>=SUM(L403-M403)</t>
  </si>
  <si>
    <t>O403</t>
  </si>
  <si>
    <t>=SUM(I403/H403)*1000</t>
  </si>
  <si>
    <t>C404</t>
  </si>
  <si>
    <t>58.3 - day 4</t>
  </si>
  <si>
    <t>E404</t>
  </si>
  <si>
    <t>=H403</t>
  </si>
  <si>
    <t>H404</t>
  </si>
  <si>
    <t>=SUM(E404-F404-G404)</t>
  </si>
  <si>
    <t>L404</t>
  </si>
  <si>
    <t>=SUM(J404+K404)/H404*100</t>
  </si>
  <si>
    <t>N404</t>
  </si>
  <si>
    <t>=SUM(L404-M404)</t>
  </si>
  <si>
    <t>O404</t>
  </si>
  <si>
    <t>=SUM(I404/H404)*1000</t>
  </si>
  <si>
    <t>C405</t>
  </si>
  <si>
    <t>58.4 - day 5</t>
  </si>
  <si>
    <t>E405</t>
  </si>
  <si>
    <t>=H404</t>
  </si>
  <si>
    <t>H405</t>
  </si>
  <si>
    <t>=SUM(E405-F405-G405)</t>
  </si>
  <si>
    <t>L405</t>
  </si>
  <si>
    <t>=SUM(J405+K405)/H405*100</t>
  </si>
  <si>
    <t>N405</t>
  </si>
  <si>
    <t>=SUM(L405-M405)</t>
  </si>
  <si>
    <t>O405</t>
  </si>
  <si>
    <t>=SUM(I405/H405)*1000</t>
  </si>
  <si>
    <t>C406</t>
  </si>
  <si>
    <t>58.5 - day 6</t>
  </si>
  <si>
    <t>E406</t>
  </si>
  <si>
    <t>=H405</t>
  </si>
  <si>
    <t>H406</t>
  </si>
  <si>
    <t>=SUM(E406-F406-G406)</t>
  </si>
  <si>
    <t>L406</t>
  </si>
  <si>
    <t>=SUM(J406+K406)/H406*100</t>
  </si>
  <si>
    <t>N406</t>
  </si>
  <si>
    <t>=SUM(L406-M406)</t>
  </si>
  <si>
    <t>O406</t>
  </si>
  <si>
    <t>=SUM(I406/H406)*1000</t>
  </si>
  <si>
    <t>C407</t>
  </si>
  <si>
    <t>58.6 - day 7</t>
  </si>
  <si>
    <t>E407</t>
  </si>
  <si>
    <t>=H406</t>
  </si>
  <si>
    <t>H407</t>
  </si>
  <si>
    <t>=SUM(E407-F407-G407)</t>
  </si>
  <si>
    <t>L407</t>
  </si>
  <si>
    <t>=SUM(J407+K407)/H407*100</t>
  </si>
  <si>
    <t>N407</t>
  </si>
  <si>
    <t>=SUM(L407-M407)</t>
  </si>
  <si>
    <t>O407</t>
  </si>
  <si>
    <t>=SUM(I407/H407)*1000</t>
  </si>
  <si>
    <t>C408</t>
  </si>
  <si>
    <t>59.0 - day 1</t>
  </si>
  <si>
    <t>E408</t>
  </si>
  <si>
    <t>=H407</t>
  </si>
  <si>
    <t>H408</t>
  </si>
  <si>
    <t>=SUM(E408-F408-G408)</t>
  </si>
  <si>
    <t>L408</t>
  </si>
  <si>
    <t>=SUM(J408+K408)/H408*100</t>
  </si>
  <si>
    <t>N408</t>
  </si>
  <si>
    <t>=SUM(L408-M408)</t>
  </si>
  <si>
    <t>O408</t>
  </si>
  <si>
    <t>=SUM(I408/H408)*1000</t>
  </si>
  <si>
    <t>C409</t>
  </si>
  <si>
    <t>59.1 - day 2</t>
  </si>
  <si>
    <t>E409</t>
  </si>
  <si>
    <t>=H408</t>
  </si>
  <si>
    <t>H409</t>
  </si>
  <si>
    <t>=SUM(E409-F409-G409)</t>
  </si>
  <si>
    <t>L409</t>
  </si>
  <si>
    <t>=SUM(J409+K409)/H409*100</t>
  </si>
  <si>
    <t>N409</t>
  </si>
  <si>
    <t>=SUM(L409-M409)</t>
  </si>
  <si>
    <t>O409</t>
  </si>
  <si>
    <t>=SUM(I409/H409)*1000</t>
  </si>
  <si>
    <t>C410</t>
  </si>
  <si>
    <t>59.2 - day 3</t>
  </si>
  <si>
    <t>E410</t>
  </si>
  <si>
    <t>=H409</t>
  </si>
  <si>
    <t>H410</t>
  </si>
  <si>
    <t>=SUM(E410-F410-G410)</t>
  </si>
  <si>
    <t>L410</t>
  </si>
  <si>
    <t>=SUM(J410+K410)/H410*100</t>
  </si>
  <si>
    <t>N410</t>
  </si>
  <si>
    <t>=SUM(L410-M410)</t>
  </si>
  <si>
    <t>O410</t>
  </si>
  <si>
    <t>=SUM(I410/H410)*1000</t>
  </si>
  <si>
    <t>C411</t>
  </si>
  <si>
    <t>59.3 - day 4</t>
  </si>
  <si>
    <t>E411</t>
  </si>
  <si>
    <t>=H410</t>
  </si>
  <si>
    <t>H411</t>
  </si>
  <si>
    <t>=SUM(E411-F411-G411)</t>
  </si>
  <si>
    <t>L411</t>
  </si>
  <si>
    <t>=SUM(J411+K411)/H411*100</t>
  </si>
  <si>
    <t>N411</t>
  </si>
  <si>
    <t>=SUM(L411-M411)</t>
  </si>
  <si>
    <t>O411</t>
  </si>
  <si>
    <t>=SUM(I411/H411)*1000</t>
  </si>
  <si>
    <t>C412</t>
  </si>
  <si>
    <t>59.4 - day 5</t>
  </si>
  <si>
    <t>E412</t>
  </si>
  <si>
    <t>=H411</t>
  </si>
  <si>
    <t>H412</t>
  </si>
  <si>
    <t>=SUM(E412-F412-G412)</t>
  </si>
  <si>
    <t>L412</t>
  </si>
  <si>
    <t>=SUM(J412+K412)/H412*100</t>
  </si>
  <si>
    <t>N412</t>
  </si>
  <si>
    <t>=SUM(L412-M412)</t>
  </si>
  <si>
    <t>O412</t>
  </si>
  <si>
    <t>=SUM(I412/H412)*1000</t>
  </si>
  <si>
    <t>C413</t>
  </si>
  <si>
    <t>59.5 - day 6</t>
  </si>
  <si>
    <t>E413</t>
  </si>
  <si>
    <t>=H412</t>
  </si>
  <si>
    <t>H413</t>
  </si>
  <si>
    <t>=SUM(E413-F413-G413)</t>
  </si>
  <si>
    <t>L413</t>
  </si>
  <si>
    <t>=SUM(J413+K413)/H413*100</t>
  </si>
  <si>
    <t>N413</t>
  </si>
  <si>
    <t>=SUM(L413-M413)</t>
  </si>
  <si>
    <t>O413</t>
  </si>
  <si>
    <t>=SUM(I413/H413)*1000</t>
  </si>
  <si>
    <t>C414</t>
  </si>
  <si>
    <t>59.6 - day 7</t>
  </si>
  <si>
    <t>E414</t>
  </si>
  <si>
    <t>=H413</t>
  </si>
  <si>
    <t>H414</t>
  </si>
  <si>
    <t>=SUM(E414-F414-G414)</t>
  </si>
  <si>
    <t>L414</t>
  </si>
  <si>
    <t>=SUM(J414+K414)/H414*100</t>
  </si>
  <si>
    <t>N414</t>
  </si>
  <si>
    <t>=SUM(L414-M414)</t>
  </si>
  <si>
    <t>O414</t>
  </si>
  <si>
    <t>=SUM(I414/H414)*1000</t>
  </si>
  <si>
    <t>C415</t>
  </si>
  <si>
    <t>60.0 - day 1</t>
  </si>
  <si>
    <t>E415</t>
  </si>
  <si>
    <t>=H414</t>
  </si>
  <si>
    <t>H415</t>
  </si>
  <si>
    <t>=SUM(E415-F415-G415)</t>
  </si>
  <si>
    <t>L415</t>
  </si>
  <si>
    <t>=SUM(J415+K415)/H415*100</t>
  </si>
  <si>
    <t>N415</t>
  </si>
  <si>
    <t>=SUM(L415-M415)</t>
  </si>
  <si>
    <t>O415</t>
  </si>
  <si>
    <t>=SUM(I415/H415)*1000</t>
  </si>
  <si>
    <t>C416</t>
  </si>
  <si>
    <t>60.1 - day 2</t>
  </si>
  <si>
    <t>E416</t>
  </si>
  <si>
    <t>=H415</t>
  </si>
  <si>
    <t>H416</t>
  </si>
  <si>
    <t>=SUM(E416-F416-G416)</t>
  </si>
  <si>
    <t>L416</t>
  </si>
  <si>
    <t>=SUM(J416+K416)/H416*100</t>
  </si>
  <si>
    <t>N416</t>
  </si>
  <si>
    <t>=SUM(L416-M416)</t>
  </si>
  <si>
    <t>O416</t>
  </si>
  <si>
    <t>=SUM(I416/H416)*1000</t>
  </si>
  <si>
    <t>C417</t>
  </si>
  <si>
    <t>60.2 - day 3</t>
  </si>
  <si>
    <t>E417</t>
  </si>
  <si>
    <t>=H416</t>
  </si>
  <si>
    <t>H417</t>
  </si>
  <si>
    <t>=SUM(E417-F417-G417)</t>
  </si>
  <si>
    <t>L417</t>
  </si>
  <si>
    <t>=SUM(J417+K417)/H417*100</t>
  </si>
  <si>
    <t>N417</t>
  </si>
  <si>
    <t>=SUM(L417-M417)</t>
  </si>
  <si>
    <t>O417</t>
  </si>
  <si>
    <t>=SUM(I417/H417)*1000</t>
  </si>
  <si>
    <t>C418</t>
  </si>
  <si>
    <t>60.3 - day 4</t>
  </si>
  <si>
    <t>E418</t>
  </si>
  <si>
    <t>=H417</t>
  </si>
  <si>
    <t>H418</t>
  </si>
  <si>
    <t>=SUM(E418-F418-G418)</t>
  </si>
  <si>
    <t>L418</t>
  </si>
  <si>
    <t>=SUM(J418+K418)/H418*100</t>
  </si>
  <si>
    <t>N418</t>
  </si>
  <si>
    <t>=SUM(L418-M418)</t>
  </si>
  <si>
    <t>O418</t>
  </si>
  <si>
    <t>=SUM(I418/H418)*1000</t>
  </si>
  <si>
    <t>C419</t>
  </si>
  <si>
    <t>60.4 - day 5</t>
  </si>
  <si>
    <t>E419</t>
  </si>
  <si>
    <t>=H418</t>
  </si>
  <si>
    <t>H419</t>
  </si>
  <si>
    <t>=SUM(E419-F419-G419)</t>
  </si>
  <si>
    <t>L419</t>
  </si>
  <si>
    <t>=SUM(J419+K419)/H419*100</t>
  </si>
  <si>
    <t>N419</t>
  </si>
  <si>
    <t>=SUM(L419-M419)</t>
  </si>
  <si>
    <t>O419</t>
  </si>
  <si>
    <t>=SUM(I419/H419)*1000</t>
  </si>
  <si>
    <t>C420</t>
  </si>
  <si>
    <t>60.5 - day 6</t>
  </si>
  <si>
    <t>E420</t>
  </si>
  <si>
    <t>=H419</t>
  </si>
  <si>
    <t>H420</t>
  </si>
  <si>
    <t>=SUM(E420-F420-G420)</t>
  </si>
  <si>
    <t>L420</t>
  </si>
  <si>
    <t>=SUM(J420+K420)/H420*100</t>
  </si>
  <si>
    <t>N420</t>
  </si>
  <si>
    <t>=SUM(L420-M420)</t>
  </si>
  <si>
    <t>O420</t>
  </si>
  <si>
    <t>=SUM(I420/H420)*1000</t>
  </si>
  <si>
    <t>C421</t>
  </si>
  <si>
    <t>60.6 - day 7</t>
  </si>
  <si>
    <t>E421</t>
  </si>
  <si>
    <t>=H420</t>
  </si>
  <si>
    <t>H421</t>
  </si>
  <si>
    <t>=SUM(E421-F421-G421)</t>
  </si>
  <si>
    <t>L421</t>
  </si>
  <si>
    <t>=SUM(J421+K421)/H421*100</t>
  </si>
  <si>
    <t>N421</t>
  </si>
  <si>
    <t>=SUM(L421-M421)</t>
  </si>
  <si>
    <t>O421</t>
  </si>
  <si>
    <t>=SUM(I421/H421)*1000</t>
  </si>
  <si>
    <t>C422</t>
  </si>
  <si>
    <t>61.0 - day 1</t>
  </si>
  <si>
    <t>E422</t>
  </si>
  <si>
    <t>=H421</t>
  </si>
  <si>
    <t>H422</t>
  </si>
  <si>
    <t>=SUM(E422-F422-G422)</t>
  </si>
  <si>
    <t>L422</t>
  </si>
  <si>
    <t>=SUM(J422+K422)/H422*100</t>
  </si>
  <si>
    <t>N422</t>
  </si>
  <si>
    <t>=SUM(L422-M422)</t>
  </si>
  <si>
    <t>O422</t>
  </si>
  <si>
    <t>=SUM(I422/H422)*1000</t>
  </si>
  <si>
    <t>C423</t>
  </si>
  <si>
    <t>61.1 - day 2</t>
  </si>
  <si>
    <t>E423</t>
  </si>
  <si>
    <t>=H422</t>
  </si>
  <si>
    <t>H423</t>
  </si>
  <si>
    <t>=SUM(E423-F423-G423)</t>
  </si>
  <si>
    <t>L423</t>
  </si>
  <si>
    <t>=SUM(J423+K423)/H423*100</t>
  </si>
  <si>
    <t>N423</t>
  </si>
  <si>
    <t>=SUM(L423-M423)</t>
  </si>
  <si>
    <t>O423</t>
  </si>
  <si>
    <t>=SUM(I423/H423)*1000</t>
  </si>
  <si>
    <t>C424</t>
  </si>
  <si>
    <t>61.2 - day 3</t>
  </si>
  <si>
    <t>E424</t>
  </si>
  <si>
    <t>=H423</t>
  </si>
  <si>
    <t>H424</t>
  </si>
  <si>
    <t>=SUM(E424-F424-G424)</t>
  </si>
  <si>
    <t>L424</t>
  </si>
  <si>
    <t>=SUM(J424+K424)/H424*100</t>
  </si>
  <si>
    <t>N424</t>
  </si>
  <si>
    <t>=SUM(L424-M424)</t>
  </si>
  <si>
    <t>O424</t>
  </si>
  <si>
    <t>=SUM(I424/H424)*1000</t>
  </si>
  <si>
    <t>C425</t>
  </si>
  <si>
    <t>61.3 - day 4</t>
  </si>
  <si>
    <t>E425</t>
  </si>
  <si>
    <t>=H424</t>
  </si>
  <si>
    <t>H425</t>
  </si>
  <si>
    <t>=SUM(E425-F425-G425)</t>
  </si>
  <si>
    <t>L425</t>
  </si>
  <si>
    <t>=SUM(J425+K425)/H425*100</t>
  </si>
  <si>
    <t>N425</t>
  </si>
  <si>
    <t>=SUM(L425-M425)</t>
  </si>
  <si>
    <t>O425</t>
  </si>
  <si>
    <t>=SUM(I425/H425)*1000</t>
  </si>
  <si>
    <t>C426</t>
  </si>
  <si>
    <t>61.4 - day 5</t>
  </si>
  <si>
    <t>E426</t>
  </si>
  <si>
    <t>=H425</t>
  </si>
  <si>
    <t>H426</t>
  </si>
  <si>
    <t>=SUM(E426-F426-G426)</t>
  </si>
  <si>
    <t>L426</t>
  </si>
  <si>
    <t>=SUM(J426+K426)/H426*100</t>
  </si>
  <si>
    <t>N426</t>
  </si>
  <si>
    <t>=SUM(L426-M426)</t>
  </si>
  <si>
    <t>O426</t>
  </si>
  <si>
    <t>=SUM(I426/H426)*1000</t>
  </si>
  <si>
    <t>C427</t>
  </si>
  <si>
    <t>61.5 - day 6</t>
  </si>
  <si>
    <t>E427</t>
  </si>
  <si>
    <t>=H426</t>
  </si>
  <si>
    <t>H427</t>
  </si>
  <si>
    <t>=SUM(E427-F427-G427)</t>
  </si>
  <si>
    <t>L427</t>
  </si>
  <si>
    <t>=SUM(J427+K427)/H427*100</t>
  </si>
  <si>
    <t>N427</t>
  </si>
  <si>
    <t>=SUM(L427-M427)</t>
  </si>
  <si>
    <t>O427</t>
  </si>
  <si>
    <t>=SUM(I427/H427)*1000</t>
  </si>
  <si>
    <t>C428</t>
  </si>
  <si>
    <t>61.6 - day 7</t>
  </si>
  <si>
    <t>E428</t>
  </si>
  <si>
    <t>=H427</t>
  </si>
  <si>
    <t>H428</t>
  </si>
  <si>
    <t>=SUM(E428-F428-G428)</t>
  </si>
  <si>
    <t>L428</t>
  </si>
  <si>
    <t>=SUM(J428+K428)/H428*100</t>
  </si>
  <si>
    <t>N428</t>
  </si>
  <si>
    <t>=SUM(L428-M428)</t>
  </si>
  <si>
    <t>O428</t>
  </si>
  <si>
    <t>=SUM(I428/H428)*1000</t>
  </si>
  <si>
    <t>C429</t>
  </si>
  <si>
    <t>62.0 - day 1</t>
  </si>
  <si>
    <t>E429</t>
  </si>
  <si>
    <t>=H428</t>
  </si>
  <si>
    <t>H429</t>
  </si>
  <si>
    <t>=SUM(E429-F429-G429)</t>
  </si>
  <si>
    <t>L429</t>
  </si>
  <si>
    <t>=SUM(J429+K429)/H429*100</t>
  </si>
  <si>
    <t>N429</t>
  </si>
  <si>
    <t>=SUM(L429-M429)</t>
  </si>
  <si>
    <t>O429</t>
  </si>
  <si>
    <t>=SUM(I429/H429)*1000</t>
  </si>
  <si>
    <t>C430</t>
  </si>
  <si>
    <t>62.1 - day 2</t>
  </si>
  <si>
    <t>E430</t>
  </si>
  <si>
    <t>=H429</t>
  </si>
  <si>
    <t>H430</t>
  </si>
  <si>
    <t>=SUM(E430-F430-G430)</t>
  </si>
  <si>
    <t>L430</t>
  </si>
  <si>
    <t>=SUM(J430+K430)/H430*100</t>
  </si>
  <si>
    <t>N430</t>
  </si>
  <si>
    <t>=SUM(L430-M430)</t>
  </si>
  <si>
    <t>O430</t>
  </si>
  <si>
    <t>=SUM(I430/H430)*1000</t>
  </si>
  <si>
    <t>C431</t>
  </si>
  <si>
    <t>62.2 - day 3</t>
  </si>
  <si>
    <t>E431</t>
  </si>
  <si>
    <t>=H430</t>
  </si>
  <si>
    <t>H431</t>
  </si>
  <si>
    <t>=SUM(E431-F431-G431)</t>
  </si>
  <si>
    <t>L431</t>
  </si>
  <si>
    <t>=SUM(J431+K431)/H431*100</t>
  </si>
  <si>
    <t>N431</t>
  </si>
  <si>
    <t>=SUM(L431-M431)</t>
  </si>
  <si>
    <t>O431</t>
  </si>
  <si>
    <t>=SUM(I431/H431)*1000</t>
  </si>
  <si>
    <t>C432</t>
  </si>
  <si>
    <t>62.3 - day 4</t>
  </si>
  <si>
    <t>E432</t>
  </si>
  <si>
    <t>=H431</t>
  </si>
  <si>
    <t>H432</t>
  </si>
  <si>
    <t>=SUM(E432-F432-G432)</t>
  </si>
  <si>
    <t>L432</t>
  </si>
  <si>
    <t>=SUM(J432+K432)/H432*100</t>
  </si>
  <si>
    <t>N432</t>
  </si>
  <si>
    <t>=SUM(L432-M432)</t>
  </si>
  <si>
    <t>O432</t>
  </si>
  <si>
    <t>=SUM(I432/H432)*1000</t>
  </si>
  <si>
    <t>C433</t>
  </si>
  <si>
    <t>62.4 - day 5</t>
  </si>
  <si>
    <t>E433</t>
  </si>
  <si>
    <t>=H432</t>
  </si>
  <si>
    <t>H433</t>
  </si>
  <si>
    <t>=SUM(E433-F433-G433)</t>
  </si>
  <si>
    <t>L433</t>
  </si>
  <si>
    <t>=SUM(J433+K433)/H433*100</t>
  </si>
  <si>
    <t>N433</t>
  </si>
  <si>
    <t>=SUM(L433-M433)</t>
  </si>
  <si>
    <t>O433</t>
  </si>
  <si>
    <t>=SUM(I433/H433)*1000</t>
  </si>
  <si>
    <t>C434</t>
  </si>
  <si>
    <t>62.5 - day 6</t>
  </si>
  <si>
    <t>E434</t>
  </si>
  <si>
    <t>=H433</t>
  </si>
  <si>
    <t>H434</t>
  </si>
  <si>
    <t>=SUM(E434-F434-G434)</t>
  </si>
  <si>
    <t>L434</t>
  </si>
  <si>
    <t>=SUM(J434+K434)/H434*100</t>
  </si>
  <si>
    <t>N434</t>
  </si>
  <si>
    <t>=SUM(L434-M434)</t>
  </si>
  <si>
    <t>O434</t>
  </si>
  <si>
    <t>=SUM(I434/H434)*1000</t>
  </si>
  <si>
    <t>C435</t>
  </si>
  <si>
    <t>62.6 - day 7</t>
  </si>
  <si>
    <t>E435</t>
  </si>
  <si>
    <t>=H434</t>
  </si>
  <si>
    <t>H435</t>
  </si>
  <si>
    <t>=SUM(E435-F435-G435)</t>
  </si>
  <si>
    <t>L435</t>
  </si>
  <si>
    <t>=SUM(J435+K435)/H435*100</t>
  </si>
  <si>
    <t>N435</t>
  </si>
  <si>
    <t>=SUM(L435-M435)</t>
  </si>
  <si>
    <t>O435</t>
  </si>
  <si>
    <t>=SUM(I435/H435)*1000</t>
  </si>
  <si>
    <t>C436</t>
  </si>
  <si>
    <t>63.0 - day 1</t>
  </si>
  <si>
    <t>E436</t>
  </si>
  <si>
    <t>=H435</t>
  </si>
  <si>
    <t>H436</t>
  </si>
  <si>
    <t>=SUM(E436-F436-G436)</t>
  </si>
  <si>
    <t>L436</t>
  </si>
  <si>
    <t>=SUM(J436+K436)/H436*100</t>
  </si>
  <si>
    <t>N436</t>
  </si>
  <si>
    <t>=SUM(L436-M436)</t>
  </si>
  <si>
    <t>O436</t>
  </si>
  <si>
    <t>=SUM(I436/H436)*1000</t>
  </si>
  <si>
    <t>C437</t>
  </si>
  <si>
    <t>63.1 - day 2</t>
  </si>
  <si>
    <t>E437</t>
  </si>
  <si>
    <t>=H436</t>
  </si>
  <si>
    <t>H437</t>
  </si>
  <si>
    <t>=SUM(E437-F437-G437)</t>
  </si>
  <si>
    <t>L437</t>
  </si>
  <si>
    <t>=SUM(J437+K437)/H437*100</t>
  </si>
  <si>
    <t>N437</t>
  </si>
  <si>
    <t>=SUM(L437-M437)</t>
  </si>
  <si>
    <t>O437</t>
  </si>
  <si>
    <t>=SUM(I437/H437)*1000</t>
  </si>
  <si>
    <t>C438</t>
  </si>
  <si>
    <t>63.2 - day 3</t>
  </si>
  <si>
    <t>E438</t>
  </si>
  <si>
    <t>=H437</t>
  </si>
  <si>
    <t>H438</t>
  </si>
  <si>
    <t>=SUM(E438-F438-G438)</t>
  </si>
  <si>
    <t>L438</t>
  </si>
  <si>
    <t>=SUM(J438+K438)/H438*100</t>
  </si>
  <si>
    <t>N438</t>
  </si>
  <si>
    <t>=SUM(L438-M438)</t>
  </si>
  <si>
    <t>O438</t>
  </si>
  <si>
    <t>=SUM(I438/H438)*1000</t>
  </si>
  <si>
    <t>C439</t>
  </si>
  <si>
    <t>63.3 - day 4</t>
  </si>
  <si>
    <t>E439</t>
  </si>
  <si>
    <t>=H438</t>
  </si>
  <si>
    <t>H439</t>
  </si>
  <si>
    <t>=SUM(E439-F439-G439)</t>
  </si>
  <si>
    <t>L439</t>
  </si>
  <si>
    <t>=SUM(J439+K439)/H439*100</t>
  </si>
  <si>
    <t>N439</t>
  </si>
  <si>
    <t>=SUM(L439-M439)</t>
  </si>
  <si>
    <t>O439</t>
  </si>
  <si>
    <t>=SUM(I439/H439)*1000</t>
  </si>
  <si>
    <t>C440</t>
  </si>
  <si>
    <t>63.4 - day 5</t>
  </si>
  <si>
    <t>E440</t>
  </si>
  <si>
    <t>=H439</t>
  </si>
  <si>
    <t>H440</t>
  </si>
  <si>
    <t>=SUM(E440-F440-G440)</t>
  </si>
  <si>
    <t>L440</t>
  </si>
  <si>
    <t>=SUM(J440+K440)/H440*100</t>
  </si>
  <si>
    <t>N440</t>
  </si>
  <si>
    <t>=SUM(L440-M440)</t>
  </si>
  <si>
    <t>O440</t>
  </si>
  <si>
    <t>=SUM(I440/H440)*1000</t>
  </si>
  <si>
    <t>C441</t>
  </si>
  <si>
    <t>63.5 - day 6</t>
  </si>
  <si>
    <t>E441</t>
  </si>
  <si>
    <t>=H440</t>
  </si>
  <si>
    <t>H441</t>
  </si>
  <si>
    <t>=SUM(E441-F441-G441)</t>
  </si>
  <si>
    <t>L441</t>
  </si>
  <si>
    <t>=SUM(J441+K441)/H441*100</t>
  </si>
  <si>
    <t>N441</t>
  </si>
  <si>
    <t>=SUM(L441-M441)</t>
  </si>
  <si>
    <t>O441</t>
  </si>
  <si>
    <t>=SUM(I441/H441)*1000</t>
  </si>
  <si>
    <t>C442</t>
  </si>
  <si>
    <t>63.6 - day 7</t>
  </si>
  <si>
    <t>E442</t>
  </si>
  <si>
    <t>=H441</t>
  </si>
  <si>
    <t>H442</t>
  </si>
  <si>
    <t>=SUM(E442-F442-G442)</t>
  </si>
  <si>
    <t>L442</t>
  </si>
  <si>
    <t>=SUM(J442+K442)/H442*100</t>
  </si>
  <si>
    <t>N442</t>
  </si>
  <si>
    <t>=SUM(L442-M442)</t>
  </si>
  <si>
    <t>O442</t>
  </si>
  <si>
    <t>=SUM(I442/H442)*1000</t>
  </si>
  <si>
    <t>C443</t>
  </si>
  <si>
    <t>64.0 - day 1</t>
  </si>
  <si>
    <t>E443</t>
  </si>
  <si>
    <t>=H442</t>
  </si>
  <si>
    <t>H443</t>
  </si>
  <si>
    <t>=SUM(E443-F443-G443)</t>
  </si>
  <si>
    <t>L443</t>
  </si>
  <si>
    <t>=SUM(J443+K443)/H443*100</t>
  </si>
  <si>
    <t>N443</t>
  </si>
  <si>
    <t>=SUM(L443-M443)</t>
  </si>
  <si>
    <t>O443</t>
  </si>
  <si>
    <t>=SUM(I443/H443)*1000</t>
  </si>
  <si>
    <t>C444</t>
  </si>
  <si>
    <t>64.1 - day 2</t>
  </si>
  <si>
    <t>E444</t>
  </si>
  <si>
    <t>=H443</t>
  </si>
  <si>
    <t>H444</t>
  </si>
  <si>
    <t>=SUM(E444-F444-G444)</t>
  </si>
  <si>
    <t>L444</t>
  </si>
  <si>
    <t>=SUM(J444+K444)/H444*100</t>
  </si>
  <si>
    <t>N444</t>
  </si>
  <si>
    <t>=SUM(L444-M444)</t>
  </si>
  <si>
    <t>O444</t>
  </si>
  <si>
    <t>=SUM(I444/H444)*1000</t>
  </si>
  <si>
    <t>C445</t>
  </si>
  <si>
    <t>64.2 - day 3</t>
  </si>
  <si>
    <t>E445</t>
  </si>
  <si>
    <t>=H444</t>
  </si>
  <si>
    <t>H445</t>
  </si>
  <si>
    <t>=SUM(E445-F445-G445)</t>
  </si>
  <si>
    <t>L445</t>
  </si>
  <si>
    <t>=SUM(J445+K445)/H445*100</t>
  </si>
  <si>
    <t>N445</t>
  </si>
  <si>
    <t>=SUM(L445-M445)</t>
  </si>
  <si>
    <t>O445</t>
  </si>
  <si>
    <t>=SUM(I445/H445)*1000</t>
  </si>
  <si>
    <t>C446</t>
  </si>
  <si>
    <t>64.3 - day 4</t>
  </si>
  <si>
    <t>E446</t>
  </si>
  <si>
    <t>=H445</t>
  </si>
  <si>
    <t>H446</t>
  </si>
  <si>
    <t>=SUM(E446-F446-G446)</t>
  </si>
  <si>
    <t>L446</t>
  </si>
  <si>
    <t>=SUM(J446+K446)/H446*100</t>
  </si>
  <si>
    <t>N446</t>
  </si>
  <si>
    <t>=SUM(L446-M446)</t>
  </si>
  <si>
    <t>O446</t>
  </si>
  <si>
    <t>=SUM(I446/H446)*1000</t>
  </si>
  <si>
    <t>C447</t>
  </si>
  <si>
    <t>64.4 - day 5</t>
  </si>
  <si>
    <t>E447</t>
  </si>
  <si>
    <t>=H446</t>
  </si>
  <si>
    <t>H447</t>
  </si>
  <si>
    <t>=SUM(E447-F447-G447)</t>
  </si>
  <si>
    <t>L447</t>
  </si>
  <si>
    <t>=SUM(J447+K447)/H447*100</t>
  </si>
  <si>
    <t>N447</t>
  </si>
  <si>
    <t>=SUM(L447-M447)</t>
  </si>
  <si>
    <t>O447</t>
  </si>
  <si>
    <t>=SUM(I447/H447)*1000</t>
  </si>
  <si>
    <t>C448</t>
  </si>
  <si>
    <t>64.5 - day 6</t>
  </si>
  <si>
    <t>E448</t>
  </si>
  <si>
    <t>=H447</t>
  </si>
  <si>
    <t>H448</t>
  </si>
  <si>
    <t>=SUM(E448-F448-G448)</t>
  </si>
  <si>
    <t>L448</t>
  </si>
  <si>
    <t>=SUM(J448+K448)/H448*100</t>
  </si>
  <si>
    <t>N448</t>
  </si>
  <si>
    <t>=SUM(L448-M448)</t>
  </si>
  <si>
    <t>O448</t>
  </si>
  <si>
    <t>=SUM(I448/H448)*1000</t>
  </si>
  <si>
    <t>C449</t>
  </si>
  <si>
    <t>64.6 - day 7</t>
  </si>
  <si>
    <t>E449</t>
  </si>
  <si>
    <t>=H448</t>
  </si>
  <si>
    <t>H449</t>
  </si>
  <si>
    <t>=SUM(E449-F449-G449)</t>
  </si>
  <si>
    <t>L449</t>
  </si>
  <si>
    <t>=SUM(J449+K449)/H449*100</t>
  </si>
  <si>
    <t>N449</t>
  </si>
  <si>
    <t>=SUM(L449-M449)</t>
  </si>
  <si>
    <t>O449</t>
  </si>
  <si>
    <t>=SUM(I449/H449)*1000</t>
  </si>
  <si>
    <t>C450</t>
  </si>
  <si>
    <t>65.0 - day 1</t>
  </si>
  <si>
    <t>E450</t>
  </si>
  <si>
    <t>=H449</t>
  </si>
  <si>
    <t>H450</t>
  </si>
  <si>
    <t>=SUM(E450-F450-G450)</t>
  </si>
  <si>
    <t>L450</t>
  </si>
  <si>
    <t>=SUM(J450+K450)/H450*100</t>
  </si>
  <si>
    <t>N450</t>
  </si>
  <si>
    <t>=SUM(L450-M450)</t>
  </si>
  <si>
    <t>O450</t>
  </si>
  <si>
    <t>=SUM(I450/H450)*1000</t>
  </si>
  <si>
    <t>C451</t>
  </si>
  <si>
    <t>65.1 - day 2</t>
  </si>
  <si>
    <t>E451</t>
  </si>
  <si>
    <t>=H450</t>
  </si>
  <si>
    <t>H451</t>
  </si>
  <si>
    <t>=SUM(E451-F451-G451)</t>
  </si>
  <si>
    <t>L451</t>
  </si>
  <si>
    <t>=SUM(J451+K451)/H451*100</t>
  </si>
  <si>
    <t>N451</t>
  </si>
  <si>
    <t>=SUM(L451-M451)</t>
  </si>
  <si>
    <t>O451</t>
  </si>
  <si>
    <t>=SUM(I451/H451)*1000</t>
  </si>
  <si>
    <t>C452</t>
  </si>
  <si>
    <t>65.2 - day 3</t>
  </si>
  <si>
    <t>E452</t>
  </si>
  <si>
    <t>=H451</t>
  </si>
  <si>
    <t>H452</t>
  </si>
  <si>
    <t>=SUM(E452-F452-G452)</t>
  </si>
  <si>
    <t>L452</t>
  </si>
  <si>
    <t>=SUM(J452+K452)/H452*100</t>
  </si>
  <si>
    <t>N452</t>
  </si>
  <si>
    <t>=SUM(L452-M452)</t>
  </si>
  <si>
    <t>O452</t>
  </si>
  <si>
    <t>=SUM(I452/H452)*1000</t>
  </si>
  <si>
    <t>C453</t>
  </si>
  <si>
    <t>65.3 - day 4</t>
  </si>
  <si>
    <t>E453</t>
  </si>
  <si>
    <t>=H452</t>
  </si>
  <si>
    <t>H453</t>
  </si>
  <si>
    <t>=SUM(E453-F453-G453)</t>
  </si>
  <si>
    <t>L453</t>
  </si>
  <si>
    <t>=SUM(J453+K453)/H453*100</t>
  </si>
  <si>
    <t>N453</t>
  </si>
  <si>
    <t>=SUM(L453-M453)</t>
  </si>
  <si>
    <t>O453</t>
  </si>
  <si>
    <t>=SUM(I453/H453)*1000</t>
  </si>
  <si>
    <t>C454</t>
  </si>
  <si>
    <t>65.4 - day 5</t>
  </si>
  <si>
    <t>E454</t>
  </si>
  <si>
    <t>=H453</t>
  </si>
  <si>
    <t>H454</t>
  </si>
  <si>
    <t>=SUM(E454-F454-G454)</t>
  </si>
  <si>
    <t>L454</t>
  </si>
  <si>
    <t>=SUM(J454+K454)/H454*100</t>
  </si>
  <si>
    <t>N454</t>
  </si>
  <si>
    <t>=SUM(L454-M454)</t>
  </si>
  <si>
    <t>O454</t>
  </si>
  <si>
    <t>=SUM(I454/H454)*1000</t>
  </si>
  <si>
    <t>C455</t>
  </si>
  <si>
    <t>65.5 - day 6</t>
  </si>
  <si>
    <t>E455</t>
  </si>
  <si>
    <t>=H454</t>
  </si>
  <si>
    <t>H455</t>
  </si>
  <si>
    <t>=SUM(E455-F455-G455)</t>
  </si>
  <si>
    <t>L455</t>
  </si>
  <si>
    <t>=SUM(J455+K455)/H455*100</t>
  </si>
  <si>
    <t>N455</t>
  </si>
  <si>
    <t>=SUM(L455-M455)</t>
  </si>
  <si>
    <t>O455</t>
  </si>
  <si>
    <t>=SUM(I455/H455)*1000</t>
  </si>
  <si>
    <t>C456</t>
  </si>
  <si>
    <t>65.6 - day 7</t>
  </si>
  <si>
    <t>E456</t>
  </si>
  <si>
    <t>=H455</t>
  </si>
  <si>
    <t>H456</t>
  </si>
  <si>
    <t>=SUM(E456-F456-G456)</t>
  </si>
  <si>
    <t>L456</t>
  </si>
  <si>
    <t>=SUM(J456+K456)/H456*100</t>
  </si>
  <si>
    <t>N456</t>
  </si>
  <si>
    <t>=SUM(L456-M456)</t>
  </si>
  <si>
    <t>O456</t>
  </si>
  <si>
    <t>=SUM(I456/H456)*1000</t>
  </si>
  <si>
    <t>C457</t>
  </si>
  <si>
    <t>66.0 - day 1</t>
  </si>
  <si>
    <t>E457</t>
  </si>
  <si>
    <t>=H456</t>
  </si>
  <si>
    <t>H457</t>
  </si>
  <si>
    <t>=SUM(E457-F457-G457)</t>
  </si>
  <si>
    <t>L457</t>
  </si>
  <si>
    <t>=SUM(J457+K457)/H457*100</t>
  </si>
  <si>
    <t>N457</t>
  </si>
  <si>
    <t>=SUM(L457-M457)</t>
  </si>
  <si>
    <t>O457</t>
  </si>
  <si>
    <t>=SUM(I457/H457)*1000</t>
  </si>
  <si>
    <t>C458</t>
  </si>
  <si>
    <t>66.1 - day 2</t>
  </si>
  <si>
    <t>E458</t>
  </si>
  <si>
    <t>=H457</t>
  </si>
  <si>
    <t>H458</t>
  </si>
  <si>
    <t>=SUM(E458-F458-G458)</t>
  </si>
  <si>
    <t>L458</t>
  </si>
  <si>
    <t>=SUM(J458+K458)/H458*100</t>
  </si>
  <si>
    <t>N458</t>
  </si>
  <si>
    <t>=SUM(L458-M458)</t>
  </si>
  <si>
    <t>O458</t>
  </si>
  <si>
    <t>=SUM(I458/H458)*1000</t>
  </si>
  <si>
    <t>C459</t>
  </si>
  <si>
    <t>66.2 - day 3</t>
  </si>
  <si>
    <t>E459</t>
  </si>
  <si>
    <t>=H458</t>
  </si>
  <si>
    <t>H459</t>
  </si>
  <si>
    <t>=SUM(E459-F459-G459)</t>
  </si>
  <si>
    <t>L459</t>
  </si>
  <si>
    <t>=SUM(J459+K459)/H459*100</t>
  </si>
  <si>
    <t>N459</t>
  </si>
  <si>
    <t>=SUM(L459-M459)</t>
  </si>
  <si>
    <t>O459</t>
  </si>
  <si>
    <t>=SUM(I459/H459)*1000</t>
  </si>
  <si>
    <t>C460</t>
  </si>
  <si>
    <t>66.3 - day 4</t>
  </si>
  <si>
    <t>E460</t>
  </si>
  <si>
    <t>=H459</t>
  </si>
  <si>
    <t>H460</t>
  </si>
  <si>
    <t>=SUM(E460-F460-G460)</t>
  </si>
  <si>
    <t>L460</t>
  </si>
  <si>
    <t>=SUM(J460+K460)/H460*100</t>
  </si>
  <si>
    <t>N460</t>
  </si>
  <si>
    <t>=SUM(L460-M460)</t>
  </si>
  <si>
    <t>O460</t>
  </si>
  <si>
    <t>=SUM(I460/H460)*1000</t>
  </si>
  <si>
    <t>C461</t>
  </si>
  <si>
    <t>66.4 - day 5</t>
  </si>
  <si>
    <t>E461</t>
  </si>
  <si>
    <t>=H460</t>
  </si>
  <si>
    <t>H461</t>
  </si>
  <si>
    <t>=SUM(E461-F461-G461)</t>
  </si>
  <si>
    <t>L461</t>
  </si>
  <si>
    <t>=SUM(J461+K461)/H461*100</t>
  </si>
  <si>
    <t>N461</t>
  </si>
  <si>
    <t>=SUM(L461-M461)</t>
  </si>
  <si>
    <t>O461</t>
  </si>
  <si>
    <t>=SUM(I461/H461)*1000</t>
  </si>
  <si>
    <t>C462</t>
  </si>
  <si>
    <t>66.5 - day 6</t>
  </si>
  <si>
    <t>E462</t>
  </si>
  <si>
    <t>=H461</t>
  </si>
  <si>
    <t>H462</t>
  </si>
  <si>
    <t>=SUM(E462-F462-G462)</t>
  </si>
  <si>
    <t>L462</t>
  </si>
  <si>
    <t>=SUM(J462+K462)/H462*100</t>
  </si>
  <si>
    <t>N462</t>
  </si>
  <si>
    <t>=SUM(L462-M462)</t>
  </si>
  <si>
    <t>O462</t>
  </si>
  <si>
    <t>=SUM(I462/H462)*1000</t>
  </si>
  <si>
    <t>C463</t>
  </si>
  <si>
    <t>66.6 - day 7</t>
  </si>
  <si>
    <t>E463</t>
  </si>
  <si>
    <t>=H462</t>
  </si>
  <si>
    <t>H463</t>
  </si>
  <si>
    <t>=SUM(E463-F463-G463)</t>
  </si>
  <si>
    <t>L463</t>
  </si>
  <si>
    <t>=SUM(J463+K463)/H463*100</t>
  </si>
  <si>
    <t>N463</t>
  </si>
  <si>
    <t>=SUM(L463-M463)</t>
  </si>
  <si>
    <t>O463</t>
  </si>
  <si>
    <t>=SUM(I463/H463)*1000</t>
  </si>
  <si>
    <t>C464</t>
  </si>
  <si>
    <t>67.0 - day 1</t>
  </si>
  <si>
    <t>E464</t>
  </si>
  <si>
    <t>=H463</t>
  </si>
  <si>
    <t>H464</t>
  </si>
  <si>
    <t>=SUM(E464-F464-G464)</t>
  </si>
  <si>
    <t>L464</t>
  </si>
  <si>
    <t>=SUM(J464+K464)/H464*100</t>
  </si>
  <si>
    <t>N464</t>
  </si>
  <si>
    <t>=SUM(L464-M464)</t>
  </si>
  <si>
    <t>O464</t>
  </si>
  <si>
    <t>=SUM(I464/H464)*1000</t>
  </si>
  <si>
    <t>C465</t>
  </si>
  <si>
    <t>67.1 - day 2</t>
  </si>
  <si>
    <t>E465</t>
  </si>
  <si>
    <t>=H464</t>
  </si>
  <si>
    <t>H465</t>
  </si>
  <si>
    <t>=SUM(E465-F465-G465)</t>
  </si>
  <si>
    <t>L465</t>
  </si>
  <si>
    <t>=SUM(J465+K465)/H465*100</t>
  </si>
  <si>
    <t>N465</t>
  </si>
  <si>
    <t>=SUM(L465-M465)</t>
  </si>
  <si>
    <t>O465</t>
  </si>
  <si>
    <t>=SUM(I465/H465)*1000</t>
  </si>
  <si>
    <t>C466</t>
  </si>
  <si>
    <t>67.2 - day 3</t>
  </si>
  <si>
    <t>E466</t>
  </si>
  <si>
    <t>=H465</t>
  </si>
  <si>
    <t>H466</t>
  </si>
  <si>
    <t>=SUM(E466-F466-G466)</t>
  </si>
  <si>
    <t>L466</t>
  </si>
  <si>
    <t>=SUM(J466+K466)/H466*100</t>
  </si>
  <si>
    <t>N466</t>
  </si>
  <si>
    <t>=SUM(L466-M466)</t>
  </si>
  <si>
    <t>O466</t>
  </si>
  <si>
    <t>=SUM(I466/H466)*1000</t>
  </si>
  <si>
    <t>C467</t>
  </si>
  <si>
    <t>67.3 - day 4</t>
  </si>
  <si>
    <t>E467</t>
  </si>
  <si>
    <t>=H466</t>
  </si>
  <si>
    <t>H467</t>
  </si>
  <si>
    <t>=SUM(E467-F467-G467)</t>
  </si>
  <si>
    <t>L467</t>
  </si>
  <si>
    <t>=SUM(J467+K467)/H467*100</t>
  </si>
  <si>
    <t>N467</t>
  </si>
  <si>
    <t>=SUM(L467-M467)</t>
  </si>
  <si>
    <t>O467</t>
  </si>
  <si>
    <t>=SUM(I467/H467)*1000</t>
  </si>
  <si>
    <t>C468</t>
  </si>
  <si>
    <t>67.4 - day 5</t>
  </si>
  <si>
    <t>E468</t>
  </si>
  <si>
    <t>=H467</t>
  </si>
  <si>
    <t>H468</t>
  </si>
  <si>
    <t>=SUM(E468-F468-G468)</t>
  </si>
  <si>
    <t>L468</t>
  </si>
  <si>
    <t>=SUM(J468+K468)/H468*100</t>
  </si>
  <si>
    <t>N468</t>
  </si>
  <si>
    <t>=SUM(L468-M468)</t>
  </si>
  <si>
    <t>O468</t>
  </si>
  <si>
    <t>=SUM(I468/H468)*1000</t>
  </si>
  <si>
    <t>C469</t>
  </si>
  <si>
    <t>67.5 - day 6</t>
  </si>
  <si>
    <t>E469</t>
  </si>
  <si>
    <t>=H468</t>
  </si>
  <si>
    <t>H469</t>
  </si>
  <si>
    <t>=SUM(E469-F469-G469)</t>
  </si>
  <si>
    <t>L469</t>
  </si>
  <si>
    <t>=SUM(J469+K469)/H469*100</t>
  </si>
  <si>
    <t>N469</t>
  </si>
  <si>
    <t>=SUM(L469-M469)</t>
  </si>
  <si>
    <t>O469</t>
  </si>
  <si>
    <t>=SUM(I469/H469)*1000</t>
  </si>
  <si>
    <t>C470</t>
  </si>
  <si>
    <t>67.6 - day 7</t>
  </si>
  <si>
    <t>E470</t>
  </si>
  <si>
    <t>=H469</t>
  </si>
  <si>
    <t>H470</t>
  </si>
  <si>
    <t>=SUM(E470-F470-G470)</t>
  </si>
  <si>
    <t>L470</t>
  </si>
  <si>
    <t>=SUM(J470+K470)/H470*100</t>
  </si>
  <si>
    <t>N470</t>
  </si>
  <si>
    <t>=SUM(L470-M470)</t>
  </si>
  <si>
    <t>O470</t>
  </si>
  <si>
    <t>=SUM(I470/H470)*1000</t>
  </si>
  <si>
    <t>C471</t>
  </si>
  <si>
    <t>68.0 - day 1</t>
  </si>
  <si>
    <t>E471</t>
  </si>
  <si>
    <t>=H470</t>
  </si>
  <si>
    <t>H471</t>
  </si>
  <si>
    <t>=SUM(E471-F471-G471)</t>
  </si>
  <si>
    <t>L471</t>
  </si>
  <si>
    <t>=SUM(J471+K471)/H471*100</t>
  </si>
  <si>
    <t>N471</t>
  </si>
  <si>
    <t>=SUM(L471-M471)</t>
  </si>
  <si>
    <t>O471</t>
  </si>
  <si>
    <t>=SUM(I471/H471)*1000</t>
  </si>
  <si>
    <t>C472</t>
  </si>
  <si>
    <t>68.1 - day 2</t>
  </si>
  <si>
    <t>E472</t>
  </si>
  <si>
    <t>=H471</t>
  </si>
  <si>
    <t>H472</t>
  </si>
  <si>
    <t>=SUM(E472-F472-G472)</t>
  </si>
  <si>
    <t>L472</t>
  </si>
  <si>
    <t>=SUM(J472+K472)/H472*100</t>
  </si>
  <si>
    <t>N472</t>
  </si>
  <si>
    <t>=SUM(L472-M472)</t>
  </si>
  <si>
    <t>O472</t>
  </si>
  <si>
    <t>=SUM(I472/H472)*1000</t>
  </si>
  <si>
    <t>C473</t>
  </si>
  <si>
    <t>68.2 - day 3</t>
  </si>
  <si>
    <t>E473</t>
  </si>
  <si>
    <t>=H472</t>
  </si>
  <si>
    <t>H473</t>
  </si>
  <si>
    <t>=SUM(E473-F473-G473)</t>
  </si>
  <si>
    <t>L473</t>
  </si>
  <si>
    <t>=SUM(J473+K473)/H473*100</t>
  </si>
  <si>
    <t>N473</t>
  </si>
  <si>
    <t>=SUM(L473-M473)</t>
  </si>
  <si>
    <t>O473</t>
  </si>
  <si>
    <t>=SUM(I473/H473)*1000</t>
  </si>
  <si>
    <t>C474</t>
  </si>
  <si>
    <t>68.3 - day 4</t>
  </si>
  <si>
    <t>E474</t>
  </si>
  <si>
    <t>=H473</t>
  </si>
  <si>
    <t>H474</t>
  </si>
  <si>
    <t>=SUM(E474-F474-G474)</t>
  </si>
  <si>
    <t>L474</t>
  </si>
  <si>
    <t>=SUM(J474+K474)/H474*100</t>
  </si>
  <si>
    <t>N474</t>
  </si>
  <si>
    <t>=SUM(L474-M474)</t>
  </si>
  <si>
    <t>O474</t>
  </si>
  <si>
    <t>=SUM(I474/H474)*1000</t>
  </si>
  <si>
    <t>C475</t>
  </si>
  <si>
    <t>68.4 - day 5</t>
  </si>
  <si>
    <t>E475</t>
  </si>
  <si>
    <t>=H474</t>
  </si>
  <si>
    <t>H475</t>
  </si>
  <si>
    <t>=SUM(E475-F475-G475)</t>
  </si>
  <si>
    <t>L475</t>
  </si>
  <si>
    <t>=SUM(J475+K475)/H475*100</t>
  </si>
  <si>
    <t>N475</t>
  </si>
  <si>
    <t>=SUM(L475-M475)</t>
  </si>
  <si>
    <t>O475</t>
  </si>
  <si>
    <t>=SUM(I475/H475)*1000</t>
  </si>
  <si>
    <t>C476</t>
  </si>
  <si>
    <t>68.5 - day 6</t>
  </si>
  <si>
    <t>E476</t>
  </si>
  <si>
    <t>=H475</t>
  </si>
  <si>
    <t>H476</t>
  </si>
  <si>
    <t>=SUM(E476-F476-G476)</t>
  </si>
  <si>
    <t>L476</t>
  </si>
  <si>
    <t>=SUM(J476+K476)/H476*100</t>
  </si>
  <si>
    <t>N476</t>
  </si>
  <si>
    <t>=SUM(L476-M476)</t>
  </si>
  <si>
    <t>O476</t>
  </si>
  <si>
    <t>=SUM(I476/H476)*1000</t>
  </si>
  <si>
    <t>C477</t>
  </si>
  <si>
    <t>68.6 - day 7</t>
  </si>
  <si>
    <t>E477</t>
  </si>
  <si>
    <t>=H476</t>
  </si>
  <si>
    <t>H477</t>
  </si>
  <si>
    <t>=SUM(E477-F477-G477)</t>
  </si>
  <si>
    <t>L477</t>
  </si>
  <si>
    <t>=SUM(J477+K477)/H477*100</t>
  </si>
  <si>
    <t>N477</t>
  </si>
  <si>
    <t>=SUM(L477-M477)</t>
  </si>
  <si>
    <t>O477</t>
  </si>
  <si>
    <t>=SUM(I477/H477)*1000</t>
  </si>
  <si>
    <t>C478</t>
  </si>
  <si>
    <t>69.0 - day 1</t>
  </si>
  <si>
    <t>E478</t>
  </si>
  <si>
    <t>=H477</t>
  </si>
  <si>
    <t>H478</t>
  </si>
  <si>
    <t>=SUM(E478-F478-G478)</t>
  </si>
  <si>
    <t>L478</t>
  </si>
  <si>
    <t>=SUM(J478+K478)/H478*100</t>
  </si>
  <si>
    <t>N478</t>
  </si>
  <si>
    <t>=SUM(L478-M478)</t>
  </si>
  <si>
    <t>O478</t>
  </si>
  <si>
    <t>=SUM(I478/H478)*1000</t>
  </si>
  <si>
    <t>C479</t>
  </si>
  <si>
    <t>69.1 - day 2</t>
  </si>
  <si>
    <t>E479</t>
  </si>
  <si>
    <t>=H478</t>
  </si>
  <si>
    <t>H479</t>
  </si>
  <si>
    <t>=SUM(E479-F479-G479)</t>
  </si>
  <si>
    <t>L479</t>
  </si>
  <si>
    <t>=SUM(J479+K479)/H479*100</t>
  </si>
  <si>
    <t>N479</t>
  </si>
  <si>
    <t>=SUM(L479-M479)</t>
  </si>
  <si>
    <t>O479</t>
  </si>
  <si>
    <t>=SUM(I479/H479)*1000</t>
  </si>
  <si>
    <t>C480</t>
  </si>
  <si>
    <t>69.2 - day 3</t>
  </si>
  <si>
    <t>E480</t>
  </si>
  <si>
    <t>=H479</t>
  </si>
  <si>
    <t>H480</t>
  </si>
  <si>
    <t>=SUM(E480-F480-G480)</t>
  </si>
  <si>
    <t>L480</t>
  </si>
  <si>
    <t>=SUM(J480+K480)/H480*100</t>
  </si>
  <si>
    <t>N480</t>
  </si>
  <si>
    <t>=SUM(L480-M480)</t>
  </si>
  <si>
    <t>O480</t>
  </si>
  <si>
    <t>=SUM(I480/H480)*1000</t>
  </si>
  <si>
    <t>C481</t>
  </si>
  <si>
    <t>69.3 - day 4</t>
  </si>
  <si>
    <t>E481</t>
  </si>
  <si>
    <t>=H480</t>
  </si>
  <si>
    <t>H481</t>
  </si>
  <si>
    <t>=SUM(E481-F481-G481)</t>
  </si>
  <si>
    <t>L481</t>
  </si>
  <si>
    <t>=SUM(J481+K481)/H481*100</t>
  </si>
  <si>
    <t>N481</t>
  </si>
  <si>
    <t>=SUM(L481-M481)</t>
  </si>
  <si>
    <t>O481</t>
  </si>
  <si>
    <t>=SUM(I481/H481)*1000</t>
  </si>
  <si>
    <t>C482</t>
  </si>
  <si>
    <t>69.4 - day 5</t>
  </si>
  <si>
    <t>E482</t>
  </si>
  <si>
    <t>=H481</t>
  </si>
  <si>
    <t>H482</t>
  </si>
  <si>
    <t>=SUM(E482-F482-G482)</t>
  </si>
  <si>
    <t>L482</t>
  </si>
  <si>
    <t>=SUM(J482+K482)/H482*100</t>
  </si>
  <si>
    <t>N482</t>
  </si>
  <si>
    <t>=SUM(L482-M482)</t>
  </si>
  <si>
    <t>O482</t>
  </si>
  <si>
    <t>=SUM(I482/H482)*1000</t>
  </si>
  <si>
    <t>C483</t>
  </si>
  <si>
    <t>69.5 - day 6</t>
  </si>
  <si>
    <t>E483</t>
  </si>
  <si>
    <t>=H482</t>
  </si>
  <si>
    <t>H483</t>
  </si>
  <si>
    <t>=SUM(E483-F483-G483)</t>
  </si>
  <si>
    <t>L483</t>
  </si>
  <si>
    <t>=SUM(J483+K483)/H483*100</t>
  </si>
  <si>
    <t>N483</t>
  </si>
  <si>
    <t>=SUM(L483-M483)</t>
  </si>
  <si>
    <t>O483</t>
  </si>
  <si>
    <t>=SUM(I483/H483)*1000</t>
  </si>
  <si>
    <t>C484</t>
  </si>
  <si>
    <t>69.6 - day 7</t>
  </si>
  <si>
    <t>E484</t>
  </si>
  <si>
    <t>=H483</t>
  </si>
  <si>
    <t>H484</t>
  </si>
  <si>
    <t>=SUM(E484-F484-G484)</t>
  </si>
  <si>
    <t>L484</t>
  </si>
  <si>
    <t>=SUM(J484+K484)/H484*100</t>
  </si>
  <si>
    <t>N484</t>
  </si>
  <si>
    <t>=SUM(L484-M484)</t>
  </si>
  <si>
    <t>O484</t>
  </si>
  <si>
    <t>=SUM(I484/H484)*1000</t>
  </si>
  <si>
    <t>C485</t>
  </si>
  <si>
    <t>70.0 - day 1</t>
  </si>
  <si>
    <t>E485</t>
  </si>
  <si>
    <t>=H484</t>
  </si>
  <si>
    <t>H485</t>
  </si>
  <si>
    <t>=SUM(E485-F485-G485)</t>
  </si>
  <si>
    <t>L485</t>
  </si>
  <si>
    <t>=SUM(J485+K485)/H485*100</t>
  </si>
  <si>
    <t>N485</t>
  </si>
  <si>
    <t>=SUM(L485-M485)</t>
  </si>
  <si>
    <t>O485</t>
  </si>
  <si>
    <t>=SUM(I485/H485)*1000</t>
  </si>
  <si>
    <t>C486</t>
  </si>
  <si>
    <t>70.1 - day 2</t>
  </si>
  <si>
    <t>E486</t>
  </si>
  <si>
    <t>=H485</t>
  </si>
  <si>
    <t>H486</t>
  </si>
  <si>
    <t>=SUM(E486-F486-G486)</t>
  </si>
  <si>
    <t>L486</t>
  </si>
  <si>
    <t>=SUM(J486+K486)/H486*100</t>
  </si>
  <si>
    <t>N486</t>
  </si>
  <si>
    <t>=SUM(L486-M486)</t>
  </si>
  <si>
    <t>O486</t>
  </si>
  <si>
    <t>=SUM(I486/H486)*1000</t>
  </si>
  <si>
    <t>C487</t>
  </si>
  <si>
    <t>70.2 - day 3</t>
  </si>
  <si>
    <t>E487</t>
  </si>
  <si>
    <t>=H486</t>
  </si>
  <si>
    <t>H487</t>
  </si>
  <si>
    <t>=SUM(E487-F487-G487)</t>
  </si>
  <si>
    <t>L487</t>
  </si>
  <si>
    <t>=SUM(J487+K487)/H487*100</t>
  </si>
  <si>
    <t>N487</t>
  </si>
  <si>
    <t>=SUM(L487-M487)</t>
  </si>
  <si>
    <t>O487</t>
  </si>
  <si>
    <t>=SUM(I487/H487)*1000</t>
  </si>
  <si>
    <t>C488</t>
  </si>
  <si>
    <t>70.3 - day 4</t>
  </si>
  <si>
    <t>E488</t>
  </si>
  <si>
    <t>=H487</t>
  </si>
  <si>
    <t>H488</t>
  </si>
  <si>
    <t>=SUM(E488-F488-G488)</t>
  </si>
  <si>
    <t>L488</t>
  </si>
  <si>
    <t>=SUM(J488+K488)/H488*100</t>
  </si>
  <si>
    <t>N488</t>
  </si>
  <si>
    <t>=SUM(L488-M488)</t>
  </si>
  <si>
    <t>O488</t>
  </si>
  <si>
    <t>=SUM(I488/H488)*1000</t>
  </si>
  <si>
    <t>C489</t>
  </si>
  <si>
    <t>70.4 - day 5</t>
  </si>
  <si>
    <t>E489</t>
  </si>
  <si>
    <t>=H488</t>
  </si>
  <si>
    <t>H489</t>
  </si>
  <si>
    <t>=SUM(E489-F489-G489)</t>
  </si>
  <si>
    <t>L489</t>
  </si>
  <si>
    <t>=SUM(J489+K489)/H489*100</t>
  </si>
  <si>
    <t>N489</t>
  </si>
  <si>
    <t>=SUM(L489-M489)</t>
  </si>
  <si>
    <t>O489</t>
  </si>
  <si>
    <t>=SUM(I489/H489)*1000</t>
  </si>
  <si>
    <t>C490</t>
  </si>
  <si>
    <t>70.5 - day 6</t>
  </si>
  <si>
    <t>E490</t>
  </si>
  <si>
    <t>=H489</t>
  </si>
  <si>
    <t>H490</t>
  </si>
  <si>
    <t>=SUM(E490-F490-G490)</t>
  </si>
  <si>
    <t>L490</t>
  </si>
  <si>
    <t>=SUM(J490+K490)/H490*100</t>
  </si>
  <si>
    <t>N490</t>
  </si>
  <si>
    <t>=SUM(L490-M490)</t>
  </si>
  <si>
    <t>O490</t>
  </si>
  <si>
    <t>=SUM(I490/H490)*1000</t>
  </si>
  <si>
    <t>C491</t>
  </si>
  <si>
    <t>70.6 - day 7</t>
  </si>
  <si>
    <t>E491</t>
  </si>
  <si>
    <t>=H490</t>
  </si>
  <si>
    <t>H491</t>
  </si>
  <si>
    <t>=SUM(E491-F491-G491)</t>
  </si>
  <si>
    <t>L491</t>
  </si>
  <si>
    <t>=SUM(J491+K491)/H491*100</t>
  </si>
  <si>
    <t>N491</t>
  </si>
  <si>
    <t>=SUM(L491-M491)</t>
  </si>
  <si>
    <t>O491</t>
  </si>
  <si>
    <t>=SUM(I491/H491)*1000</t>
  </si>
  <si>
    <t>C492</t>
  </si>
  <si>
    <t>71.0 - day 1</t>
  </si>
  <si>
    <t>E492</t>
  </si>
  <si>
    <t>=H491</t>
  </si>
  <si>
    <t>H492</t>
  </si>
  <si>
    <t>=SUM(E492-F492-G492)</t>
  </si>
  <si>
    <t>L492</t>
  </si>
  <si>
    <t>=SUM(J492+K492)/H492*100</t>
  </si>
  <si>
    <t>N492</t>
  </si>
  <si>
    <t>=SUM(L492-M492)</t>
  </si>
  <si>
    <t>O492</t>
  </si>
  <si>
    <t>=SUM(I492/H492)*1000</t>
  </si>
  <si>
    <t>C493</t>
  </si>
  <si>
    <t>71.1 - day 2</t>
  </si>
  <si>
    <t>E493</t>
  </si>
  <si>
    <t>=H492</t>
  </si>
  <si>
    <t>H493</t>
  </si>
  <si>
    <t>=SUM(E493-F493-G493)</t>
  </si>
  <si>
    <t>L493</t>
  </si>
  <si>
    <t>=SUM(J493+K493)/H493*100</t>
  </si>
  <si>
    <t>N493</t>
  </si>
  <si>
    <t>=SUM(L493-M493)</t>
  </si>
  <si>
    <t>O493</t>
  </si>
  <si>
    <t>=SUM(I493/H493)*1000</t>
  </si>
  <si>
    <t>C494</t>
  </si>
  <si>
    <t>71.2 - day 3</t>
  </si>
  <si>
    <t>E494</t>
  </si>
  <si>
    <t>=H493</t>
  </si>
  <si>
    <t>H494</t>
  </si>
  <si>
    <t>=SUM(E494-F494-G494)</t>
  </si>
  <si>
    <t>L494</t>
  </si>
  <si>
    <t>=SUM(J494+K494)/H494*100</t>
  </si>
  <si>
    <t>N494</t>
  </si>
  <si>
    <t>=SUM(L494-M494)</t>
  </si>
  <si>
    <t>O494</t>
  </si>
  <si>
    <t>=SUM(I494/H494)*1000</t>
  </si>
  <si>
    <t>C495</t>
  </si>
  <si>
    <t>71.3 - day 4</t>
  </si>
  <si>
    <t>E495</t>
  </si>
  <si>
    <t>=H494</t>
  </si>
  <si>
    <t>H495</t>
  </si>
  <si>
    <t>=SUM(E495-F495-G495)</t>
  </si>
  <si>
    <t>L495</t>
  </si>
  <si>
    <t>=SUM(J495+K495)/H495*100</t>
  </si>
  <si>
    <t>N495</t>
  </si>
  <si>
    <t>=SUM(L495-M495)</t>
  </si>
  <si>
    <t>O495</t>
  </si>
  <si>
    <t>=SUM(I495/H495)*1000</t>
  </si>
  <si>
    <t>C496</t>
  </si>
  <si>
    <t>71.4 - day 5</t>
  </si>
  <si>
    <t>E496</t>
  </si>
  <si>
    <t>=H495</t>
  </si>
  <si>
    <t>H496</t>
  </si>
  <si>
    <t>=SUM(E496-F496-G496)</t>
  </si>
  <si>
    <t>L496</t>
  </si>
  <si>
    <t>=SUM(J496+K496)/H496*100</t>
  </si>
  <si>
    <t>N496</t>
  </si>
  <si>
    <t>=SUM(L496-M496)</t>
  </si>
  <si>
    <t>O496</t>
  </si>
  <si>
    <t>=SUM(I496/H496)*1000</t>
  </si>
  <si>
    <t>C497</t>
  </si>
  <si>
    <t>71.5 - day 6</t>
  </si>
  <si>
    <t>E497</t>
  </si>
  <si>
    <t>=H496</t>
  </si>
  <si>
    <t>H497</t>
  </si>
  <si>
    <t>=SUM(E497-F497-G497)</t>
  </si>
  <si>
    <t>L497</t>
  </si>
  <si>
    <t>=SUM(J497+K497)/H497*100</t>
  </si>
  <si>
    <t>N497</t>
  </si>
  <si>
    <t>=SUM(L497-M497)</t>
  </si>
  <si>
    <t>O497</t>
  </si>
  <si>
    <t>=SUM(I497/H497)*1000</t>
  </si>
  <si>
    <t>C498</t>
  </si>
  <si>
    <t>71.6 - day 7</t>
  </si>
  <si>
    <t>E498</t>
  </si>
  <si>
    <t>=H497</t>
  </si>
  <si>
    <t>H498</t>
  </si>
  <si>
    <t>=SUM(E498-F498-G498)</t>
  </si>
  <si>
    <t>L498</t>
  </si>
  <si>
    <t>=SUM(J498+K498)/H498*100</t>
  </si>
  <si>
    <t>N498</t>
  </si>
  <si>
    <t>=SUM(L498-M498)</t>
  </si>
  <si>
    <t>O498</t>
  </si>
  <si>
    <t>=SUM(I498/H498)*1000</t>
  </si>
  <si>
    <t>C499</t>
  </si>
  <si>
    <t>72.0 - day 1</t>
  </si>
  <si>
    <t>E499</t>
  </si>
  <si>
    <t>=H498</t>
  </si>
  <si>
    <t>H499</t>
  </si>
  <si>
    <t>=SUM(E499-F499-G499)</t>
  </si>
  <si>
    <t>L499</t>
  </si>
  <si>
    <t>=SUM(J499+K499)/H499*100</t>
  </si>
  <si>
    <t>N499</t>
  </si>
  <si>
    <t>=SUM(L499-M499)</t>
  </si>
  <si>
    <t>O499</t>
  </si>
  <si>
    <t>=SUM(I499/H499)*1000</t>
  </si>
  <si>
    <t>C500</t>
  </si>
  <si>
    <t>72.1 - day 2</t>
  </si>
  <si>
    <t>E500</t>
  </si>
  <si>
    <t>=H499</t>
  </si>
  <si>
    <t>H500</t>
  </si>
  <si>
    <t>=SUM(E500-F500-G500)</t>
  </si>
  <si>
    <t>L500</t>
  </si>
  <si>
    <t>=SUM(J500+K500)/H500*100</t>
  </si>
  <si>
    <t>N500</t>
  </si>
  <si>
    <t>=SUM(L500-M500)</t>
  </si>
  <si>
    <t>O500</t>
  </si>
  <si>
    <t>=SUM(I500/H500)*1000</t>
  </si>
  <si>
    <t>C501</t>
  </si>
  <si>
    <t>72.2 - day 3</t>
  </si>
  <si>
    <t>E501</t>
  </si>
  <si>
    <t>=H500</t>
  </si>
  <si>
    <t>H501</t>
  </si>
  <si>
    <t>=SUM(E501-F501-G501)</t>
  </si>
  <si>
    <t>L501</t>
  </si>
  <si>
    <t>=SUM(J501+K501)/H501*100</t>
  </si>
  <si>
    <t>N501</t>
  </si>
  <si>
    <t>=SUM(L501-M501)</t>
  </si>
  <si>
    <t>O501</t>
  </si>
  <si>
    <t>=SUM(I501/H501)*1000</t>
  </si>
  <si>
    <t>C502</t>
  </si>
  <si>
    <t>72.3 - day 4</t>
  </si>
  <si>
    <t>E502</t>
  </si>
  <si>
    <t>=H501</t>
  </si>
  <si>
    <t>H502</t>
  </si>
  <si>
    <t>=SUM(E502-F502-G502)</t>
  </si>
  <si>
    <t>L502</t>
  </si>
  <si>
    <t>=SUM(J502+K502)/H502*100</t>
  </si>
  <si>
    <t>N502</t>
  </si>
  <si>
    <t>=SUM(L502-M502)</t>
  </si>
  <si>
    <t>O502</t>
  </si>
  <si>
    <t>=SUM(I502/H502)*1000</t>
  </si>
  <si>
    <t>C503</t>
  </si>
  <si>
    <t>72.4 - day 5</t>
  </si>
  <si>
    <t>E503</t>
  </si>
  <si>
    <t>=H502</t>
  </si>
  <si>
    <t>H503</t>
  </si>
  <si>
    <t>=SUM(E503-F503-G503)</t>
  </si>
  <si>
    <t>L503</t>
  </si>
  <si>
    <t>=SUM(J503+K503)/H503*100</t>
  </si>
  <si>
    <t>N503</t>
  </si>
  <si>
    <t>=SUM(L503-M503)</t>
  </si>
  <si>
    <t>O503</t>
  </si>
  <si>
    <t>=SUM(I503/H503)*1000</t>
  </si>
  <si>
    <t>C504</t>
  </si>
  <si>
    <t>72.5 - day 6</t>
  </si>
  <si>
    <t>E504</t>
  </si>
  <si>
    <t>=H503</t>
  </si>
  <si>
    <t>H504</t>
  </si>
  <si>
    <t>=SUM(E504-F504-G504)</t>
  </si>
  <si>
    <t>L504</t>
  </si>
  <si>
    <t>=SUM(J504+K504)/H504*100</t>
  </si>
  <si>
    <t>N504</t>
  </si>
  <si>
    <t>=SUM(L504-M504)</t>
  </si>
  <si>
    <t>O504</t>
  </si>
  <si>
    <t>=SUM(I504/H504)*1000</t>
  </si>
  <si>
    <t>C505</t>
  </si>
  <si>
    <t>72.6 - day 7</t>
  </si>
  <si>
    <t>E505</t>
  </si>
  <si>
    <t>=H504</t>
  </si>
  <si>
    <t>H505</t>
  </si>
  <si>
    <t>=SUM(E505-F505-G505)</t>
  </si>
  <si>
    <t>L505</t>
  </si>
  <si>
    <t>=SUM(J505+K505)/H505*100</t>
  </si>
  <si>
    <t>N505</t>
  </si>
  <si>
    <t>=SUM(L505-M505)</t>
  </si>
  <si>
    <t>O505</t>
  </si>
  <si>
    <t>=SUM(I505/H505)*1000</t>
  </si>
  <si>
    <t>C506</t>
  </si>
  <si>
    <t>73.0 - day 1</t>
  </si>
  <si>
    <t>E506</t>
  </si>
  <si>
    <t>=H505</t>
  </si>
  <si>
    <t>H506</t>
  </si>
  <si>
    <t>=SUM(E506-F506-G506)</t>
  </si>
  <si>
    <t>L506</t>
  </si>
  <si>
    <t>=SUM(J506+K506)/H506*100</t>
  </si>
  <si>
    <t>N506</t>
  </si>
  <si>
    <t>=SUM(L506-M506)</t>
  </si>
  <si>
    <t>O506</t>
  </si>
  <si>
    <t>=SUM(I506/H506)*1000</t>
  </si>
  <si>
    <t>C507</t>
  </si>
  <si>
    <t>73.1 - day 2</t>
  </si>
  <si>
    <t>E507</t>
  </si>
  <si>
    <t>=H506</t>
  </si>
  <si>
    <t>H507</t>
  </si>
  <si>
    <t>=SUM(E507-F507-G507)</t>
  </si>
  <si>
    <t>L507</t>
  </si>
  <si>
    <t>=SUM(J507+K507)/H507*100</t>
  </si>
  <si>
    <t>N507</t>
  </si>
  <si>
    <t>=SUM(L507-M507)</t>
  </si>
  <si>
    <t>O507</t>
  </si>
  <si>
    <t>=SUM(I507/H507)*1000</t>
  </si>
  <si>
    <t>C508</t>
  </si>
  <si>
    <t>73.2 - day 3</t>
  </si>
  <si>
    <t>E508</t>
  </si>
  <si>
    <t>=H507</t>
  </si>
  <si>
    <t>H508</t>
  </si>
  <si>
    <t>=SUM(E508-F508-G508)</t>
  </si>
  <si>
    <t>L508</t>
  </si>
  <si>
    <t>=SUM(J508+K508)/H508*100</t>
  </si>
  <si>
    <t>N508</t>
  </si>
  <si>
    <t>=SUM(L508-M508)</t>
  </si>
  <si>
    <t>O508</t>
  </si>
  <si>
    <t>=SUM(I508/H508)*1000</t>
  </si>
  <si>
    <t>C509</t>
  </si>
  <si>
    <t>73.3 - day 4</t>
  </si>
  <si>
    <t>E509</t>
  </si>
  <si>
    <t>=H508</t>
  </si>
  <si>
    <t>H509</t>
  </si>
  <si>
    <t>=SUM(E509-F509-G509)</t>
  </si>
  <si>
    <t>L509</t>
  </si>
  <si>
    <t>=SUM(J509+K509)/H509*100</t>
  </si>
  <si>
    <t>N509</t>
  </si>
  <si>
    <t>=SUM(L509-M509)</t>
  </si>
  <si>
    <t>O509</t>
  </si>
  <si>
    <t>=SUM(I509/H509)*1000</t>
  </si>
  <si>
    <t>C510</t>
  </si>
  <si>
    <t>73.4 - day 5</t>
  </si>
  <si>
    <t>E510</t>
  </si>
  <si>
    <t>=H509</t>
  </si>
  <si>
    <t>H510</t>
  </si>
  <si>
    <t>=SUM(E510-F510-G510)</t>
  </si>
  <si>
    <t>L510</t>
  </si>
  <si>
    <t>=SUM(J510+K510)/H510*100</t>
  </si>
  <si>
    <t>N510</t>
  </si>
  <si>
    <t>=SUM(L510-M510)</t>
  </si>
  <si>
    <t>O510</t>
  </si>
  <si>
    <t>=SUM(I510/H510)*1000</t>
  </si>
  <si>
    <t>C511</t>
  </si>
  <si>
    <t>73.5 - day 6</t>
  </si>
  <si>
    <t>E511</t>
  </si>
  <si>
    <t>=H510</t>
  </si>
  <si>
    <t>H511</t>
  </si>
  <si>
    <t>=SUM(E511-F511-G511)</t>
  </si>
  <si>
    <t>L511</t>
  </si>
  <si>
    <t>=SUM(J511+K511)/H511*100</t>
  </si>
  <si>
    <t>N511</t>
  </si>
  <si>
    <t>=SUM(L511-M511)</t>
  </si>
  <si>
    <t>O511</t>
  </si>
  <si>
    <t>=SUM(I511/H511)*1000</t>
  </si>
  <si>
    <t>C512</t>
  </si>
  <si>
    <t>73.6 - day 7</t>
  </si>
  <si>
    <t>E512</t>
  </si>
  <si>
    <t>=H511</t>
  </si>
  <si>
    <t>H512</t>
  </si>
  <si>
    <t>=SUM(E512-F512-G512)</t>
  </si>
  <si>
    <t>L512</t>
  </si>
  <si>
    <t>=SUM(J512+K512)/H512*100</t>
  </si>
  <si>
    <t>N512</t>
  </si>
  <si>
    <t>=SUM(L512-M512)</t>
  </si>
  <si>
    <t>O512</t>
  </si>
  <si>
    <t>=SUM(I512/H512)*1000</t>
  </si>
  <si>
    <t>C513</t>
  </si>
  <si>
    <t>74.0 - day 1</t>
  </si>
  <si>
    <t>E513</t>
  </si>
  <si>
    <t>=H512</t>
  </si>
  <si>
    <t>H513</t>
  </si>
  <si>
    <t>=SUM(E513-F513-G513)</t>
  </si>
  <si>
    <t>L513</t>
  </si>
  <si>
    <t>=SUM(J513+K513)/H513*100</t>
  </si>
  <si>
    <t>N513</t>
  </si>
  <si>
    <t>=SUM(L513-M513)</t>
  </si>
  <si>
    <t>O513</t>
  </si>
  <si>
    <t>=SUM(I513/H513)*1000</t>
  </si>
  <si>
    <t>C514</t>
  </si>
  <si>
    <t>74.1 - day 2</t>
  </si>
  <si>
    <t>E514</t>
  </si>
  <si>
    <t>=H513</t>
  </si>
  <si>
    <t>H514</t>
  </si>
  <si>
    <t>=SUM(E514-F514-G514)</t>
  </si>
  <si>
    <t>L514</t>
  </si>
  <si>
    <t>=SUM(J514+K514)/H514*100</t>
  </si>
  <si>
    <t>N514</t>
  </si>
  <si>
    <t>=SUM(L514-M514)</t>
  </si>
  <si>
    <t>O514</t>
  </si>
  <si>
    <t>=SUM(I514/H514)*1000</t>
  </si>
  <si>
    <t>C515</t>
  </si>
  <si>
    <t>74.2 - day 3</t>
  </si>
  <si>
    <t>E515</t>
  </si>
  <si>
    <t>=H514</t>
  </si>
  <si>
    <t>H515</t>
  </si>
  <si>
    <t>=SUM(E515-F515-G515)</t>
  </si>
  <si>
    <t>L515</t>
  </si>
  <si>
    <t>=SUM(J515+K515)/H515*100</t>
  </si>
  <si>
    <t>N515</t>
  </si>
  <si>
    <t>=SUM(L515-M515)</t>
  </si>
  <si>
    <t>O515</t>
  </si>
  <si>
    <t>=SUM(I515/H515)*1000</t>
  </si>
  <si>
    <t>C516</t>
  </si>
  <si>
    <t>74.3 - day 4</t>
  </si>
  <si>
    <t>E516</t>
  </si>
  <si>
    <t>=H515</t>
  </si>
  <si>
    <t>H516</t>
  </si>
  <si>
    <t>=SUM(E516-F516-G516)</t>
  </si>
  <si>
    <t>L516</t>
  </si>
  <si>
    <t>=SUM(J516+K516)/H516*100</t>
  </si>
  <si>
    <t>N516</t>
  </si>
  <si>
    <t>=SUM(L516-M516)</t>
  </si>
  <si>
    <t>O516</t>
  </si>
  <si>
    <t>=SUM(I516/H516)*1000</t>
  </si>
  <si>
    <t>C517</t>
  </si>
  <si>
    <t>74.4 - day 5</t>
  </si>
  <si>
    <t>E517</t>
  </si>
  <si>
    <t>=H516</t>
  </si>
  <si>
    <t>H517</t>
  </si>
  <si>
    <t>=SUM(E517-F517-G517)</t>
  </si>
  <si>
    <t>L517</t>
  </si>
  <si>
    <t>=SUM(J517+K517)/H517*100</t>
  </si>
  <si>
    <t>N517</t>
  </si>
  <si>
    <t>=SUM(L517-M517)</t>
  </si>
  <si>
    <t>O517</t>
  </si>
  <si>
    <t>=SUM(I517/H517)*1000</t>
  </si>
  <si>
    <t>C518</t>
  </si>
  <si>
    <t>74.5 - day 6</t>
  </si>
  <si>
    <t>E518</t>
  </si>
  <si>
    <t>=H517</t>
  </si>
  <si>
    <t>H518</t>
  </si>
  <si>
    <t>=SUM(E518-F518-G518)</t>
  </si>
  <si>
    <t>L518</t>
  </si>
  <si>
    <t>=SUM(J518+K518)/H518*100</t>
  </si>
  <si>
    <t>N518</t>
  </si>
  <si>
    <t>=SUM(L518-M518)</t>
  </si>
  <si>
    <t>O518</t>
  </si>
  <si>
    <t>=SUM(I518/H518)*1000</t>
  </si>
  <si>
    <t>C519</t>
  </si>
  <si>
    <t>74.6 - day 7</t>
  </si>
  <si>
    <t>E519</t>
  </si>
  <si>
    <t>=H518</t>
  </si>
  <si>
    <t>H519</t>
  </si>
  <si>
    <t>=SUM(E519-F519-G519)</t>
  </si>
  <si>
    <t>L519</t>
  </si>
  <si>
    <t>=SUM(J519+K519)/H519*100</t>
  </si>
  <si>
    <t>N519</t>
  </si>
  <si>
    <t>=SUM(L519-M519)</t>
  </si>
  <si>
    <t>O519</t>
  </si>
  <si>
    <t>=SUM(I519/H519)*1000</t>
  </si>
  <si>
    <t>C520</t>
  </si>
  <si>
    <t>75.0 - day 1</t>
  </si>
  <si>
    <t>E520</t>
  </si>
  <si>
    <t>=H519</t>
  </si>
  <si>
    <t>H520</t>
  </si>
  <si>
    <t>=SUM(E520-F520-G520)</t>
  </si>
  <si>
    <t>L520</t>
  </si>
  <si>
    <t>=SUM(J520+K520)/H520*100</t>
  </si>
  <si>
    <t>N520</t>
  </si>
  <si>
    <t>=SUM(L520-M520)</t>
  </si>
  <si>
    <t>O520</t>
  </si>
  <si>
    <t>=SUM(I520/H520)*1000</t>
  </si>
  <si>
    <t>C521</t>
  </si>
  <si>
    <t>75.1 - day 2</t>
  </si>
  <si>
    <t>E521</t>
  </si>
  <si>
    <t>=H520</t>
  </si>
  <si>
    <t>H521</t>
  </si>
  <si>
    <t>=SUM(E521-F521-G521)</t>
  </si>
  <si>
    <t>L521</t>
  </si>
  <si>
    <t>=SUM(J521+K521)/H521*100</t>
  </si>
  <si>
    <t>N521</t>
  </si>
  <si>
    <t>=SUM(L521-M521)</t>
  </si>
  <si>
    <t>O521</t>
  </si>
  <si>
    <t>=SUM(I521/H521)*1000</t>
  </si>
  <si>
    <t>C522</t>
  </si>
  <si>
    <t>75.2 - day 3</t>
  </si>
  <si>
    <t>E522</t>
  </si>
  <si>
    <t>=H521</t>
  </si>
  <si>
    <t>H522</t>
  </si>
  <si>
    <t>=SUM(E522-F522-G522)</t>
  </si>
  <si>
    <t>L522</t>
  </si>
  <si>
    <t>=SUM(J522+K522)/H522*100</t>
  </si>
  <si>
    <t>N522</t>
  </si>
  <si>
    <t>=SUM(L522-M522)</t>
  </si>
  <si>
    <t>O522</t>
  </si>
  <si>
    <t>=SUM(I522/H522)*1000</t>
  </si>
  <si>
    <t>C523</t>
  </si>
  <si>
    <t>75.3 - day 4</t>
  </si>
  <si>
    <t>E523</t>
  </si>
  <si>
    <t>=H522</t>
  </si>
  <si>
    <t>H523</t>
  </si>
  <si>
    <t>=SUM(E523-F523-G523)</t>
  </si>
  <si>
    <t>L523</t>
  </si>
  <si>
    <t>=SUM(J523+K523)/H523*100</t>
  </si>
  <si>
    <t>N523</t>
  </si>
  <si>
    <t>=SUM(L523-M523)</t>
  </si>
  <si>
    <t>O523</t>
  </si>
  <si>
    <t>=SUM(I523/H523)*1000</t>
  </si>
  <si>
    <t>C524</t>
  </si>
  <si>
    <t>75.4 - day 5</t>
  </si>
  <si>
    <t>E524</t>
  </si>
  <si>
    <t>=H523</t>
  </si>
  <si>
    <t>H524</t>
  </si>
  <si>
    <t>=SUM(E524-F524-G524)</t>
  </si>
  <si>
    <t>L524</t>
  </si>
  <si>
    <t>=SUM(J524+K524)/H524*100</t>
  </si>
  <si>
    <t>N524</t>
  </si>
  <si>
    <t>=SUM(L524-M524)</t>
  </si>
  <si>
    <t>O524</t>
  </si>
  <si>
    <t>=SUM(I524/H524)*1000</t>
  </si>
  <si>
    <t>C525</t>
  </si>
  <si>
    <t>75.5 - day 6</t>
  </si>
  <si>
    <t>E525</t>
  </si>
  <si>
    <t>=H524</t>
  </si>
  <si>
    <t>H525</t>
  </si>
  <si>
    <t>=SUM(E525-F525-G525)</t>
  </si>
  <si>
    <t>L525</t>
  </si>
  <si>
    <t>=SUM(J525+K525)/H525*100</t>
  </si>
  <si>
    <t>N525</t>
  </si>
  <si>
    <t>=SUM(L525-M525)</t>
  </si>
  <si>
    <t>O525</t>
  </si>
  <si>
    <t>=SUM(I525/H525)*1000</t>
  </si>
  <si>
    <t>C526</t>
  </si>
  <si>
    <t>75.6 - day 7</t>
  </si>
  <si>
    <t>E526</t>
  </si>
  <si>
    <t>=H525</t>
  </si>
  <si>
    <t>H526</t>
  </si>
  <si>
    <t>=SUM(E526-F526-G526)</t>
  </si>
  <si>
    <t>L526</t>
  </si>
  <si>
    <t>=SUM(J526+K526)/H526*100</t>
  </si>
  <si>
    <t>N526</t>
  </si>
  <si>
    <t>=SUM(L526-M526)</t>
  </si>
  <si>
    <t>O526</t>
  </si>
  <si>
    <t>=SUM(I526/H526)*1000</t>
  </si>
  <si>
    <t>C527</t>
  </si>
  <si>
    <t>76.0 - day 1</t>
  </si>
  <si>
    <t>E527</t>
  </si>
  <si>
    <t>=H526</t>
  </si>
  <si>
    <t>H527</t>
  </si>
  <si>
    <t>=SUM(E527-F527-G527)</t>
  </si>
  <si>
    <t>L527</t>
  </si>
  <si>
    <t>=SUM(J527+K527)/H527*100</t>
  </si>
  <si>
    <t>N527</t>
  </si>
  <si>
    <t>=SUM(L527-M527)</t>
  </si>
  <si>
    <t>O527</t>
  </si>
  <si>
    <t>=SUM(I527/H527)*1000</t>
  </si>
  <si>
    <t>C528</t>
  </si>
  <si>
    <t>76.1 - day 2</t>
  </si>
  <si>
    <t>E528</t>
  </si>
  <si>
    <t>=H527</t>
  </si>
  <si>
    <t>H528</t>
  </si>
  <si>
    <t>=SUM(E528-F528-G528)</t>
  </si>
  <si>
    <t>L528</t>
  </si>
  <si>
    <t>=SUM(J528+K528)/H528*100</t>
  </si>
  <si>
    <t>N528</t>
  </si>
  <si>
    <t>=SUM(L528-M528)</t>
  </si>
  <si>
    <t>O528</t>
  </si>
  <si>
    <t>=SUM(I528/H528)*1000</t>
  </si>
  <si>
    <t>C529</t>
  </si>
  <si>
    <t>76.2 - day 3</t>
  </si>
  <si>
    <t>E529</t>
  </si>
  <si>
    <t>=H528</t>
  </si>
  <si>
    <t>H529</t>
  </si>
  <si>
    <t>=SUM(E529-F529-G529)</t>
  </si>
  <si>
    <t>L529</t>
  </si>
  <si>
    <t>=SUM(J529+K529)/H529*100</t>
  </si>
  <si>
    <t>N529</t>
  </si>
  <si>
    <t>=SUM(L529-M529)</t>
  </si>
  <si>
    <t>O529</t>
  </si>
  <si>
    <t>=SUM(I529/H529)*1000</t>
  </si>
  <si>
    <t>C530</t>
  </si>
  <si>
    <t>76.3 - day 4</t>
  </si>
  <si>
    <t>E530</t>
  </si>
  <si>
    <t>=H529</t>
  </si>
  <si>
    <t>H530</t>
  </si>
  <si>
    <t>=SUM(E530-F530-G530)</t>
  </si>
  <si>
    <t>L530</t>
  </si>
  <si>
    <t>=SUM(J530+K530)/H530*100</t>
  </si>
  <si>
    <t>N530</t>
  </si>
  <si>
    <t>=SUM(L530-M530)</t>
  </si>
  <si>
    <t>O530</t>
  </si>
  <si>
    <t>=SUM(I530/H530)*1000</t>
  </si>
  <si>
    <t>C531</t>
  </si>
  <si>
    <t>76.4 - day 5</t>
  </si>
  <si>
    <t>E531</t>
  </si>
  <si>
    <t>=H530</t>
  </si>
  <si>
    <t>H531</t>
  </si>
  <si>
    <t>=SUM(E531-F531-G531)</t>
  </si>
  <si>
    <t>L531</t>
  </si>
  <si>
    <t>=SUM(J531+K531)/H531*100</t>
  </si>
  <si>
    <t>N531</t>
  </si>
  <si>
    <t>=SUM(L531-M531)</t>
  </si>
  <si>
    <t>O531</t>
  </si>
  <si>
    <t>=SUM(I531/H531)*1000</t>
  </si>
  <si>
    <t>C532</t>
  </si>
  <si>
    <t>76.5 - day 6</t>
  </si>
  <si>
    <t>E532</t>
  </si>
  <si>
    <t>=H531</t>
  </si>
  <si>
    <t>H532</t>
  </si>
  <si>
    <t>=SUM(E532-F532-G532)</t>
  </si>
  <si>
    <t>L532</t>
  </si>
  <si>
    <t>=SUM(J532+K532)/H532*100</t>
  </si>
  <si>
    <t>N532</t>
  </si>
  <si>
    <t>=SUM(L532-M532)</t>
  </si>
  <si>
    <t>O532</t>
  </si>
  <si>
    <t>=SUM(I532/H532)*1000</t>
  </si>
  <si>
    <t>C533</t>
  </si>
  <si>
    <t>76.6 - day 7</t>
  </si>
  <si>
    <t>E533</t>
  </si>
  <si>
    <t>=H532</t>
  </si>
  <si>
    <t>H533</t>
  </si>
  <si>
    <t>=SUM(E533-F533-G533)</t>
  </si>
  <si>
    <t>L533</t>
  </si>
  <si>
    <t>=SUM(J533+K533)/H533*100</t>
  </si>
  <si>
    <t>N533</t>
  </si>
  <si>
    <t>=SUM(L533-M533)</t>
  </si>
  <si>
    <t>O533</t>
  </si>
  <si>
    <t>=SUM(I533/H533)*1000</t>
  </si>
  <si>
    <t>C534</t>
  </si>
  <si>
    <t>77.0 - day 1</t>
  </si>
  <si>
    <t>E534</t>
  </si>
  <si>
    <t>=H533</t>
  </si>
  <si>
    <t>H534</t>
  </si>
  <si>
    <t>=SUM(E534-F534-G534)</t>
  </si>
  <si>
    <t>L534</t>
  </si>
  <si>
    <t>=SUM(J534+K534)/H534*100</t>
  </si>
  <si>
    <t>N534</t>
  </si>
  <si>
    <t>=SUM(L534-M534)</t>
  </si>
  <si>
    <t>O534</t>
  </si>
  <si>
    <t>=SUM(I534/H534)*1000</t>
  </si>
  <si>
    <t>C535</t>
  </si>
  <si>
    <t>77.1 - day 2</t>
  </si>
  <si>
    <t>E535</t>
  </si>
  <si>
    <t>=H534</t>
  </si>
  <si>
    <t>H535</t>
  </si>
  <si>
    <t>=SUM(E535-F535-G535)</t>
  </si>
  <si>
    <t>L535</t>
  </si>
  <si>
    <t>=SUM(J535+K535)/H535*100</t>
  </si>
  <si>
    <t>N535</t>
  </si>
  <si>
    <t>=SUM(L535-M535)</t>
  </si>
  <si>
    <t>O535</t>
  </si>
  <si>
    <t>=SUM(I535/H535)*1000</t>
  </si>
  <si>
    <t>C536</t>
  </si>
  <si>
    <t>77.2 - day 3</t>
  </si>
  <si>
    <t>E536</t>
  </si>
  <si>
    <t>=H535</t>
  </si>
  <si>
    <t>H536</t>
  </si>
  <si>
    <t>=SUM(E536-F536-G536)</t>
  </si>
  <si>
    <t>L536</t>
  </si>
  <si>
    <t>=SUM(J536+K536)/H536*100</t>
  </si>
  <si>
    <t>N536</t>
  </si>
  <si>
    <t>=SUM(L536-M536)</t>
  </si>
  <si>
    <t>O536</t>
  </si>
  <si>
    <t>=SUM(I536/H536)*1000</t>
  </si>
  <si>
    <t>C537</t>
  </si>
  <si>
    <t>77.3 - day 4</t>
  </si>
  <si>
    <t>E537</t>
  </si>
  <si>
    <t>=H536</t>
  </si>
  <si>
    <t>H537</t>
  </si>
  <si>
    <t>=SUM(E537-F537-G537)</t>
  </si>
  <si>
    <t>L537</t>
  </si>
  <si>
    <t>=SUM(J537+K537)/H537*100</t>
  </si>
  <si>
    <t>N537</t>
  </si>
  <si>
    <t>=SUM(L537-M537)</t>
  </si>
  <si>
    <t>O537</t>
  </si>
  <si>
    <t>=SUM(I537/H537)*1000</t>
  </si>
  <si>
    <t>C538</t>
  </si>
  <si>
    <t>77.4 - day 5</t>
  </si>
  <si>
    <t>E538</t>
  </si>
  <si>
    <t>=H537</t>
  </si>
  <si>
    <t>H538</t>
  </si>
  <si>
    <t>=SUM(E538-F538-G538)</t>
  </si>
  <si>
    <t>L538</t>
  </si>
  <si>
    <t>=SUM(J538+K538)/H538*100</t>
  </si>
  <si>
    <t>N538</t>
  </si>
  <si>
    <t>=SUM(L538-M538)</t>
  </si>
  <si>
    <t>O538</t>
  </si>
  <si>
    <t>=SUM(I538/H538)*1000</t>
  </si>
  <si>
    <t>C539</t>
  </si>
  <si>
    <t>77.5 - day 6</t>
  </si>
  <si>
    <t>E539</t>
  </si>
  <si>
    <t>=H538</t>
  </si>
  <si>
    <t>H539</t>
  </si>
  <si>
    <t>=SUM(E539-F539-G539)</t>
  </si>
  <si>
    <t>L539</t>
  </si>
  <si>
    <t>=SUM(J539+K539)/H539*100</t>
  </si>
  <si>
    <t>N539</t>
  </si>
  <si>
    <t>=SUM(L539-M539)</t>
  </si>
  <si>
    <t>O539</t>
  </si>
  <si>
    <t>=SUM(I539/H539)*1000</t>
  </si>
  <si>
    <t>C540</t>
  </si>
  <si>
    <t>77.6 - day 7</t>
  </si>
  <si>
    <t>E540</t>
  </si>
  <si>
    <t>=H539</t>
  </si>
  <si>
    <t>H540</t>
  </si>
  <si>
    <t>=SUM(E540-F540-G540)</t>
  </si>
  <si>
    <t>L540</t>
  </si>
  <si>
    <t>=SUM(J540+K540)/H540*100</t>
  </si>
  <si>
    <t>N540</t>
  </si>
  <si>
    <t>=SUM(L540-M540)</t>
  </si>
  <si>
    <t>O540</t>
  </si>
  <si>
    <t>=SUM(I540/H540)*1000</t>
  </si>
  <si>
    <t>C541</t>
  </si>
  <si>
    <t>78.0 - day 1</t>
  </si>
  <si>
    <t>E541</t>
  </si>
  <si>
    <t>=H540</t>
  </si>
  <si>
    <t>H541</t>
  </si>
  <si>
    <t>=SUM(E541-F541-G541)</t>
  </si>
  <si>
    <t>L541</t>
  </si>
  <si>
    <t>=SUM(J541+K541)/H541*100</t>
  </si>
  <si>
    <t>N541</t>
  </si>
  <si>
    <t>=SUM(L541-M541)</t>
  </si>
  <si>
    <t>O541</t>
  </si>
  <si>
    <t>=SUM(I541/H541)*1000</t>
  </si>
  <si>
    <t>C542</t>
  </si>
  <si>
    <t>78.1 - day 2</t>
  </si>
  <si>
    <t>E542</t>
  </si>
  <si>
    <t>=H541</t>
  </si>
  <si>
    <t>H542</t>
  </si>
  <si>
    <t>=SUM(E542-F542-G542)</t>
  </si>
  <si>
    <t>L542</t>
  </si>
  <si>
    <t>=SUM(J542+K542)/H542*100</t>
  </si>
  <si>
    <t>N542</t>
  </si>
  <si>
    <t>=SUM(L542-M542)</t>
  </si>
  <si>
    <t>O542</t>
  </si>
  <si>
    <t>=SUM(I542/H542)*1000</t>
  </si>
  <si>
    <t>C543</t>
  </si>
  <si>
    <t>78.2 - day 3</t>
  </si>
  <si>
    <t>E543</t>
  </si>
  <si>
    <t>=H542</t>
  </si>
  <si>
    <t>H543</t>
  </si>
  <si>
    <t>=SUM(E543-F543-G543)</t>
  </si>
  <si>
    <t>L543</t>
  </si>
  <si>
    <t>=SUM(J543+K543)/H543*100</t>
  </si>
  <si>
    <t>N543</t>
  </si>
  <si>
    <t>=SUM(L543-M543)</t>
  </si>
  <si>
    <t>O543</t>
  </si>
  <si>
    <t>=SUM(I543/H543)*1000</t>
  </si>
  <si>
    <t>C544</t>
  </si>
  <si>
    <t>78.3 - day 4</t>
  </si>
  <si>
    <t>E544</t>
  </si>
  <si>
    <t>=H543</t>
  </si>
  <si>
    <t>H544</t>
  </si>
  <si>
    <t>=SUM(E544-F544-G544)</t>
  </si>
  <si>
    <t>L544</t>
  </si>
  <si>
    <t>=SUM(J544+K544)/H544*100</t>
  </si>
  <si>
    <t>N544</t>
  </si>
  <si>
    <t>=SUM(L544-M544)</t>
  </si>
  <si>
    <t>O544</t>
  </si>
  <si>
    <t>=SUM(I544/H544)*1000</t>
  </si>
  <si>
    <t>C545</t>
  </si>
  <si>
    <t>78.4 - day 5</t>
  </si>
  <si>
    <t>E545</t>
  </si>
  <si>
    <t>=H544</t>
  </si>
  <si>
    <t>H545</t>
  </si>
  <si>
    <t>=SUM(E545-F545-G545)</t>
  </si>
  <si>
    <t>L545</t>
  </si>
  <si>
    <t>=SUM(J545+K545)/H545*100</t>
  </si>
  <si>
    <t>N545</t>
  </si>
  <si>
    <t>=SUM(L545-M545)</t>
  </si>
  <si>
    <t>O545</t>
  </si>
  <si>
    <t>=SUM(I545/H545)*1000</t>
  </si>
  <si>
    <t>C546</t>
  </si>
  <si>
    <t>78.5 - day 6</t>
  </si>
  <si>
    <t>E546</t>
  </si>
  <si>
    <t>=H545</t>
  </si>
  <si>
    <t>H546</t>
  </si>
  <si>
    <t>=SUM(E546-F546-G546)</t>
  </si>
  <si>
    <t>L546</t>
  </si>
  <si>
    <t>=SUM(J546+K546)/H546*100</t>
  </si>
  <si>
    <t>N546</t>
  </si>
  <si>
    <t>=SUM(L546-M546)</t>
  </si>
  <si>
    <t>O546</t>
  </si>
  <si>
    <t>=SUM(I546/H546)*1000</t>
  </si>
  <si>
    <t>C547</t>
  </si>
  <si>
    <t>78.6 - day 7</t>
  </si>
  <si>
    <t>E547</t>
  </si>
  <si>
    <t>=H546</t>
  </si>
  <si>
    <t>H547</t>
  </si>
  <si>
    <t>=SUM(E547-F547-G547)</t>
  </si>
  <si>
    <t>L547</t>
  </si>
  <si>
    <t>=SUM(J547+K547)/H547*100</t>
  </si>
  <si>
    <t>N547</t>
  </si>
  <si>
    <t>=SUM(L547-M547)</t>
  </si>
  <si>
    <t>O547</t>
  </si>
  <si>
    <t>=SUM(I547/H547)*1000</t>
  </si>
  <si>
    <t>C548</t>
  </si>
  <si>
    <t>79.0 - day 1</t>
  </si>
  <si>
    <t>E548</t>
  </si>
  <si>
    <t>=H547</t>
  </si>
  <si>
    <t>H548</t>
  </si>
  <si>
    <t>=SUM(E548-F548-G548)</t>
  </si>
  <si>
    <t>L548</t>
  </si>
  <si>
    <t>=SUM(J548+K548)/H548*100</t>
  </si>
  <si>
    <t>N548</t>
  </si>
  <si>
    <t>=SUM(L548-M548)</t>
  </si>
  <si>
    <t>O548</t>
  </si>
  <si>
    <t>=SUM(I548/H548)*1000</t>
  </si>
  <si>
    <t>C549</t>
  </si>
  <si>
    <t>79.1 - day 2</t>
  </si>
  <si>
    <t>E549</t>
  </si>
  <si>
    <t>=H548</t>
  </si>
  <si>
    <t>H549</t>
  </si>
  <si>
    <t>=SUM(E549-F549-G549)</t>
  </si>
  <si>
    <t>L549</t>
  </si>
  <si>
    <t>=SUM(J549+K549)/H549*100</t>
  </si>
  <si>
    <t>N549</t>
  </si>
  <si>
    <t>=SUM(L549-M549)</t>
  </si>
  <si>
    <t>O549</t>
  </si>
  <si>
    <t>=SUM(I549/H549)*1000</t>
  </si>
  <si>
    <t>C550</t>
  </si>
  <si>
    <t>79.2 - day 3</t>
  </si>
  <si>
    <t>E550</t>
  </si>
  <si>
    <t>=H549</t>
  </si>
  <si>
    <t>H550</t>
  </si>
  <si>
    <t>=SUM(E550-F550-G550)</t>
  </si>
  <si>
    <t>L550</t>
  </si>
  <si>
    <t>=SUM(J550+K550)/H550*100</t>
  </si>
  <si>
    <t>N550</t>
  </si>
  <si>
    <t>=SUM(L550-M550)</t>
  </si>
  <si>
    <t>O550</t>
  </si>
  <si>
    <t>=SUM(I550/H550)*1000</t>
  </si>
  <si>
    <t>C551</t>
  </si>
  <si>
    <t>79.3 - day 4</t>
  </si>
  <si>
    <t>E551</t>
  </si>
  <si>
    <t>=H550</t>
  </si>
  <si>
    <t>H551</t>
  </si>
  <si>
    <t>=SUM(E551-F551-G551)</t>
  </si>
  <si>
    <t>L551</t>
  </si>
  <si>
    <t>=SUM(J551+K551)/H551*100</t>
  </si>
  <si>
    <t>N551</t>
  </si>
  <si>
    <t>=SUM(L551-M551)</t>
  </si>
  <si>
    <t>O551</t>
  </si>
  <si>
    <t>=SUM(I551/H551)*1000</t>
  </si>
  <si>
    <t>C552</t>
  </si>
  <si>
    <t>79.4 - day 5</t>
  </si>
  <si>
    <t>E552</t>
  </si>
  <si>
    <t>=H551</t>
  </si>
  <si>
    <t>H552</t>
  </si>
  <si>
    <t>=SUM(E552-F552-G552)</t>
  </si>
  <si>
    <t>L552</t>
  </si>
  <si>
    <t>=SUM(J552+K552)/H552*100</t>
  </si>
  <si>
    <t>N552</t>
  </si>
  <si>
    <t>=SUM(L552-M552)</t>
  </si>
  <si>
    <t>O552</t>
  </si>
  <si>
    <t>=SUM(I552/H552)*1000</t>
  </si>
  <si>
    <t>C553</t>
  </si>
  <si>
    <t>79.5 - day 6</t>
  </si>
  <si>
    <t>E553</t>
  </si>
  <si>
    <t>=H552</t>
  </si>
  <si>
    <t>H553</t>
  </si>
  <si>
    <t>=SUM(E553-F553-G553)</t>
  </si>
  <si>
    <t>L553</t>
  </si>
  <si>
    <t>=SUM(J553+K553)/H553*100</t>
  </si>
  <si>
    <t>N553</t>
  </si>
  <si>
    <t>=SUM(L553-M553)</t>
  </si>
  <si>
    <t>O553</t>
  </si>
  <si>
    <t>=SUM(I553/H553)*1000</t>
  </si>
  <si>
    <t>C554</t>
  </si>
  <si>
    <t>79.6 - day 7</t>
  </si>
  <si>
    <t>E554</t>
  </si>
  <si>
    <t>=H553</t>
  </si>
  <si>
    <t>H554</t>
  </si>
  <si>
    <t>=SUM(E554-F554-G554)</t>
  </si>
  <si>
    <t>L554</t>
  </si>
  <si>
    <t>=SUM(J554+K554)/H554*100</t>
  </si>
  <si>
    <t>N554</t>
  </si>
  <si>
    <t>=SUM(L554-M554)</t>
  </si>
  <si>
    <t>O554</t>
  </si>
  <si>
    <t>=SUM(I554/H554)*1000</t>
  </si>
  <si>
    <t>C555</t>
  </si>
  <si>
    <t>80.0 - day 1</t>
  </si>
  <si>
    <t>E555</t>
  </si>
  <si>
    <t>=H554</t>
  </si>
  <si>
    <t>H555</t>
  </si>
  <si>
    <t>=SUM(E555-F555-G555)</t>
  </si>
  <si>
    <t>L555</t>
  </si>
  <si>
    <t>=SUM(J555+K555)/H555*100</t>
  </si>
  <si>
    <t>N555</t>
  </si>
  <si>
    <t>=SUM(L555-M555)</t>
  </si>
  <si>
    <t>O555</t>
  </si>
  <si>
    <t>=SUM(I555/H555)*1000</t>
  </si>
  <si>
    <t>C556</t>
  </si>
  <si>
    <t>80.1 - day 2</t>
  </si>
  <si>
    <t>E556</t>
  </si>
  <si>
    <t>=H555</t>
  </si>
  <si>
    <t>H556</t>
  </si>
  <si>
    <t>=SUM(E556-F556-G556)</t>
  </si>
  <si>
    <t>L556</t>
  </si>
  <si>
    <t>=SUM(J556+K556)/H556*100</t>
  </si>
  <si>
    <t>N556</t>
  </si>
  <si>
    <t>=SUM(L556-M556)</t>
  </si>
  <si>
    <t>O556</t>
  </si>
  <si>
    <t>=SUM(I556/H556)*1000</t>
  </si>
  <si>
    <t>C557</t>
  </si>
  <si>
    <t>80.2 - day 3</t>
  </si>
  <si>
    <t>E557</t>
  </si>
  <si>
    <t>=H556</t>
  </si>
  <si>
    <t>H557</t>
  </si>
  <si>
    <t>=SUM(E557-F557-G557)</t>
  </si>
  <si>
    <t>L557</t>
  </si>
  <si>
    <t>=SUM(J557+K557)/H557*100</t>
  </si>
  <si>
    <t>N557</t>
  </si>
  <si>
    <t>=SUM(L557-M557)</t>
  </si>
  <si>
    <t>O557</t>
  </si>
  <si>
    <t>=SUM(I557/H557)*1000</t>
  </si>
  <si>
    <t>C558</t>
  </si>
  <si>
    <t>80.3 - day 4</t>
  </si>
  <si>
    <t>E558</t>
  </si>
  <si>
    <t>=H557</t>
  </si>
  <si>
    <t>H558</t>
  </si>
  <si>
    <t>=SUM(E558-F558-G558)</t>
  </si>
  <si>
    <t>L558</t>
  </si>
  <si>
    <t>=SUM(J558+K558)/H558*100</t>
  </si>
  <si>
    <t>N558</t>
  </si>
  <si>
    <t>=SUM(L558-M558)</t>
  </si>
  <si>
    <t>O558</t>
  </si>
  <si>
    <t>=SUM(I558/H558)*1000</t>
  </si>
  <si>
    <t>C559</t>
  </si>
  <si>
    <t>80.4 - day 5</t>
  </si>
  <si>
    <t>E559</t>
  </si>
  <si>
    <t>=H558</t>
  </si>
  <si>
    <t>H559</t>
  </si>
  <si>
    <t>=SUM(E559-F559-G559)</t>
  </si>
  <si>
    <t>L559</t>
  </si>
  <si>
    <t>=SUM(J559+K559)/H559*100</t>
  </si>
  <si>
    <t>N559</t>
  </si>
  <si>
    <t>=SUM(L559-M559)</t>
  </si>
  <si>
    <t>O559</t>
  </si>
  <si>
    <t>=SUM(I559/H559)*1000</t>
  </si>
  <si>
    <t>C560</t>
  </si>
  <si>
    <t>80.5 - day 6</t>
  </si>
  <si>
    <t>E560</t>
  </si>
  <si>
    <t>=H559</t>
  </si>
  <si>
    <t>H560</t>
  </si>
  <si>
    <t>=SUM(E560-F560-G560)</t>
  </si>
  <si>
    <t>L560</t>
  </si>
  <si>
    <t>=SUM(J560+K560)/H560*100</t>
  </si>
  <si>
    <t>N560</t>
  </si>
  <si>
    <t>=SUM(L560-M560)</t>
  </si>
  <si>
    <t>O560</t>
  </si>
  <si>
    <t>=SUM(I560/H560)*1000</t>
  </si>
  <si>
    <t>C561</t>
  </si>
  <si>
    <t>80.6 - day 7</t>
  </si>
  <si>
    <t>E561</t>
  </si>
  <si>
    <t>=H560</t>
  </si>
  <si>
    <t>H561</t>
  </si>
  <si>
    <t>=SUM(E561-F561-G561)</t>
  </si>
  <si>
    <t>L561</t>
  </si>
  <si>
    <t>=SUM(J561+K561)/H561*100</t>
  </si>
  <si>
    <t>N561</t>
  </si>
  <si>
    <t>=SUM(L561-M561)</t>
  </si>
  <si>
    <t>O561</t>
  </si>
  <si>
    <t>=SUM(I561/H561)*1000</t>
  </si>
  <si>
    <t>C562</t>
  </si>
  <si>
    <t>81.0 - day 1</t>
  </si>
  <si>
    <t>E562</t>
  </si>
  <si>
    <t>=H561</t>
  </si>
  <si>
    <t>H562</t>
  </si>
  <si>
    <t>=SUM(E562-F562-G562)</t>
  </si>
  <si>
    <t>L562</t>
  </si>
  <si>
    <t>=SUM(J562+K562)/H562*100</t>
  </si>
  <si>
    <t>N562</t>
  </si>
  <si>
    <t>=SUM(L562-M562)</t>
  </si>
  <si>
    <t>O562</t>
  </si>
  <si>
    <t>=SUM(I562/H562)*1000</t>
  </si>
  <si>
    <t>C563</t>
  </si>
  <si>
    <t>81.1 - day 2</t>
  </si>
  <si>
    <t>E563</t>
  </si>
  <si>
    <t>=H562</t>
  </si>
  <si>
    <t>H563</t>
  </si>
  <si>
    <t>=SUM(E563-F563-G563)</t>
  </si>
  <si>
    <t>L563</t>
  </si>
  <si>
    <t>=SUM(J563+K563)/H563*100</t>
  </si>
  <si>
    <t>N563</t>
  </si>
  <si>
    <t>=SUM(L563-M563)</t>
  </si>
  <si>
    <t>O563</t>
  </si>
  <si>
    <t>=SUM(I563/H563)*1000</t>
  </si>
  <si>
    <t>C564</t>
  </si>
  <si>
    <t>81.2 - day 3</t>
  </si>
  <si>
    <t>E564</t>
  </si>
  <si>
    <t>=H563</t>
  </si>
  <si>
    <t>H564</t>
  </si>
  <si>
    <t>=SUM(E564-F564-G564)</t>
  </si>
  <si>
    <t>L564</t>
  </si>
  <si>
    <t>=SUM(J564+K564)/H564*100</t>
  </si>
  <si>
    <t>N564</t>
  </si>
  <si>
    <t>=SUM(L564-M564)</t>
  </si>
  <si>
    <t>O564</t>
  </si>
  <si>
    <t>=SUM(I564/H564)*1000</t>
  </si>
  <si>
    <t>C565</t>
  </si>
  <si>
    <t>81.3 - day 4</t>
  </si>
  <si>
    <t>E565</t>
  </si>
  <si>
    <t>=H564</t>
  </si>
  <si>
    <t>H565</t>
  </si>
  <si>
    <t>=SUM(E565-F565-G565)</t>
  </si>
  <si>
    <t>L565</t>
  </si>
  <si>
    <t>=SUM(J565+K565)/H565*100</t>
  </si>
  <si>
    <t>N565</t>
  </si>
  <si>
    <t>=SUM(L565-M565)</t>
  </si>
  <si>
    <t>O565</t>
  </si>
  <si>
    <t>=SUM(I565/H565)*1000</t>
  </si>
  <si>
    <t>C566</t>
  </si>
  <si>
    <t>81.4 - day 5</t>
  </si>
  <si>
    <t>E566</t>
  </si>
  <si>
    <t>=H565</t>
  </si>
  <si>
    <t>H566</t>
  </si>
  <si>
    <t>=SUM(E566-F566-G566)</t>
  </si>
  <si>
    <t>L566</t>
  </si>
  <si>
    <t>=SUM(J566+K566)/H566*100</t>
  </si>
  <si>
    <t>N566</t>
  </si>
  <si>
    <t>=SUM(L566-M566)</t>
  </si>
  <si>
    <t>O566</t>
  </si>
  <si>
    <t>=SUM(I566/H566)*1000</t>
  </si>
  <si>
    <t>C567</t>
  </si>
  <si>
    <t>81.5 - day 6</t>
  </si>
  <si>
    <t>E567</t>
  </si>
  <si>
    <t>=H566</t>
  </si>
  <si>
    <t>H567</t>
  </si>
  <si>
    <t>=SUM(E567-F567-G567)</t>
  </si>
  <si>
    <t>L567</t>
  </si>
  <si>
    <t>=SUM(J567+K567)/H567*100</t>
  </si>
  <si>
    <t>N567</t>
  </si>
  <si>
    <t>=SUM(L567-M567)</t>
  </si>
  <si>
    <t>O567</t>
  </si>
  <si>
    <t>=SUM(I567/H567)*1000</t>
  </si>
  <si>
    <t>C568</t>
  </si>
  <si>
    <t>81.6 - day 7</t>
  </si>
  <si>
    <t>E568</t>
  </si>
  <si>
    <t>=H567</t>
  </si>
  <si>
    <t>H568</t>
  </si>
  <si>
    <t>=SUM(E568-F568-G568)</t>
  </si>
  <si>
    <t>L568</t>
  </si>
  <si>
    <t>=SUM(J568+K568)/H568*100</t>
  </si>
  <si>
    <t>N568</t>
  </si>
  <si>
    <t>=SUM(L568-M568)</t>
  </si>
  <si>
    <t>O568</t>
  </si>
  <si>
    <t>=SUM(I568/H568)*1000</t>
  </si>
  <si>
    <t>C569</t>
  </si>
  <si>
    <t>82.0 - day 1</t>
  </si>
  <si>
    <t>E569</t>
  </si>
  <si>
    <t>=H568</t>
  </si>
  <si>
    <t>H569</t>
  </si>
  <si>
    <t>=SUM(E569-F569-G569)</t>
  </si>
  <si>
    <t>L569</t>
  </si>
  <si>
    <t>=SUM(J569+K569)/H569*100</t>
  </si>
  <si>
    <t>N569</t>
  </si>
  <si>
    <t>=SUM(L569-M569)</t>
  </si>
  <si>
    <t>O569</t>
  </si>
  <si>
    <t>=SUM(I569/H569)*1000</t>
  </si>
  <si>
    <t>C570</t>
  </si>
  <si>
    <t>82.1 - day 2</t>
  </si>
  <si>
    <t>E570</t>
  </si>
  <si>
    <t>=H569</t>
  </si>
  <si>
    <t>H570</t>
  </si>
  <si>
    <t>=SUM(E570-F570-G570)</t>
  </si>
  <si>
    <t>L570</t>
  </si>
  <si>
    <t>=SUM(J570+K570)/H570*100</t>
  </si>
  <si>
    <t>N570</t>
  </si>
  <si>
    <t>=SUM(L570-M570)</t>
  </si>
  <si>
    <t>O570</t>
  </si>
  <si>
    <t>=SUM(I570/H570)*1000</t>
  </si>
  <si>
    <t>C571</t>
  </si>
  <si>
    <t>82.2 - day 3</t>
  </si>
  <si>
    <t>E571</t>
  </si>
  <si>
    <t>=H570</t>
  </si>
  <si>
    <t>H571</t>
  </si>
  <si>
    <t>=SUM(E571-F571-G571)</t>
  </si>
  <si>
    <t>L571</t>
  </si>
  <si>
    <t>=SUM(J571+K571)/H571*100</t>
  </si>
  <si>
    <t>N571</t>
  </si>
  <si>
    <t>=SUM(L571-M571)</t>
  </si>
  <si>
    <t>O571</t>
  </si>
  <si>
    <t>=SUM(I571/H571)*1000</t>
  </si>
  <si>
    <t>C572</t>
  </si>
  <si>
    <t>82.3 - day 4</t>
  </si>
  <si>
    <t>E572</t>
  </si>
  <si>
    <t>=H571</t>
  </si>
  <si>
    <t>H572</t>
  </si>
  <si>
    <t>=SUM(E572-F572-G572)</t>
  </si>
  <si>
    <t>L572</t>
  </si>
  <si>
    <t>=SUM(J572+K572)/H572*100</t>
  </si>
  <si>
    <t>N572</t>
  </si>
  <si>
    <t>=SUM(L572-M572)</t>
  </si>
  <si>
    <t>O572</t>
  </si>
  <si>
    <t>=SUM(I572/H572)*1000</t>
  </si>
  <si>
    <t>C573</t>
  </si>
  <si>
    <t>82.4 - day 5</t>
  </si>
  <si>
    <t>E573</t>
  </si>
  <si>
    <t>=H572</t>
  </si>
  <si>
    <t>H573</t>
  </si>
  <si>
    <t>=SUM(E573-F573-G573)</t>
  </si>
  <si>
    <t>L573</t>
  </si>
  <si>
    <t>=SUM(J573+K573)/H573*100</t>
  </si>
  <si>
    <t>N573</t>
  </si>
  <si>
    <t>=SUM(L573-M573)</t>
  </si>
  <si>
    <t>O573</t>
  </si>
  <si>
    <t>=SUM(I573/H573)*1000</t>
  </si>
  <si>
    <t>C574</t>
  </si>
  <si>
    <t>82.5 - day 6</t>
  </si>
  <si>
    <t>E574</t>
  </si>
  <si>
    <t>=H573</t>
  </si>
  <si>
    <t>H574</t>
  </si>
  <si>
    <t>=SUM(E574-F574-G574)</t>
  </si>
  <si>
    <t>L574</t>
  </si>
  <si>
    <t>=SUM(J574+K574)/H574*100</t>
  </si>
  <si>
    <t>N574</t>
  </si>
  <si>
    <t>=SUM(L574-M574)</t>
  </si>
  <si>
    <t>O574</t>
  </si>
  <si>
    <t>=SUM(I574/H574)*1000</t>
  </si>
  <si>
    <t>C575</t>
  </si>
  <si>
    <t>82.6 - day 7</t>
  </si>
  <si>
    <t>E575</t>
  </si>
  <si>
    <t>=H574</t>
  </si>
  <si>
    <t>H575</t>
  </si>
  <si>
    <t>=SUM(E575-F575-G575)</t>
  </si>
  <si>
    <t>L575</t>
  </si>
  <si>
    <t>=SUM(J575+K575)/H575*100</t>
  </si>
  <si>
    <t>N575</t>
  </si>
  <si>
    <t>=SUM(L575-M575)</t>
  </si>
  <si>
    <t>O575</t>
  </si>
  <si>
    <t>=SUM(I575/H575)*1000</t>
  </si>
  <si>
    <t>C576</t>
  </si>
  <si>
    <t>83.0 - day 1</t>
  </si>
  <si>
    <t>E576</t>
  </si>
  <si>
    <t>=H575</t>
  </si>
  <si>
    <t>H576</t>
  </si>
  <si>
    <t>=SUM(E576-F576-G576)</t>
  </si>
  <si>
    <t>L576</t>
  </si>
  <si>
    <t>=SUM(J576+K576)/H576*100</t>
  </si>
  <si>
    <t>N576</t>
  </si>
  <si>
    <t>=SUM(L576-M576)</t>
  </si>
  <si>
    <t>O576</t>
  </si>
  <si>
    <t>=SUM(I576/H576)*1000</t>
  </si>
  <si>
    <t>C577</t>
  </si>
  <si>
    <t>83.1 - day 2</t>
  </si>
  <si>
    <t>E577</t>
  </si>
  <si>
    <t>=H576</t>
  </si>
  <si>
    <t>H577</t>
  </si>
  <si>
    <t>=SUM(E577-F577-G577)</t>
  </si>
  <si>
    <t>L577</t>
  </si>
  <si>
    <t>=SUM(J577+K577)/H577*100</t>
  </si>
  <si>
    <t>N577</t>
  </si>
  <si>
    <t>=SUM(L577-M577)</t>
  </si>
  <si>
    <t>O577</t>
  </si>
  <si>
    <t>=SUM(I577/H577)*1000</t>
  </si>
  <si>
    <t>C578</t>
  </si>
  <si>
    <t>83.2 - day 3</t>
  </si>
  <si>
    <t>E578</t>
  </si>
  <si>
    <t>=H577</t>
  </si>
  <si>
    <t>H578</t>
  </si>
  <si>
    <t>=SUM(E578-F578-G578)</t>
  </si>
  <si>
    <t>L578</t>
  </si>
  <si>
    <t>=SUM(J578+K578)/H578*100</t>
  </si>
  <si>
    <t>N578</t>
  </si>
  <si>
    <t>=SUM(L578-M578)</t>
  </si>
  <si>
    <t>O578</t>
  </si>
  <si>
    <t>=SUM(I578/H578)*1000</t>
  </si>
  <si>
    <t>C579</t>
  </si>
  <si>
    <t>83.3 - day 4</t>
  </si>
  <si>
    <t>E579</t>
  </si>
  <si>
    <t>=H578</t>
  </si>
  <si>
    <t>H579</t>
  </si>
  <si>
    <t>=SUM(E579-F579-G579)</t>
  </si>
  <si>
    <t>L579</t>
  </si>
  <si>
    <t>=SUM(J579+K579)/H579*100</t>
  </si>
  <si>
    <t>N579</t>
  </si>
  <si>
    <t>=SUM(L579-M579)</t>
  </si>
  <si>
    <t>O579</t>
  </si>
  <si>
    <t>=SUM(I579/H579)*1000</t>
  </si>
  <si>
    <t>C580</t>
  </si>
  <si>
    <t>83.4 - day 5</t>
  </si>
  <si>
    <t>E580</t>
  </si>
  <si>
    <t>=H579</t>
  </si>
  <si>
    <t>H580</t>
  </si>
  <si>
    <t>=SUM(E580-F580-G580)</t>
  </si>
  <si>
    <t>L580</t>
  </si>
  <si>
    <t>=SUM(J580+K580)/H580*100</t>
  </si>
  <si>
    <t>N580</t>
  </si>
  <si>
    <t>=SUM(L580-M580)</t>
  </si>
  <si>
    <t>O580</t>
  </si>
  <si>
    <t>=SUM(I580/H580)*1000</t>
  </si>
  <si>
    <t>C581</t>
  </si>
  <si>
    <t>83.5 - day 6</t>
  </si>
  <si>
    <t>E581</t>
  </si>
  <si>
    <t>=H580</t>
  </si>
  <si>
    <t>H581</t>
  </si>
  <si>
    <t>=SUM(E581-F581-G581)</t>
  </si>
  <si>
    <t>L581</t>
  </si>
  <si>
    <t>=SUM(J581+K581)/H581*100</t>
  </si>
  <si>
    <t>N581</t>
  </si>
  <si>
    <t>=SUM(L581-M581)</t>
  </si>
  <si>
    <t>O581</t>
  </si>
  <si>
    <t>=SUM(I581/H581)*1000</t>
  </si>
  <si>
    <t>C582</t>
  </si>
  <si>
    <t>83.6 - day 7</t>
  </si>
  <si>
    <t>E582</t>
  </si>
  <si>
    <t>=H581</t>
  </si>
  <si>
    <t>H582</t>
  </si>
  <si>
    <t>=SUM(E582-F582-G582)</t>
  </si>
  <si>
    <t>L582</t>
  </si>
  <si>
    <t>=SUM(J582+K582)/H582*100</t>
  </si>
  <si>
    <t>N582</t>
  </si>
  <si>
    <t>=SUM(L582-M582)</t>
  </si>
  <si>
    <t>O582</t>
  </si>
  <si>
    <t>=SUM(I582/H582)*1000</t>
  </si>
  <si>
    <t>C583</t>
  </si>
  <si>
    <t>84.0 - day 1</t>
  </si>
  <si>
    <t>E583</t>
  </si>
  <si>
    <t>=H582</t>
  </si>
  <si>
    <t>H583</t>
  </si>
  <si>
    <t>=SUM(E583-F583-G583)</t>
  </si>
  <si>
    <t>L583</t>
  </si>
  <si>
    <t>=SUM(J583+K583)/H583*100</t>
  </si>
  <si>
    <t>N583</t>
  </si>
  <si>
    <t>=SUM(L583-M583)</t>
  </si>
  <si>
    <t>O583</t>
  </si>
  <si>
    <t>=SUM(I583/H583)*1000</t>
  </si>
  <si>
    <t>C584</t>
  </si>
  <si>
    <t>84.1 - day 2</t>
  </si>
  <si>
    <t>E584</t>
  </si>
  <si>
    <t>=H583</t>
  </si>
  <si>
    <t>H584</t>
  </si>
  <si>
    <t>=SUM(E584-F584-G584)</t>
  </si>
  <si>
    <t>L584</t>
  </si>
  <si>
    <t>=SUM(J584+K584)/H584*100</t>
  </si>
  <si>
    <t>N584</t>
  </si>
  <si>
    <t>=SUM(L584-M584)</t>
  </si>
  <si>
    <t>O584</t>
  </si>
  <si>
    <t>=SUM(I584/H584)*1000</t>
  </si>
  <si>
    <t>C585</t>
  </si>
  <si>
    <t>84.2 - day 3</t>
  </si>
  <si>
    <t>E585</t>
  </si>
  <si>
    <t>=H584</t>
  </si>
  <si>
    <t>H585</t>
  </si>
  <si>
    <t>=SUM(E585-F585-G585)</t>
  </si>
  <si>
    <t>L585</t>
  </si>
  <si>
    <t>=SUM(J585+K585)/H585*100</t>
  </si>
  <si>
    <t>N585</t>
  </si>
  <si>
    <t>=SUM(L585-M585)</t>
  </si>
  <si>
    <t>O585</t>
  </si>
  <si>
    <t>=SUM(I585/H585)*1000</t>
  </si>
  <si>
    <t>C586</t>
  </si>
  <si>
    <t>84.3 - day 4</t>
  </si>
  <si>
    <t>E586</t>
  </si>
  <si>
    <t>=H585</t>
  </si>
  <si>
    <t>H586</t>
  </si>
  <si>
    <t>=SUM(E586-F586-G586)</t>
  </si>
  <si>
    <t>L586</t>
  </si>
  <si>
    <t>=SUM(J586+K586)/H586*100</t>
  </si>
  <si>
    <t>N586</t>
  </si>
  <si>
    <t>=SUM(L586-M586)</t>
  </si>
  <si>
    <t>O586</t>
  </si>
  <si>
    <t>=SUM(I586/H586)*1000</t>
  </si>
  <si>
    <t>C587</t>
  </si>
  <si>
    <t>84.4 - day 5</t>
  </si>
  <si>
    <t>E587</t>
  </si>
  <si>
    <t>=H586</t>
  </si>
  <si>
    <t>H587</t>
  </si>
  <si>
    <t>=SUM(E587-F587-G587)</t>
  </si>
  <si>
    <t>L587</t>
  </si>
  <si>
    <t>=SUM(J587+K587)/H587*100</t>
  </si>
  <si>
    <t>N587</t>
  </si>
  <si>
    <t>=SUM(L587-M587)</t>
  </si>
  <si>
    <t>O587</t>
  </si>
  <si>
    <t>=SUM(I587/H587)*1000</t>
  </si>
  <si>
    <t>C588</t>
  </si>
  <si>
    <t>84.5 - day 6</t>
  </si>
  <si>
    <t>E588</t>
  </si>
  <si>
    <t>=H587</t>
  </si>
  <si>
    <t>H588</t>
  </si>
  <si>
    <t>=SUM(E588-F588-G588)</t>
  </si>
  <si>
    <t>L588</t>
  </si>
  <si>
    <t>=SUM(J588+K588)/H588*100</t>
  </si>
  <si>
    <t>N588</t>
  </si>
  <si>
    <t>=SUM(L588-M588)</t>
  </si>
  <si>
    <t>O588</t>
  </si>
  <si>
    <t>=SUM(I588/H588)*1000</t>
  </si>
  <si>
    <t>C589</t>
  </si>
  <si>
    <t>84.6 - day 7</t>
  </si>
  <si>
    <t>E589</t>
  </si>
  <si>
    <t>=H588</t>
  </si>
  <si>
    <t>H589</t>
  </si>
  <si>
    <t>=SUM(E589-F589-G589)</t>
  </si>
  <si>
    <t>L589</t>
  </si>
  <si>
    <t>=SUM(J589+K589)/H589*100</t>
  </si>
  <si>
    <t>N589</t>
  </si>
  <si>
    <t>=SUM(L589-M589)</t>
  </si>
  <si>
    <t>O589</t>
  </si>
  <si>
    <t>=SUM(I589/H589)*1000</t>
  </si>
  <si>
    <t>C590</t>
  </si>
  <si>
    <t>85.0 - day 1</t>
  </si>
  <si>
    <t>E590</t>
  </si>
  <si>
    <t>=H589</t>
  </si>
  <si>
    <t>H590</t>
  </si>
  <si>
    <t>=SUM(E590-F590-G590)</t>
  </si>
  <si>
    <t>L590</t>
  </si>
  <si>
    <t>=SUM(J590+K590)/H590*100</t>
  </si>
  <si>
    <t>N590</t>
  </si>
  <si>
    <t>=SUM(L590-M590)</t>
  </si>
  <si>
    <t>O590</t>
  </si>
  <si>
    <t>=SUM(I590/H590)*1000</t>
  </si>
  <si>
    <t>C591</t>
  </si>
  <si>
    <t>85.1 - day 2</t>
  </si>
  <si>
    <t>E591</t>
  </si>
  <si>
    <t>=H590</t>
  </si>
  <si>
    <t>H591</t>
  </si>
  <si>
    <t>=SUM(E591-F591-G591)</t>
  </si>
  <si>
    <t>L591</t>
  </si>
  <si>
    <t>=SUM(J591+K591)/H591*100</t>
  </si>
  <si>
    <t>N591</t>
  </si>
  <si>
    <t>=SUM(L591-M591)</t>
  </si>
  <si>
    <t>O591</t>
  </si>
  <si>
    <t>=SUM(I591/H591)*1000</t>
  </si>
  <si>
    <t>C592</t>
  </si>
  <si>
    <t>85.2 - day 3</t>
  </si>
  <si>
    <t>E592</t>
  </si>
  <si>
    <t>=H591</t>
  </si>
  <si>
    <t>H592</t>
  </si>
  <si>
    <t>=SUM(E592-F592-G592)</t>
  </si>
  <si>
    <t>L592</t>
  </si>
  <si>
    <t>=SUM(J592+K592)/H592*100</t>
  </si>
  <si>
    <t>N592</t>
  </si>
  <si>
    <t>=SUM(L592-M592)</t>
  </si>
  <si>
    <t>O592</t>
  </si>
  <si>
    <t>=SUM(I592/H592)*1000</t>
  </si>
  <si>
    <t>C593</t>
  </si>
  <si>
    <t>85.3 - day 4</t>
  </si>
  <si>
    <t>E593</t>
  </si>
  <si>
    <t>=H592</t>
  </si>
  <si>
    <t>H593</t>
  </si>
  <si>
    <t>=SUM(E593-F593-G593)</t>
  </si>
  <si>
    <t>L593</t>
  </si>
  <si>
    <t>=SUM(J593+K593)/H593*100</t>
  </si>
  <si>
    <t>N593</t>
  </si>
  <si>
    <t>=SUM(L593-M593)</t>
  </si>
  <si>
    <t>O593</t>
  </si>
  <si>
    <t>=SUM(I593/H593)*1000</t>
  </si>
  <si>
    <t>C594</t>
  </si>
  <si>
    <t>85.4 - day 5</t>
  </si>
  <si>
    <t>E594</t>
  </si>
  <si>
    <t>=H593</t>
  </si>
  <si>
    <t>H594</t>
  </si>
  <si>
    <t>=SUM(E594-F594-G594)</t>
  </si>
  <si>
    <t>L594</t>
  </si>
  <si>
    <t>=SUM(J594+K594)/H594*100</t>
  </si>
  <si>
    <t>N594</t>
  </si>
  <si>
    <t>=SUM(L594-M594)</t>
  </si>
  <si>
    <t>O594</t>
  </si>
  <si>
    <t>=SUM(I594/H594)*1000</t>
  </si>
  <si>
    <t>C595</t>
  </si>
  <si>
    <t>85.5 - day 6</t>
  </si>
  <si>
    <t>E595</t>
  </si>
  <si>
    <t>=H594</t>
  </si>
  <si>
    <t>H595</t>
  </si>
  <si>
    <t>=SUM(E595-F595-G595)</t>
  </si>
  <si>
    <t>L595</t>
  </si>
  <si>
    <t>=SUM(J595+K595)/H595*100</t>
  </si>
  <si>
    <t>N595</t>
  </si>
  <si>
    <t>=SUM(L595-M595)</t>
  </si>
  <si>
    <t>O595</t>
  </si>
  <si>
    <t>=SUM(I595/H595)*1000</t>
  </si>
  <si>
    <t>C596</t>
  </si>
  <si>
    <t>85.6 - day 7</t>
  </si>
  <si>
    <t>E596</t>
  </si>
  <si>
    <t>=H595</t>
  </si>
  <si>
    <t>H596</t>
  </si>
  <si>
    <t>=SUM(E596-F596-G596)</t>
  </si>
  <si>
    <t>L596</t>
  </si>
  <si>
    <t>=SUM(J596+K596)/H596*100</t>
  </si>
  <si>
    <t>N596</t>
  </si>
  <si>
    <t>=SUM(L596-M596)</t>
  </si>
  <si>
    <t>O596</t>
  </si>
  <si>
    <t>=SUM(I596/H596)*1000</t>
  </si>
  <si>
    <t>C597</t>
  </si>
  <si>
    <t>86.0 - day 1</t>
  </si>
  <si>
    <t>E597</t>
  </si>
  <si>
    <t>=H596</t>
  </si>
  <si>
    <t>H597</t>
  </si>
  <si>
    <t>=SUM(E597-F597-G597)</t>
  </si>
  <si>
    <t>L597</t>
  </si>
  <si>
    <t>=SUM(J597+K597)/H597*100</t>
  </si>
  <si>
    <t>N597</t>
  </si>
  <si>
    <t>=SUM(L597-M597)</t>
  </si>
  <si>
    <t>O597</t>
  </si>
  <si>
    <t>=SUM(I597/H597)*1000</t>
  </si>
  <si>
    <t>C598</t>
  </si>
  <si>
    <t>86.1 - day 2</t>
  </si>
  <si>
    <t>E598</t>
  </si>
  <si>
    <t>=H597</t>
  </si>
  <si>
    <t>H598</t>
  </si>
  <si>
    <t>=SUM(E598-F598-G598)</t>
  </si>
  <si>
    <t>L598</t>
  </si>
  <si>
    <t>=SUM(J598+K598)/H598*100</t>
  </si>
  <si>
    <t>N598</t>
  </si>
  <si>
    <t>=SUM(L598-M598)</t>
  </si>
  <si>
    <t>O598</t>
  </si>
  <si>
    <t>=SUM(I598/H598)*1000</t>
  </si>
  <si>
    <t>C599</t>
  </si>
  <si>
    <t>86.2 - day 3</t>
  </si>
  <si>
    <t>E599</t>
  </si>
  <si>
    <t>=H598</t>
  </si>
  <si>
    <t>H599</t>
  </si>
  <si>
    <t>=SUM(E599-F599-G599)</t>
  </si>
  <si>
    <t>L599</t>
  </si>
  <si>
    <t>=SUM(J599+K599)/H599*100</t>
  </si>
  <si>
    <t>N599</t>
  </si>
  <si>
    <t>=SUM(L599-M599)</t>
  </si>
  <si>
    <t>O599</t>
  </si>
  <si>
    <t>=SUM(I599/H599)*1000</t>
  </si>
  <si>
    <t>C600</t>
  </si>
  <si>
    <t>86.3 - day 4</t>
  </si>
  <si>
    <t>E600</t>
  </si>
  <si>
    <t>=H599</t>
  </si>
  <si>
    <t>H600</t>
  </si>
  <si>
    <t>=SUM(E600-F600-G600)</t>
  </si>
  <si>
    <t>L600</t>
  </si>
  <si>
    <t>=SUM(J600+K600)/H600*100</t>
  </si>
  <si>
    <t>N600</t>
  </si>
  <si>
    <t>=SUM(L600-M600)</t>
  </si>
  <si>
    <t>O600</t>
  </si>
  <si>
    <t>=SUM(I600/H600)*1000</t>
  </si>
  <si>
    <t>C601</t>
  </si>
  <si>
    <t>86.4 - day 5</t>
  </si>
  <si>
    <t>E601</t>
  </si>
  <si>
    <t>=H600</t>
  </si>
  <si>
    <t>H601</t>
  </si>
  <si>
    <t>=SUM(E601-F601-G601)</t>
  </si>
  <si>
    <t>L601</t>
  </si>
  <si>
    <t>=SUM(J601+K601)/H601*100</t>
  </si>
  <si>
    <t>N601</t>
  </si>
  <si>
    <t>=SUM(L601-M601)</t>
  </si>
  <si>
    <t>O601</t>
  </si>
  <si>
    <t>=SUM(I601/H601)*1000</t>
  </si>
  <si>
    <t>C602</t>
  </si>
  <si>
    <t>86.5 - day 6</t>
  </si>
  <si>
    <t>E602</t>
  </si>
  <si>
    <t>=H601</t>
  </si>
  <si>
    <t>H602</t>
  </si>
  <si>
    <t>=SUM(E602-F602-G602)</t>
  </si>
  <si>
    <t>L602</t>
  </si>
  <si>
    <t>=SUM(J602+K602)/H602*100</t>
  </si>
  <si>
    <t>N602</t>
  </si>
  <si>
    <t>=SUM(L602-M602)</t>
  </si>
  <si>
    <t>O602</t>
  </si>
  <si>
    <t>=SUM(I602/H602)*1000</t>
  </si>
  <si>
    <t>C603</t>
  </si>
  <si>
    <t>86.6 - day 7</t>
  </si>
  <si>
    <t>E603</t>
  </si>
  <si>
    <t>=H602</t>
  </si>
  <si>
    <t>H603</t>
  </si>
  <si>
    <t>=SUM(E603-F603-G603)</t>
  </si>
  <si>
    <t>L603</t>
  </si>
  <si>
    <t>=SUM(J603+K603)/H603*100</t>
  </si>
  <si>
    <t>N603</t>
  </si>
  <si>
    <t>=SUM(L603-M603)</t>
  </si>
  <si>
    <t>O603</t>
  </si>
  <si>
    <t>=SUM(I603/H603)*1000</t>
  </si>
  <si>
    <t>C604</t>
  </si>
  <si>
    <t>87.0 - day 1</t>
  </si>
  <si>
    <t>E604</t>
  </si>
  <si>
    <t>=H603</t>
  </si>
  <si>
    <t>H604</t>
  </si>
  <si>
    <t>=SUM(E604-F604-G604)</t>
  </si>
  <si>
    <t>L604</t>
  </si>
  <si>
    <t>=SUM(J604+K604)/H604*100</t>
  </si>
  <si>
    <t>N604</t>
  </si>
  <si>
    <t>=SUM(L604-M604)</t>
  </si>
  <si>
    <t>O604</t>
  </si>
  <si>
    <t>=SUM(I604/H604)*1000</t>
  </si>
  <si>
    <t>C605</t>
  </si>
  <si>
    <t>87.1 - day 2</t>
  </si>
  <si>
    <t>E605</t>
  </si>
  <si>
    <t>=H604</t>
  </si>
  <si>
    <t>H605</t>
  </si>
  <si>
    <t>=SUM(E605-F605-G605)</t>
  </si>
  <si>
    <t>L605</t>
  </si>
  <si>
    <t>=SUM(J605+K605)/H605*100</t>
  </si>
  <si>
    <t>N605</t>
  </si>
  <si>
    <t>=SUM(L605-M605)</t>
  </si>
  <si>
    <t>O605</t>
  </si>
  <si>
    <t>=SUM(I605/H605)*1000</t>
  </si>
  <si>
    <t>C606</t>
  </si>
  <si>
    <t>87.2 - day 3</t>
  </si>
  <si>
    <t>E606</t>
  </si>
  <si>
    <t>=H605</t>
  </si>
  <si>
    <t>H606</t>
  </si>
  <si>
    <t>=SUM(E606-F606-G606)</t>
  </si>
  <si>
    <t>L606</t>
  </si>
  <si>
    <t>=SUM(J606+K606)/H606*100</t>
  </si>
  <si>
    <t>N606</t>
  </si>
  <si>
    <t>=SUM(L606-M606)</t>
  </si>
  <si>
    <t>O606</t>
  </si>
  <si>
    <t>=SUM(I606/H606)*1000</t>
  </si>
  <si>
    <t>C607</t>
  </si>
  <si>
    <t>87.3 - day 4</t>
  </si>
  <si>
    <t>E607</t>
  </si>
  <si>
    <t>=H606</t>
  </si>
  <si>
    <t>H607</t>
  </si>
  <si>
    <t>=SUM(E607-F607-G607)</t>
  </si>
  <si>
    <t>L607</t>
  </si>
  <si>
    <t>=SUM(J607+K607)/H607*100</t>
  </si>
  <si>
    <t>N607</t>
  </si>
  <si>
    <t>=SUM(L607-M607)</t>
  </si>
  <si>
    <t>O607</t>
  </si>
  <si>
    <t>=SUM(I607/H607)*1000</t>
  </si>
  <si>
    <t>C608</t>
  </si>
  <si>
    <t>87.4 - day 5</t>
  </si>
  <si>
    <t>E608</t>
  </si>
  <si>
    <t>=H607</t>
  </si>
  <si>
    <t>H608</t>
  </si>
  <si>
    <t>=SUM(E608-F608-G608)</t>
  </si>
  <si>
    <t>L608</t>
  </si>
  <si>
    <t>=SUM(J608+K608)/H608*100</t>
  </si>
  <si>
    <t>N608</t>
  </si>
  <si>
    <t>=SUM(L608-M608)</t>
  </si>
  <si>
    <t>O608</t>
  </si>
  <si>
    <t>=SUM(I608/H608)*1000</t>
  </si>
  <si>
    <t>C609</t>
  </si>
  <si>
    <t>87.5 - day 6</t>
  </si>
  <si>
    <t>E609</t>
  </si>
  <si>
    <t>=H608</t>
  </si>
  <si>
    <t>H609</t>
  </si>
  <si>
    <t>=SUM(E609-F609-G609)</t>
  </si>
  <si>
    <t>L609</t>
  </si>
  <si>
    <t>=SUM(J609+K609)/H609*100</t>
  </si>
  <si>
    <t>N609</t>
  </si>
  <si>
    <t>=SUM(L609-M609)</t>
  </si>
  <si>
    <t>O609</t>
  </si>
  <si>
    <t>=SUM(I609/H609)*1000</t>
  </si>
  <si>
    <t>C610</t>
  </si>
  <si>
    <t>87.6 - day 7</t>
  </si>
  <si>
    <t>E610</t>
  </si>
  <si>
    <t>=H609</t>
  </si>
  <si>
    <t>H610</t>
  </si>
  <si>
    <t>=SUM(E610-F610-G610)</t>
  </si>
  <si>
    <t>L610</t>
  </si>
  <si>
    <t>=SUM(J610+K610)/H610*100</t>
  </si>
  <si>
    <t>N610</t>
  </si>
  <si>
    <t>=SUM(L610-M610)</t>
  </si>
  <si>
    <t>O610</t>
  </si>
  <si>
    <t>=SUM(I610/H610)*1000</t>
  </si>
  <si>
    <t>C611</t>
  </si>
  <si>
    <t>88.0 - day 1</t>
  </si>
  <si>
    <t>E611</t>
  </si>
  <si>
    <t>=H610</t>
  </si>
  <si>
    <t>H611</t>
  </si>
  <si>
    <t>=SUM(E611-F611-G611)</t>
  </si>
  <si>
    <t>L611</t>
  </si>
  <si>
    <t>=SUM(J611+K611)/H611*100</t>
  </si>
  <si>
    <t>N611</t>
  </si>
  <si>
    <t>=SUM(L611-M611)</t>
  </si>
  <si>
    <t>O611</t>
  </si>
  <si>
    <t>=SUM(I611/H611)*1000</t>
  </si>
  <si>
    <t>C612</t>
  </si>
  <si>
    <t>88.1 - day 2</t>
  </si>
  <si>
    <t>E612</t>
  </si>
  <si>
    <t>=H611</t>
  </si>
  <si>
    <t>H612</t>
  </si>
  <si>
    <t>=SUM(E612-F612-G612)</t>
  </si>
  <si>
    <t>L612</t>
  </si>
  <si>
    <t>=SUM(J612+K612)/H612*100</t>
  </si>
  <si>
    <t>N612</t>
  </si>
  <si>
    <t>=SUM(L612-M612)</t>
  </si>
  <si>
    <t>O612</t>
  </si>
  <si>
    <t>=SUM(I612/H612)*1000</t>
  </si>
  <si>
    <t>C613</t>
  </si>
  <si>
    <t>88.2 - day 3</t>
  </si>
  <si>
    <t>E613</t>
  </si>
  <si>
    <t>=H612</t>
  </si>
  <si>
    <t>H613</t>
  </si>
  <si>
    <t>=SUM(E613-F613-G613)</t>
  </si>
  <si>
    <t>L613</t>
  </si>
  <si>
    <t>=SUM(J613+K613)/H613*100</t>
  </si>
  <si>
    <t>N613</t>
  </si>
  <si>
    <t>=SUM(L613-M613)</t>
  </si>
  <si>
    <t>O613</t>
  </si>
  <si>
    <t>=SUM(I613/H613)*1000</t>
  </si>
  <si>
    <t>C614</t>
  </si>
  <si>
    <t>88.3 - day 4</t>
  </si>
  <si>
    <t>E614</t>
  </si>
  <si>
    <t>=H613</t>
  </si>
  <si>
    <t>H614</t>
  </si>
  <si>
    <t>=SUM(E614-F614-G614)</t>
  </si>
  <si>
    <t>L614</t>
  </si>
  <si>
    <t>=SUM(J614+K614)/H614*100</t>
  </si>
  <si>
    <t>N614</t>
  </si>
  <si>
    <t>=SUM(L614-M614)</t>
  </si>
  <si>
    <t>O614</t>
  </si>
  <si>
    <t>=SUM(I614/H614)*1000</t>
  </si>
  <si>
    <t>C615</t>
  </si>
  <si>
    <t>88.4 - day 5</t>
  </si>
  <si>
    <t>E615</t>
  </si>
  <si>
    <t>=H614</t>
  </si>
  <si>
    <t>H615</t>
  </si>
  <si>
    <t>=SUM(E615-F615-G615)</t>
  </si>
  <si>
    <t>L615</t>
  </si>
  <si>
    <t>=SUM(J615+K615)/H615*100</t>
  </si>
  <si>
    <t>N615</t>
  </si>
  <si>
    <t>=SUM(L615-M615)</t>
  </si>
  <si>
    <t>O615</t>
  </si>
  <si>
    <t>=SUM(I615/H615)*1000</t>
  </si>
  <si>
    <t>C616</t>
  </si>
  <si>
    <t>88.5 - day 6</t>
  </si>
  <si>
    <t>E616</t>
  </si>
  <si>
    <t>=H615</t>
  </si>
  <si>
    <t>H616</t>
  </si>
  <si>
    <t>=SUM(E616-F616-G616)</t>
  </si>
  <si>
    <t>L616</t>
  </si>
  <si>
    <t>=SUM(J616+K616)/H616*100</t>
  </si>
  <si>
    <t>N616</t>
  </si>
  <si>
    <t>=SUM(L616-M616)</t>
  </si>
  <si>
    <t>O616</t>
  </si>
  <si>
    <t>=SUM(I616/H616)*1000</t>
  </si>
  <si>
    <t>C617</t>
  </si>
  <si>
    <t>88.6 - day 7</t>
  </si>
  <si>
    <t>E617</t>
  </si>
  <si>
    <t>=H616</t>
  </si>
  <si>
    <t>H617</t>
  </si>
  <si>
    <t>=SUM(E617-F617-G617)</t>
  </si>
  <si>
    <t>L617</t>
  </si>
  <si>
    <t>=SUM(J617+K617)/H617*100</t>
  </si>
  <si>
    <t>N617</t>
  </si>
  <si>
    <t>=SUM(L617-M617)</t>
  </si>
  <si>
    <t>O617</t>
  </si>
  <si>
    <t>=SUM(I617/H617)*1000</t>
  </si>
  <si>
    <t>C618</t>
  </si>
  <si>
    <t>89.0 - day 1</t>
  </si>
  <si>
    <t>E618</t>
  </si>
  <si>
    <t>=H617</t>
  </si>
  <si>
    <t>H618</t>
  </si>
  <si>
    <t>=SUM(E618-F618-G618)</t>
  </si>
  <si>
    <t>L618</t>
  </si>
  <si>
    <t>=SUM(J618+K618)/H618*100</t>
  </si>
  <si>
    <t>N618</t>
  </si>
  <si>
    <t>=SUM(L618-M618)</t>
  </si>
  <si>
    <t>O618</t>
  </si>
  <si>
    <t>=SUM(I618/H618)*1000</t>
  </si>
  <si>
    <t>C619</t>
  </si>
  <si>
    <t>89.1 - day 2</t>
  </si>
  <si>
    <t>E619</t>
  </si>
  <si>
    <t>=H618</t>
  </si>
  <si>
    <t>H619</t>
  </si>
  <si>
    <t>=SUM(E619-F619-G619)</t>
  </si>
  <si>
    <t>L619</t>
  </si>
  <si>
    <t>=SUM(J619+K619)/H619*100</t>
  </si>
  <si>
    <t>N619</t>
  </si>
  <si>
    <t>=SUM(L619-M619)</t>
  </si>
  <si>
    <t>O619</t>
  </si>
  <si>
    <t>=SUM(I619/H619)*1000</t>
  </si>
  <si>
    <t>C620</t>
  </si>
  <si>
    <t>89.2 - day 3</t>
  </si>
  <si>
    <t>E620</t>
  </si>
  <si>
    <t>=H619</t>
  </si>
  <si>
    <t>H620</t>
  </si>
  <si>
    <t>=SUM(E620-F620-G620)</t>
  </si>
  <si>
    <t>L620</t>
  </si>
  <si>
    <t>=SUM(J620+K620)/H620*100</t>
  </si>
  <si>
    <t>N620</t>
  </si>
  <si>
    <t>=SUM(L620-M620)</t>
  </si>
  <si>
    <t>O620</t>
  </si>
  <si>
    <t>=SUM(I620/H620)*1000</t>
  </si>
  <si>
    <t>C621</t>
  </si>
  <si>
    <t>89.3 - day 4</t>
  </si>
  <si>
    <t>E621</t>
  </si>
  <si>
    <t>=H620</t>
  </si>
  <si>
    <t>H621</t>
  </si>
  <si>
    <t>=SUM(E621-F621-G621)</t>
  </si>
  <si>
    <t>L621</t>
  </si>
  <si>
    <t>=SUM(J621+K621)/H621*100</t>
  </si>
  <si>
    <t>N621</t>
  </si>
  <si>
    <t>=SUM(L621-M621)</t>
  </si>
  <si>
    <t>O621</t>
  </si>
  <si>
    <t>=SUM(I621/H621)*1000</t>
  </si>
  <si>
    <t>C622</t>
  </si>
  <si>
    <t>89.4 - day 5</t>
  </si>
  <si>
    <t>E622</t>
  </si>
  <si>
    <t>=H621</t>
  </si>
  <si>
    <t>H622</t>
  </si>
  <si>
    <t>=SUM(E622-F622-G622)</t>
  </si>
  <si>
    <t>L622</t>
  </si>
  <si>
    <t>=SUM(J622+K622)/H622*100</t>
  </si>
  <si>
    <t>N622</t>
  </si>
  <si>
    <t>=SUM(L622-M622)</t>
  </si>
  <si>
    <t>O622</t>
  </si>
  <si>
    <t>=SUM(I622/H622)*1000</t>
  </si>
  <si>
    <t>C623</t>
  </si>
  <si>
    <t>89.5 - day 6</t>
  </si>
  <si>
    <t>E623</t>
  </si>
  <si>
    <t>=H622</t>
  </si>
  <si>
    <t>H623</t>
  </si>
  <si>
    <t>=SUM(E623-F623-G623)</t>
  </si>
  <si>
    <t>L623</t>
  </si>
  <si>
    <t>=SUM(J623+K623)/H623*100</t>
  </si>
  <si>
    <t>N623</t>
  </si>
  <si>
    <t>=SUM(L623-M623)</t>
  </si>
  <si>
    <t>O623</t>
  </si>
  <si>
    <t>=SUM(I623/H623)*1000</t>
  </si>
  <si>
    <t>C624</t>
  </si>
  <si>
    <t>89.6 - day 7</t>
  </si>
  <si>
    <t>E624</t>
  </si>
  <si>
    <t>=H623</t>
  </si>
  <si>
    <t>H624</t>
  </si>
  <si>
    <t>=SUM(E624-F624-G624)</t>
  </si>
  <si>
    <t>L624</t>
  </si>
  <si>
    <t>=SUM(J624+K624)/H624*100</t>
  </si>
  <si>
    <t>N624</t>
  </si>
  <si>
    <t>=SUM(L624-M624)</t>
  </si>
  <si>
    <t>O624</t>
  </si>
  <si>
    <t>=SUM(I624/H624)*1000</t>
  </si>
  <si>
    <t>C625</t>
  </si>
  <si>
    <t>90.0 - day 1</t>
  </si>
  <si>
    <t>E625</t>
  </si>
  <si>
    <t>=H624</t>
  </si>
  <si>
    <t>H625</t>
  </si>
  <si>
    <t>=SUM(E625-F625-G625)</t>
  </si>
  <si>
    <t>L625</t>
  </si>
  <si>
    <t>=SUM(J625+K625)/H625*100</t>
  </si>
  <si>
    <t>N625</t>
  </si>
  <si>
    <t>=SUM(L625-M625)</t>
  </si>
  <si>
    <t>O625</t>
  </si>
  <si>
    <t>=SUM(I625/H625)*1000</t>
  </si>
  <si>
    <t>C626</t>
  </si>
  <si>
    <t>90.1 - day 2</t>
  </si>
  <si>
    <t>E626</t>
  </si>
  <si>
    <t>=H625</t>
  </si>
  <si>
    <t>H626</t>
  </si>
  <si>
    <t>=SUM(E626-F626-G626)</t>
  </si>
  <si>
    <t>L626</t>
  </si>
  <si>
    <t>=SUM(J626+K626)/H626*100</t>
  </si>
  <si>
    <t>N626</t>
  </si>
  <si>
    <t>=SUM(L626-M626)</t>
  </si>
  <si>
    <t>O626</t>
  </si>
  <si>
    <t>=SUM(I626/H626)*1000</t>
  </si>
  <si>
    <t>C627</t>
  </si>
  <si>
    <t>90.2 - day 3</t>
  </si>
  <si>
    <t>E627</t>
  </si>
  <si>
    <t>=H626</t>
  </si>
  <si>
    <t>H627</t>
  </si>
  <si>
    <t>=SUM(E627-F627-G627)</t>
  </si>
  <si>
    <t>L627</t>
  </si>
  <si>
    <t>=SUM(J627+K627)/H627*100</t>
  </si>
  <si>
    <t>N627</t>
  </si>
  <si>
    <t>=SUM(L627-M627)</t>
  </si>
  <si>
    <t>O627</t>
  </si>
  <si>
    <t>=SUM(I627/H627)*1000</t>
  </si>
  <si>
    <t>C628</t>
  </si>
  <si>
    <t>90.3 - day 4</t>
  </si>
  <si>
    <t>E628</t>
  </si>
  <si>
    <t>=H627</t>
  </si>
  <si>
    <t>H628</t>
  </si>
  <si>
    <t>=SUM(E628-F628-G628)</t>
  </si>
  <si>
    <t>L628</t>
  </si>
  <si>
    <t>=SUM(J628+K628)/H628*100</t>
  </si>
  <si>
    <t>N628</t>
  </si>
  <si>
    <t>=SUM(L628-M628)</t>
  </si>
  <si>
    <t>O628</t>
  </si>
  <si>
    <t>=SUM(I628/H628)*1000</t>
  </si>
  <si>
    <t>C629</t>
  </si>
  <si>
    <t>90.4 - day 5</t>
  </si>
  <si>
    <t>E629</t>
  </si>
  <si>
    <t>=H628</t>
  </si>
  <si>
    <t>H629</t>
  </si>
  <si>
    <t>=SUM(E629-F629-G629)</t>
  </si>
  <si>
    <t>L629</t>
  </si>
  <si>
    <t>=SUM(J629+K629)/H629*100</t>
  </si>
  <si>
    <t>N629</t>
  </si>
  <si>
    <t>=SUM(L629-M629)</t>
  </si>
  <si>
    <t>O629</t>
  </si>
  <si>
    <t>=SUM(I629/H629)*1000</t>
  </si>
  <si>
    <t>C630</t>
  </si>
  <si>
    <t>90.5 - day 6</t>
  </si>
  <si>
    <t>E630</t>
  </si>
  <si>
    <t>=H629</t>
  </si>
  <si>
    <t>H630</t>
  </si>
  <si>
    <t>=SUM(E630-F630-G630)</t>
  </si>
  <si>
    <t>L630</t>
  </si>
  <si>
    <t>=SUM(J630+K630)/H630*100</t>
  </si>
  <si>
    <t>N630</t>
  </si>
  <si>
    <t>=SUM(L630-M630)</t>
  </si>
  <si>
    <t>O630</t>
  </si>
  <si>
    <t>=SUM(I630/H630)*1000</t>
  </si>
  <si>
    <t>C631</t>
  </si>
  <si>
    <t>90.6 - day 7</t>
  </si>
  <si>
    <t>E631</t>
  </si>
  <si>
    <t>=H630</t>
  </si>
  <si>
    <t>H631</t>
  </si>
  <si>
    <t>=SUM(E631-F631-G631)</t>
  </si>
  <si>
    <t>L631</t>
  </si>
  <si>
    <t>=SUM(J631+K631)/H631*100</t>
  </si>
  <si>
    <t>N631</t>
  </si>
  <si>
    <t>=SUM(L631-M631)</t>
  </si>
  <si>
    <t>O631</t>
  </si>
  <si>
    <t>=SUM(I631/H631)*1000</t>
  </si>
  <si>
    <t>C632</t>
  </si>
  <si>
    <t>91.0 - day 1</t>
  </si>
  <si>
    <t>E632</t>
  </si>
  <si>
    <t>=H631</t>
  </si>
  <si>
    <t>H632</t>
  </si>
  <si>
    <t>=SUM(E632-F632-G632)</t>
  </si>
  <si>
    <t>L632</t>
  </si>
  <si>
    <t>=SUM(J632+K632)/H632*100</t>
  </si>
  <si>
    <t>N632</t>
  </si>
  <si>
    <t>=SUM(L632-M632)</t>
  </si>
  <si>
    <t>O632</t>
  </si>
  <si>
    <t>=SUM(I632/H632)*1000</t>
  </si>
  <si>
    <t>C633</t>
  </si>
  <si>
    <t>91.1 - day 2</t>
  </si>
  <si>
    <t>E633</t>
  </si>
  <si>
    <t>=H632</t>
  </si>
  <si>
    <t>H633</t>
  </si>
  <si>
    <t>=SUM(E633-F633-G633)</t>
  </si>
  <si>
    <t>L633</t>
  </si>
  <si>
    <t>=SUM(J633+K633)/H633*100</t>
  </si>
  <si>
    <t>N633</t>
  </si>
  <si>
    <t>=SUM(L633-M633)</t>
  </si>
  <si>
    <t>O633</t>
  </si>
  <si>
    <t>=SUM(I633/H633)*1000</t>
  </si>
  <si>
    <t>C634</t>
  </si>
  <si>
    <t>91.2 - day 3</t>
  </si>
  <si>
    <t>E634</t>
  </si>
  <si>
    <t>=H633</t>
  </si>
  <si>
    <t>H634</t>
  </si>
  <si>
    <t>=SUM(E634-F634-G634)</t>
  </si>
  <si>
    <t>L634</t>
  </si>
  <si>
    <t>=SUM(J634+K634)/H634*100</t>
  </si>
  <si>
    <t>N634</t>
  </si>
  <si>
    <t>=SUM(L634-M634)</t>
  </si>
  <si>
    <t>O634</t>
  </si>
  <si>
    <t>=SUM(I634/H634)*1000</t>
  </si>
  <si>
    <t>C635</t>
  </si>
  <si>
    <t>91.3 - day 4</t>
  </si>
  <si>
    <t>E635</t>
  </si>
  <si>
    <t>=H634</t>
  </si>
  <si>
    <t>H635</t>
  </si>
  <si>
    <t>=SUM(E635-F635-G635)</t>
  </si>
  <si>
    <t>L635</t>
  </si>
  <si>
    <t>=SUM(J635+K635)/H635*100</t>
  </si>
  <si>
    <t>N635</t>
  </si>
  <si>
    <t>=SUM(L635-M635)</t>
  </si>
  <si>
    <t>O635</t>
  </si>
  <si>
    <t>=SUM(I635/H635)*1000</t>
  </si>
  <si>
    <t>C636</t>
  </si>
  <si>
    <t>91.4 - day 5</t>
  </si>
  <si>
    <t>E636</t>
  </si>
  <si>
    <t>=H635</t>
  </si>
  <si>
    <t>H636</t>
  </si>
  <si>
    <t>=SUM(E636-F636-G636)</t>
  </si>
  <si>
    <t>L636</t>
  </si>
  <si>
    <t>=SUM(J636+K636)/H636*100</t>
  </si>
  <si>
    <t>N636</t>
  </si>
  <si>
    <t>=SUM(L636-M636)</t>
  </si>
  <si>
    <t>O636</t>
  </si>
  <si>
    <t>=SUM(I636/H636)*1000</t>
  </si>
  <si>
    <t>C637</t>
  </si>
  <si>
    <t>91.5 - day 6</t>
  </si>
  <si>
    <t>E637</t>
  </si>
  <si>
    <t>=H636</t>
  </si>
  <si>
    <t>H637</t>
  </si>
  <si>
    <t>=SUM(E637-F637-G637)</t>
  </si>
  <si>
    <t>L637</t>
  </si>
  <si>
    <t>=SUM(J637+K637)/H637*100</t>
  </si>
  <si>
    <t>N637</t>
  </si>
  <si>
    <t>=SUM(L637-M637)</t>
  </si>
  <si>
    <t>O637</t>
  </si>
  <si>
    <t>=SUM(I637/H637)*1000</t>
  </si>
  <si>
    <t>C638</t>
  </si>
  <si>
    <t>91.6 - day 7</t>
  </si>
  <si>
    <t>E638</t>
  </si>
  <si>
    <t>=H637</t>
  </si>
  <si>
    <t>H638</t>
  </si>
  <si>
    <t>=SUM(E638-F638-G638)</t>
  </si>
  <si>
    <t>L638</t>
  </si>
  <si>
    <t>=SUM(J638+K638)/H638*100</t>
  </si>
  <si>
    <t>N638</t>
  </si>
  <si>
    <t>=SUM(L638-M638)</t>
  </si>
  <si>
    <t>O638</t>
  </si>
  <si>
    <t>=SUM(I638/H638)*1000</t>
  </si>
  <si>
    <t>C639</t>
  </si>
  <si>
    <t>92.0 - day 1</t>
  </si>
  <si>
    <t>E639</t>
  </si>
  <si>
    <t>=H638</t>
  </si>
  <si>
    <t>H639</t>
  </si>
  <si>
    <t>=SUM(E639-F639-G639)</t>
  </si>
  <si>
    <t>L639</t>
  </si>
  <si>
    <t>=SUM(J639+K639)/H639*100</t>
  </si>
  <si>
    <t>N639</t>
  </si>
  <si>
    <t>=SUM(L639-M639)</t>
  </si>
  <si>
    <t>O639</t>
  </si>
  <si>
    <t>=SUM(I639/H639)*1000</t>
  </si>
  <si>
    <t>C640</t>
  </si>
  <si>
    <t>92.1 - day 2</t>
  </si>
  <si>
    <t>E640</t>
  </si>
  <si>
    <t>=H639</t>
  </si>
  <si>
    <t>H640</t>
  </si>
  <si>
    <t>=SUM(E640-F640-G640)</t>
  </si>
  <si>
    <t>L640</t>
  </si>
  <si>
    <t>=SUM(J640+K640)/H640*100</t>
  </si>
  <si>
    <t>N640</t>
  </si>
  <si>
    <t>=SUM(L640-M640)</t>
  </si>
  <si>
    <t>O640</t>
  </si>
  <si>
    <t>=SUM(I640/H640)*1000</t>
  </si>
  <si>
    <t>C641</t>
  </si>
  <si>
    <t>92.2 - day 3</t>
  </si>
  <si>
    <t>E641</t>
  </si>
  <si>
    <t>=H640</t>
  </si>
  <si>
    <t>H641</t>
  </si>
  <si>
    <t>=SUM(E641-F641-G641)</t>
  </si>
  <si>
    <t>L641</t>
  </si>
  <si>
    <t>=SUM(J641+K641)/H641*100</t>
  </si>
  <si>
    <t>N641</t>
  </si>
  <si>
    <t>=SUM(L641-M641)</t>
  </si>
  <si>
    <t>O641</t>
  </si>
  <si>
    <t>=SUM(I641/H641)*1000</t>
  </si>
  <si>
    <t>C642</t>
  </si>
  <si>
    <t>92.3 - day 4</t>
  </si>
  <si>
    <t>E642</t>
  </si>
  <si>
    <t>=H641</t>
  </si>
  <si>
    <t>H642</t>
  </si>
  <si>
    <t>=SUM(E642-F642-G642)</t>
  </si>
  <si>
    <t>L642</t>
  </si>
  <si>
    <t>=SUM(J642+K642)/H642*100</t>
  </si>
  <si>
    <t>N642</t>
  </si>
  <si>
    <t>=SUM(L642-M642)</t>
  </si>
  <si>
    <t>O642</t>
  </si>
  <si>
    <t>=SUM(I642/H642)*1000</t>
  </si>
  <si>
    <t>C643</t>
  </si>
  <si>
    <t>92.4 - day 5</t>
  </si>
  <si>
    <t>E643</t>
  </si>
  <si>
    <t>=H642</t>
  </si>
  <si>
    <t>H643</t>
  </si>
  <si>
    <t>=SUM(E643-F643-G643)</t>
  </si>
  <si>
    <t>L643</t>
  </si>
  <si>
    <t>=SUM(J643+K643)/H643*100</t>
  </si>
  <si>
    <t>N643</t>
  </si>
  <si>
    <t>=SUM(L643-M643)</t>
  </si>
  <si>
    <t>O643</t>
  </si>
  <si>
    <t>=SUM(I643/H643)*1000</t>
  </si>
  <si>
    <t>C644</t>
  </si>
  <si>
    <t>92.5 - day 6</t>
  </si>
  <si>
    <t>E644</t>
  </si>
  <si>
    <t>=H643</t>
  </si>
  <si>
    <t>H644</t>
  </si>
  <si>
    <t>=SUM(E644-F644-G644)</t>
  </si>
  <si>
    <t>L644</t>
  </si>
  <si>
    <t>=SUM(J644+K644)/H644*100</t>
  </si>
  <si>
    <t>N644</t>
  </si>
  <si>
    <t>=SUM(L644-M644)</t>
  </si>
  <si>
    <t>O644</t>
  </si>
  <si>
    <t>=SUM(I644/H644)*1000</t>
  </si>
  <si>
    <t>C645</t>
  </si>
  <si>
    <t>92.6 - day 7</t>
  </si>
  <si>
    <t>E645</t>
  </si>
  <si>
    <t>=H644</t>
  </si>
  <si>
    <t>H645</t>
  </si>
  <si>
    <t>=SUM(E645-F645-G645)</t>
  </si>
  <si>
    <t>L645</t>
  </si>
  <si>
    <t>=SUM(J645+K645)/H645*100</t>
  </si>
  <si>
    <t>N645</t>
  </si>
  <si>
    <t>=SUM(L645-M645)</t>
  </si>
  <si>
    <t>O645</t>
  </si>
  <si>
    <t>=SUM(I645/H645)*1000</t>
  </si>
  <si>
    <t>C646</t>
  </si>
  <si>
    <t>93.0 - day 1</t>
  </si>
  <si>
    <t>E646</t>
  </si>
  <si>
    <t>=H645</t>
  </si>
  <si>
    <t>H646</t>
  </si>
  <si>
    <t>=SUM(E646-F646-G646)</t>
  </si>
  <si>
    <t>L646</t>
  </si>
  <si>
    <t>=SUM(J646+K646)/H646*100</t>
  </si>
  <si>
    <t>N646</t>
  </si>
  <si>
    <t>=SUM(L646-M646)</t>
  </si>
  <si>
    <t>O646</t>
  </si>
  <si>
    <t>=SUM(I646/H646)*1000</t>
  </si>
  <si>
    <t>C647</t>
  </si>
  <si>
    <t>93.1 - day 2</t>
  </si>
  <si>
    <t>E647</t>
  </si>
  <si>
    <t>=H646</t>
  </si>
  <si>
    <t>H647</t>
  </si>
  <si>
    <t>=SUM(E647-F647-G647)</t>
  </si>
  <si>
    <t>L647</t>
  </si>
  <si>
    <t>=SUM(J647+K647)/H647*100</t>
  </si>
  <si>
    <t>N647</t>
  </si>
  <si>
    <t>=SUM(L647-M647)</t>
  </si>
  <si>
    <t>O647</t>
  </si>
  <si>
    <t>=SUM(I647/H647)*1000</t>
  </si>
  <si>
    <t>C648</t>
  </si>
  <si>
    <t>93.2 - day 3</t>
  </si>
  <si>
    <t>E648</t>
  </si>
  <si>
    <t>=H647</t>
  </si>
  <si>
    <t>H648</t>
  </si>
  <si>
    <t>=SUM(E648-F648-G648)</t>
  </si>
  <si>
    <t>L648</t>
  </si>
  <si>
    <t>=SUM(J648+K648)/H648*100</t>
  </si>
  <si>
    <t>N648</t>
  </si>
  <si>
    <t>=SUM(L648-M648)</t>
  </si>
  <si>
    <t>O648</t>
  </si>
  <si>
    <t>=SUM(I648/H648)*1000</t>
  </si>
  <si>
    <t>C649</t>
  </si>
  <si>
    <t>93.3 - day 4</t>
  </si>
  <si>
    <t>E649</t>
  </si>
  <si>
    <t>=H648</t>
  </si>
  <si>
    <t>H649</t>
  </si>
  <si>
    <t>=SUM(E649-F649-G649)</t>
  </si>
  <si>
    <t>L649</t>
  </si>
  <si>
    <t>=SUM(J649+K649)/H649*100</t>
  </si>
  <si>
    <t>N649</t>
  </si>
  <si>
    <t>=SUM(L649-M649)</t>
  </si>
  <si>
    <t>O649</t>
  </si>
  <si>
    <t>=SUM(I649/H649)*1000</t>
  </si>
  <si>
    <t>C650</t>
  </si>
  <si>
    <t>93.4 - day 5</t>
  </si>
  <si>
    <t>E650</t>
  </si>
  <si>
    <t>=H649</t>
  </si>
  <si>
    <t>H650</t>
  </si>
  <si>
    <t>=SUM(E650-F650-G650)</t>
  </si>
  <si>
    <t>L650</t>
  </si>
  <si>
    <t>=SUM(J650+K650)/H650*100</t>
  </si>
  <si>
    <t>N650</t>
  </si>
  <si>
    <t>=SUM(L650-M650)</t>
  </si>
  <si>
    <t>O650</t>
  </si>
  <si>
    <t>=SUM(I650/H650)*1000</t>
  </si>
  <si>
    <t>C651</t>
  </si>
  <si>
    <t>93.5 - day 6</t>
  </si>
  <si>
    <t>E651</t>
  </si>
  <si>
    <t>=H650</t>
  </si>
  <si>
    <t>H651</t>
  </si>
  <si>
    <t>=SUM(E651-F651-G651)</t>
  </si>
  <si>
    <t>L651</t>
  </si>
  <si>
    <t>=SUM(J651+K651)/H651*100</t>
  </si>
  <si>
    <t>N651</t>
  </si>
  <si>
    <t>=SUM(L651-M651)</t>
  </si>
  <si>
    <t>O651</t>
  </si>
  <si>
    <t>=SUM(I651/H651)*1000</t>
  </si>
  <si>
    <t>C652</t>
  </si>
  <si>
    <t>93.6 - day 7</t>
  </si>
  <si>
    <t>E652</t>
  </si>
  <si>
    <t>=H651</t>
  </si>
  <si>
    <t>H652</t>
  </si>
  <si>
    <t>=SUM(E652-F652-G652)</t>
  </si>
  <si>
    <t>L652</t>
  </si>
  <si>
    <t>=SUM(J652+K652)/H652*100</t>
  </si>
  <si>
    <t>N652</t>
  </si>
  <si>
    <t>=SUM(L652-M652)</t>
  </si>
  <si>
    <t>O652</t>
  </si>
  <si>
    <t>=SUM(I652/H652)*1000</t>
  </si>
  <si>
    <t>C653</t>
  </si>
  <si>
    <t>94.0 - day 1</t>
  </si>
  <si>
    <t>E653</t>
  </si>
  <si>
    <t>=H652</t>
  </si>
  <si>
    <t>H653</t>
  </si>
  <si>
    <t>=SUM(E653-F653-G653)</t>
  </si>
  <si>
    <t>L653</t>
  </si>
  <si>
    <t>=SUM(J653+K653)/H653*100</t>
  </si>
  <si>
    <t>N653</t>
  </si>
  <si>
    <t>=SUM(L653-M653)</t>
  </si>
  <si>
    <t>O653</t>
  </si>
  <si>
    <t>=SUM(I653/H653)*1000</t>
  </si>
  <si>
    <t>C654</t>
  </si>
  <si>
    <t>94.1 - day 2</t>
  </si>
  <si>
    <t>E654</t>
  </si>
  <si>
    <t>=H653</t>
  </si>
  <si>
    <t>H654</t>
  </si>
  <si>
    <t>=SUM(E654-F654-G654)</t>
  </si>
  <si>
    <t>L654</t>
  </si>
  <si>
    <t>=SUM(J654+K654)/H654*100</t>
  </si>
  <si>
    <t>N654</t>
  </si>
  <si>
    <t>=SUM(L654-M654)</t>
  </si>
  <si>
    <t>O654</t>
  </si>
  <si>
    <t>=SUM(I654/H654)*1000</t>
  </si>
  <si>
    <t>C655</t>
  </si>
  <si>
    <t>94.2 - day 3</t>
  </si>
  <si>
    <t>E655</t>
  </si>
  <si>
    <t>=H654</t>
  </si>
  <si>
    <t>H655</t>
  </si>
  <si>
    <t>=SUM(E655-F655-G655)</t>
  </si>
  <si>
    <t>L655</t>
  </si>
  <si>
    <t>=SUM(J655+K655)/H655*100</t>
  </si>
  <si>
    <t>N655</t>
  </si>
  <si>
    <t>=SUM(L655-M655)</t>
  </si>
  <si>
    <t>O655</t>
  </si>
  <si>
    <t>=SUM(I655/H655)*1000</t>
  </si>
  <si>
    <t>C656</t>
  </si>
  <si>
    <t>94.3 - day 4</t>
  </si>
  <si>
    <t>E656</t>
  </si>
  <si>
    <t>=H655</t>
  </si>
  <si>
    <t>H656</t>
  </si>
  <si>
    <t>=SUM(E656-F656-G656)</t>
  </si>
  <si>
    <t>L656</t>
  </si>
  <si>
    <t>=SUM(J656+K656)/H656*100</t>
  </si>
  <si>
    <t>N656</t>
  </si>
  <si>
    <t>=SUM(L656-M656)</t>
  </si>
  <si>
    <t>O656</t>
  </si>
  <si>
    <t>=SUM(I656/H656)*1000</t>
  </si>
  <si>
    <t>C657</t>
  </si>
  <si>
    <t>94.4 - day 5</t>
  </si>
  <si>
    <t>E657</t>
  </si>
  <si>
    <t>=H656</t>
  </si>
  <si>
    <t>H657</t>
  </si>
  <si>
    <t>=SUM(E657-F657-G657)</t>
  </si>
  <si>
    <t>L657</t>
  </si>
  <si>
    <t>=SUM(J657+K657)/H657*100</t>
  </si>
  <si>
    <t>N657</t>
  </si>
  <si>
    <t>=SUM(L657-M657)</t>
  </si>
  <si>
    <t>O657</t>
  </si>
  <si>
    <t>=SUM(I657/H657)*1000</t>
  </si>
  <si>
    <t>C658</t>
  </si>
  <si>
    <t>94.5 - day 6</t>
  </si>
  <si>
    <t>E658</t>
  </si>
  <si>
    <t>=H657</t>
  </si>
  <si>
    <t>H658</t>
  </si>
  <si>
    <t>=SUM(E658-F658-G658)</t>
  </si>
  <si>
    <t>L658</t>
  </si>
  <si>
    <t>=SUM(J658+K658)/H658*100</t>
  </si>
  <si>
    <t>N658</t>
  </si>
  <si>
    <t>=SUM(L658-M658)</t>
  </si>
  <si>
    <t>O658</t>
  </si>
  <si>
    <t>=SUM(I658/H658)*1000</t>
  </si>
  <si>
    <t>C659</t>
  </si>
  <si>
    <t>94.6 - day 7</t>
  </si>
  <si>
    <t>E659</t>
  </si>
  <si>
    <t>=H658</t>
  </si>
  <si>
    <t>H659</t>
  </si>
  <si>
    <t>=SUM(E659-F659-G659)</t>
  </si>
  <si>
    <t>L659</t>
  </si>
  <si>
    <t>=SUM(J659+K659)/H659*100</t>
  </si>
  <si>
    <t>N659</t>
  </si>
  <si>
    <t>=SUM(L659-M659)</t>
  </si>
  <si>
    <t>O659</t>
  </si>
  <si>
    <t>=SUM(I659/H659)*1000</t>
  </si>
  <si>
    <t>C660</t>
  </si>
  <si>
    <t>95.0 - day 1</t>
  </si>
  <si>
    <t>E660</t>
  </si>
  <si>
    <t>=H659</t>
  </si>
  <si>
    <t>H660</t>
  </si>
  <si>
    <t>=SUM(E660-F660-G660)</t>
  </si>
  <si>
    <t>L660</t>
  </si>
  <si>
    <t>=SUM(J660+K660)/H660*100</t>
  </si>
  <si>
    <t>N660</t>
  </si>
  <si>
    <t>=SUM(L660-M660)</t>
  </si>
  <si>
    <t>O660</t>
  </si>
  <si>
    <t>=SUM(I660/H660)*1000</t>
  </si>
  <si>
    <t>C661</t>
  </si>
  <si>
    <t>95.1 - day 2</t>
  </si>
  <si>
    <t>E661</t>
  </si>
  <si>
    <t>=H660</t>
  </si>
  <si>
    <t>H661</t>
  </si>
  <si>
    <t>=SUM(E661-F661-G661)</t>
  </si>
  <si>
    <t>L661</t>
  </si>
  <si>
    <t>=SUM(J661+K661)/H661*100</t>
  </si>
  <si>
    <t>N661</t>
  </si>
  <si>
    <t>=SUM(L661-M661)</t>
  </si>
  <si>
    <t>O661</t>
  </si>
  <si>
    <t>=SUM(I661/H661)*1000</t>
  </si>
  <si>
    <t>C662</t>
  </si>
  <si>
    <t>95.2 - day 3</t>
  </si>
  <si>
    <t>E662</t>
  </si>
  <si>
    <t>=H661</t>
  </si>
  <si>
    <t>H662</t>
  </si>
  <si>
    <t>=SUM(E662-F662-G662)</t>
  </si>
  <si>
    <t>L662</t>
  </si>
  <si>
    <t>=SUM(J662+K662)/H662*100</t>
  </si>
  <si>
    <t>N662</t>
  </si>
  <si>
    <t>=SUM(L662-M662)</t>
  </si>
  <si>
    <t>O662</t>
  </si>
  <si>
    <t>=SUM(I662/H662)*1000</t>
  </si>
  <si>
    <t>C663</t>
  </si>
  <si>
    <t>95.3 - day 4</t>
  </si>
  <si>
    <t>E663</t>
  </si>
  <si>
    <t>=H662</t>
  </si>
  <si>
    <t>H663</t>
  </si>
  <si>
    <t>=SUM(E663-F663-G663)</t>
  </si>
  <si>
    <t>L663</t>
  </si>
  <si>
    <t>=SUM(J663+K663)/H663*100</t>
  </si>
  <si>
    <t>N663</t>
  </si>
  <si>
    <t>=SUM(L663-M663)</t>
  </si>
  <si>
    <t>O663</t>
  </si>
  <si>
    <t>=SUM(I663/H663)*1000</t>
  </si>
  <si>
    <t>C664</t>
  </si>
  <si>
    <t>95.4 - day 5</t>
  </si>
  <si>
    <t>E664</t>
  </si>
  <si>
    <t>=H663</t>
  </si>
  <si>
    <t>H664</t>
  </si>
  <si>
    <t>=SUM(E664-F664-G664)</t>
  </si>
  <si>
    <t>L664</t>
  </si>
  <si>
    <t>=SUM(J664+K664)/H664*100</t>
  </si>
  <si>
    <t>N664</t>
  </si>
  <si>
    <t>=SUM(L664-M664)</t>
  </si>
  <si>
    <t>O664</t>
  </si>
  <si>
    <t>=SUM(I664/H664)*1000</t>
  </si>
  <si>
    <t>C665</t>
  </si>
  <si>
    <t>95.5 - day 6</t>
  </si>
  <si>
    <t>E665</t>
  </si>
  <si>
    <t>=H664</t>
  </si>
  <si>
    <t>H665</t>
  </si>
  <si>
    <t>=SUM(E665-F665-G665)</t>
  </si>
  <si>
    <t>L665</t>
  </si>
  <si>
    <t>=SUM(J665+K665)/H665*100</t>
  </si>
  <si>
    <t>N665</t>
  </si>
  <si>
    <t>=SUM(L665-M665)</t>
  </si>
  <si>
    <t>O665</t>
  </si>
  <si>
    <t>=SUM(I665/H665)*1000</t>
  </si>
  <si>
    <t>C666</t>
  </si>
  <si>
    <t>95.6 - day 7</t>
  </si>
  <si>
    <t>E666</t>
  </si>
  <si>
    <t>=H665</t>
  </si>
  <si>
    <t>H666</t>
  </si>
  <si>
    <t>=SUM(E666-F666-G666)</t>
  </si>
  <si>
    <t>L666</t>
  </si>
  <si>
    <t>=SUM(J666+K666)/H666*100</t>
  </si>
  <si>
    <t>N666</t>
  </si>
  <si>
    <t>=SUM(L666-M666)</t>
  </si>
  <si>
    <t>O666</t>
  </si>
  <si>
    <t>=SUM(I666/H666)*1000</t>
  </si>
  <si>
    <t>C667</t>
  </si>
  <si>
    <t>96.0 - day 1</t>
  </si>
  <si>
    <t>E667</t>
  </si>
  <si>
    <t>=H666</t>
  </si>
  <si>
    <t>H667</t>
  </si>
  <si>
    <t>=SUM(E667-F667-G667)</t>
  </si>
  <si>
    <t>L667</t>
  </si>
  <si>
    <t>=SUM(J667+K667)/H667*100</t>
  </si>
  <si>
    <t>N667</t>
  </si>
  <si>
    <t>=SUM(L667-M667)</t>
  </si>
  <si>
    <t>O667</t>
  </si>
  <si>
    <t>=SUM(I667/H667)*1000</t>
  </si>
  <si>
    <t>C668</t>
  </si>
  <si>
    <t>96.1 - day 2</t>
  </si>
  <si>
    <t>E668</t>
  </si>
  <si>
    <t>=H667</t>
  </si>
  <si>
    <t>H668</t>
  </si>
  <si>
    <t>=SUM(E668-F668-G668)</t>
  </si>
  <si>
    <t>L668</t>
  </si>
  <si>
    <t>=SUM(J668+K668)/H668*100</t>
  </si>
  <si>
    <t>N668</t>
  </si>
  <si>
    <t>=SUM(L668-M668)</t>
  </si>
  <si>
    <t>O668</t>
  </si>
  <si>
    <t>=SUM(I668/H668)*1000</t>
  </si>
  <si>
    <t>C669</t>
  </si>
  <si>
    <t>96.2 - day 3</t>
  </si>
  <si>
    <t>E669</t>
  </si>
  <si>
    <t>=H668</t>
  </si>
  <si>
    <t>H669</t>
  </si>
  <si>
    <t>=SUM(E669-F669-G669)</t>
  </si>
  <si>
    <t>L669</t>
  </si>
  <si>
    <t>=SUM(J669+K669)/H669*100</t>
  </si>
  <si>
    <t>N669</t>
  </si>
  <si>
    <t>=SUM(L669-M669)</t>
  </si>
  <si>
    <t>O669</t>
  </si>
  <si>
    <t>=SUM(I669/H669)*1000</t>
  </si>
  <si>
    <t>C670</t>
  </si>
  <si>
    <t>96.3 - day 4</t>
  </si>
  <si>
    <t>E670</t>
  </si>
  <si>
    <t>=H669</t>
  </si>
  <si>
    <t>H670</t>
  </si>
  <si>
    <t>=SUM(E670-F670-G670)</t>
  </si>
  <si>
    <t>L670</t>
  </si>
  <si>
    <t>=SUM(J670+K670)/H670*100</t>
  </si>
  <si>
    <t>N670</t>
  </si>
  <si>
    <t>=SUM(L670-M670)</t>
  </si>
  <si>
    <t>O670</t>
  </si>
  <si>
    <t>=SUM(I670/H670)*1000</t>
  </si>
  <si>
    <t>C671</t>
  </si>
  <si>
    <t>96.4 - day 5</t>
  </si>
  <si>
    <t>E671</t>
  </si>
  <si>
    <t>=H670</t>
  </si>
  <si>
    <t>H671</t>
  </si>
  <si>
    <t>=SUM(E671-F671-G671)</t>
  </si>
  <si>
    <t>L671</t>
  </si>
  <si>
    <t>=SUM(J671+K671)/H671*100</t>
  </si>
  <si>
    <t>N671</t>
  </si>
  <si>
    <t>=SUM(L671-M671)</t>
  </si>
  <si>
    <t>O671</t>
  </si>
  <si>
    <t>=SUM(I671/H671)*1000</t>
  </si>
  <si>
    <t>C672</t>
  </si>
  <si>
    <t>96.5 - day 6</t>
  </si>
  <si>
    <t>E672</t>
  </si>
  <si>
    <t>=H671</t>
  </si>
  <si>
    <t>H672</t>
  </si>
  <si>
    <t>=SUM(E672-F672-G672)</t>
  </si>
  <si>
    <t>L672</t>
  </si>
  <si>
    <t>=SUM(J672+K672)/H672*100</t>
  </si>
  <si>
    <t>N672</t>
  </si>
  <si>
    <t>=SUM(L672-M672)</t>
  </si>
  <si>
    <t>O672</t>
  </si>
  <si>
    <t>=SUM(I672/H672)*1000</t>
  </si>
  <si>
    <t>C673</t>
  </si>
  <si>
    <t>96.6 - day 7</t>
  </si>
  <si>
    <t>E673</t>
  </si>
  <si>
    <t>=H672</t>
  </si>
  <si>
    <t>H673</t>
  </si>
  <si>
    <t>=SUM(E673-F673-G673)</t>
  </si>
  <si>
    <t>L673</t>
  </si>
  <si>
    <t>=SUM(J673+K673)/H673*100</t>
  </si>
  <si>
    <t>N673</t>
  </si>
  <si>
    <t>=SUM(L673-M673)</t>
  </si>
  <si>
    <t>O673</t>
  </si>
  <si>
    <t>=SUM(I673/H673)*1000</t>
  </si>
  <si>
    <t>C674</t>
  </si>
  <si>
    <t>97.0 - day 1</t>
  </si>
  <si>
    <t>E674</t>
  </si>
  <si>
    <t>=H673</t>
  </si>
  <si>
    <t>H674</t>
  </si>
  <si>
    <t>=SUM(E674-F674-G674)</t>
  </si>
  <si>
    <t>L674</t>
  </si>
  <si>
    <t>=SUM(J674+K674)/H674*100</t>
  </si>
  <si>
    <t>N674</t>
  </si>
  <si>
    <t>=SUM(L674-M674)</t>
  </si>
  <si>
    <t>O674</t>
  </si>
  <si>
    <t>=SUM(I674/H674)*1000</t>
  </si>
  <si>
    <t>C675</t>
  </si>
  <si>
    <t>97.1 - day 2</t>
  </si>
  <si>
    <t>E675</t>
  </si>
  <si>
    <t>=H674</t>
  </si>
  <si>
    <t>H675</t>
  </si>
  <si>
    <t>=SUM(E675-F675-G675)</t>
  </si>
  <si>
    <t>L675</t>
  </si>
  <si>
    <t>=SUM(J675+K675)/H675*100</t>
  </si>
  <si>
    <t>N675</t>
  </si>
  <si>
    <t>=SUM(L675-M675)</t>
  </si>
  <si>
    <t>O675</t>
  </si>
  <si>
    <t>=SUM(I675/H675)*1000</t>
  </si>
  <si>
    <t>C676</t>
  </si>
  <si>
    <t>97.2 - day 3</t>
  </si>
  <si>
    <t>E676</t>
  </si>
  <si>
    <t>=H675</t>
  </si>
  <si>
    <t>H676</t>
  </si>
  <si>
    <t>=SUM(E676-F676-G676)</t>
  </si>
  <si>
    <t>L676</t>
  </si>
  <si>
    <t>=SUM(J676+K676)/H676*100</t>
  </si>
  <si>
    <t>N676</t>
  </si>
  <si>
    <t>=SUM(L676-M676)</t>
  </si>
  <si>
    <t>O676</t>
  </si>
  <si>
    <t>=SUM(I676/H676)*1000</t>
  </si>
  <si>
    <t>C677</t>
  </si>
  <si>
    <t>97.3 - day 4</t>
  </si>
  <si>
    <t>E677</t>
  </si>
  <si>
    <t>=H676</t>
  </si>
  <si>
    <t>H677</t>
  </si>
  <si>
    <t>=SUM(E677-F677-G677)</t>
  </si>
  <si>
    <t>L677</t>
  </si>
  <si>
    <t>=SUM(J677+K677)/H677*100</t>
  </si>
  <si>
    <t>N677</t>
  </si>
  <si>
    <t>=SUM(L677-M677)</t>
  </si>
  <si>
    <t>O677</t>
  </si>
  <si>
    <t>=SUM(I677/H677)*1000</t>
  </si>
  <si>
    <t>C678</t>
  </si>
  <si>
    <t>97.4 - day 5</t>
  </si>
  <si>
    <t>E678</t>
  </si>
  <si>
    <t>=H677</t>
  </si>
  <si>
    <t>H678</t>
  </si>
  <si>
    <t>=SUM(E678-F678-G678)</t>
  </si>
  <si>
    <t>L678</t>
  </si>
  <si>
    <t>=SUM(J678+K678)/H678*100</t>
  </si>
  <si>
    <t>N678</t>
  </si>
  <si>
    <t>=SUM(L678-M678)</t>
  </si>
  <si>
    <t>O678</t>
  </si>
  <si>
    <t>=SUM(I678/H678)*1000</t>
  </si>
  <si>
    <t>C679</t>
  </si>
  <si>
    <t>97.5 - day 6</t>
  </si>
  <si>
    <t>E679</t>
  </si>
  <si>
    <t>=H678</t>
  </si>
  <si>
    <t>H679</t>
  </si>
  <si>
    <t>=SUM(E679-F679-G679)</t>
  </si>
  <si>
    <t>L679</t>
  </si>
  <si>
    <t>=SUM(J679+K679)/H679*100</t>
  </si>
  <si>
    <t>N679</t>
  </si>
  <si>
    <t>=SUM(L679-M679)</t>
  </si>
  <si>
    <t>O679</t>
  </si>
  <si>
    <t>=SUM(I679/H679)*1000</t>
  </si>
  <si>
    <t>C680</t>
  </si>
  <si>
    <t>97.6 - day 7</t>
  </si>
  <si>
    <t>E680</t>
  </si>
  <si>
    <t>=H679</t>
  </si>
  <si>
    <t>H680</t>
  </si>
  <si>
    <t>=SUM(E680-F680-G680)</t>
  </si>
  <si>
    <t>L680</t>
  </si>
  <si>
    <t>=SUM(J680+K680)/H680*100</t>
  </si>
  <si>
    <t>N680</t>
  </si>
  <si>
    <t>=SUM(L680-M680)</t>
  </si>
  <si>
    <t>O680</t>
  </si>
  <si>
    <t>=SUM(I680/H680)*1000</t>
  </si>
  <si>
    <t>C681</t>
  </si>
  <si>
    <t>98.0 - day 1</t>
  </si>
  <si>
    <t>E681</t>
  </si>
  <si>
    <t>=H680</t>
  </si>
  <si>
    <t>H681</t>
  </si>
  <si>
    <t>=SUM(E681-F681-G681)</t>
  </si>
  <si>
    <t>L681</t>
  </si>
  <si>
    <t>=SUM(J681+K681)/H681*100</t>
  </si>
  <si>
    <t>N681</t>
  </si>
  <si>
    <t>=SUM(L681-M681)</t>
  </si>
  <si>
    <t>O681</t>
  </si>
  <si>
    <t>=SUM(I681/H681)*1000</t>
  </si>
  <si>
    <t>C682</t>
  </si>
  <si>
    <t>98.1 - day 2</t>
  </si>
  <si>
    <t>E682</t>
  </si>
  <si>
    <t>=H681</t>
  </si>
  <si>
    <t>H682</t>
  </si>
  <si>
    <t>=SUM(E682-F682-G682)</t>
  </si>
  <si>
    <t>L682</t>
  </si>
  <si>
    <t>=SUM(J682+K682)/H682*100</t>
  </si>
  <si>
    <t>N682</t>
  </si>
  <si>
    <t>=SUM(L682-M682)</t>
  </si>
  <si>
    <t>O682</t>
  </si>
  <si>
    <t>=SUM(I682/H682)*1000</t>
  </si>
  <si>
    <t>C683</t>
  </si>
  <si>
    <t>98.2 - day 3</t>
  </si>
  <si>
    <t>E683</t>
  </si>
  <si>
    <t>=H682</t>
  </si>
  <si>
    <t>H683</t>
  </si>
  <si>
    <t>=SUM(E683-F683-G683)</t>
  </si>
  <si>
    <t>L683</t>
  </si>
  <si>
    <t>=SUM(J683+K683)/H683*100</t>
  </si>
  <si>
    <t>N683</t>
  </si>
  <si>
    <t>=SUM(L683-M683)</t>
  </si>
  <si>
    <t>O683</t>
  </si>
  <si>
    <t>=SUM(I683/H683)*1000</t>
  </si>
  <si>
    <t>C684</t>
  </si>
  <si>
    <t>98.3 - day 4</t>
  </si>
  <si>
    <t>E684</t>
  </si>
  <si>
    <t>=H683</t>
  </si>
  <si>
    <t>H684</t>
  </si>
  <si>
    <t>=SUM(E684-F684-G684)</t>
  </si>
  <si>
    <t>L684</t>
  </si>
  <si>
    <t>=SUM(J684+K684)/H684*100</t>
  </si>
  <si>
    <t>N684</t>
  </si>
  <si>
    <t>=SUM(L684-M684)</t>
  </si>
  <si>
    <t>O684</t>
  </si>
  <si>
    <t>=SUM(I684/H684)*1000</t>
  </si>
  <si>
    <t>C685</t>
  </si>
  <si>
    <t>98.4 - day 5</t>
  </si>
  <si>
    <t>E685</t>
  </si>
  <si>
    <t>=H684</t>
  </si>
  <si>
    <t>H685</t>
  </si>
  <si>
    <t>=SUM(E685-F685-G685)</t>
  </si>
  <si>
    <t>L685</t>
  </si>
  <si>
    <t>=SUM(J685+K685)/H685*100</t>
  </si>
  <si>
    <t>N685</t>
  </si>
  <si>
    <t>=SUM(L685-M685)</t>
  </si>
  <si>
    <t>O685</t>
  </si>
  <si>
    <t>=SUM(I685/H685)*1000</t>
  </si>
  <si>
    <t>C686</t>
  </si>
  <si>
    <t>98.5 - day 6</t>
  </si>
  <si>
    <t>E686</t>
  </si>
  <si>
    <t>=H685</t>
  </si>
  <si>
    <t>H686</t>
  </si>
  <si>
    <t>=SUM(E686-F686-G686)</t>
  </si>
  <si>
    <t>L686</t>
  </si>
  <si>
    <t>=SUM(J686+K686)/H686*100</t>
  </si>
  <si>
    <t>N686</t>
  </si>
  <si>
    <t>=SUM(L686-M686)</t>
  </si>
  <si>
    <t>O686</t>
  </si>
  <si>
    <t>=SUM(I686/H686)*1000</t>
  </si>
  <si>
    <t>C687</t>
  </si>
  <si>
    <t>98.6 - day 7</t>
  </si>
  <si>
    <t>E687</t>
  </si>
  <si>
    <t>=H686</t>
  </si>
  <si>
    <t>H687</t>
  </si>
  <si>
    <t>=SUM(E687-F687-G687)</t>
  </si>
  <si>
    <t>L687</t>
  </si>
  <si>
    <t>=SUM(J687+K687)/H687*100</t>
  </si>
  <si>
    <t>N687</t>
  </si>
  <si>
    <t>=SUM(L687-M687)</t>
  </si>
  <si>
    <t>O687</t>
  </si>
  <si>
    <t>=SUM(I687/H687)*1000</t>
  </si>
  <si>
    <t>C688</t>
  </si>
  <si>
    <t>99.0 - day 1</t>
  </si>
  <si>
    <t>E688</t>
  </si>
  <si>
    <t>=H687</t>
  </si>
  <si>
    <t>H688</t>
  </si>
  <si>
    <t>=SUM(E688-F688-G688)</t>
  </si>
  <si>
    <t>L688</t>
  </si>
  <si>
    <t>=SUM(J688+K688)/H688*100</t>
  </si>
  <si>
    <t>N688</t>
  </si>
  <si>
    <t>=SUM(L688-M688)</t>
  </si>
  <si>
    <t>O688</t>
  </si>
  <si>
    <t>=SUM(I688/H688)*1000</t>
  </si>
  <si>
    <t>C689</t>
  </si>
  <si>
    <t>99.1 - day 2</t>
  </si>
  <si>
    <t>E689</t>
  </si>
  <si>
    <t>=H688</t>
  </si>
  <si>
    <t>H689</t>
  </si>
  <si>
    <t>=SUM(E689-F689-G689)</t>
  </si>
  <si>
    <t>L689</t>
  </si>
  <si>
    <t>=SUM(J689+K689)/H689*100</t>
  </si>
  <si>
    <t>N689</t>
  </si>
  <si>
    <t>=SUM(L689-M689)</t>
  </si>
  <si>
    <t>O689</t>
  </si>
  <si>
    <t>=SUM(I689/H689)*1000</t>
  </si>
  <si>
    <t>C690</t>
  </si>
  <si>
    <t>99.2 - day 3</t>
  </si>
  <si>
    <t>E690</t>
  </si>
  <si>
    <t>=H689</t>
  </si>
  <si>
    <t>H690</t>
  </si>
  <si>
    <t>=SUM(E690-F690-G690)</t>
  </si>
  <si>
    <t>L690</t>
  </si>
  <si>
    <t>=SUM(J690+K690)/H690*100</t>
  </si>
  <si>
    <t>N690</t>
  </si>
  <si>
    <t>=SUM(L690-M690)</t>
  </si>
  <si>
    <t>O690</t>
  </si>
  <si>
    <t>=SUM(I690/H690)*1000</t>
  </si>
  <si>
    <t>C691</t>
  </si>
  <si>
    <t>99.3 - day 4</t>
  </si>
  <si>
    <t>E691</t>
  </si>
  <si>
    <t>=H690</t>
  </si>
  <si>
    <t>H691</t>
  </si>
  <si>
    <t>=SUM(E691-F691-G691)</t>
  </si>
  <si>
    <t>L691</t>
  </si>
  <si>
    <t>=SUM(J691+K691)/H691*100</t>
  </si>
  <si>
    <t>N691</t>
  </si>
  <si>
    <t>=SUM(L691-M691)</t>
  </si>
  <si>
    <t>O691</t>
  </si>
  <si>
    <t>=SUM(I691/H691)*1000</t>
  </si>
  <si>
    <t>C692</t>
  </si>
  <si>
    <t>99.4 - day 5</t>
  </si>
  <si>
    <t>E692</t>
  </si>
  <si>
    <t>=H691</t>
  </si>
  <si>
    <t>H692</t>
  </si>
  <si>
    <t>=SUM(E692-F692-G692)</t>
  </si>
  <si>
    <t>L692</t>
  </si>
  <si>
    <t>=SUM(J692+K692)/H692*100</t>
  </si>
  <si>
    <t>N692</t>
  </si>
  <si>
    <t>=SUM(L692-M692)</t>
  </si>
  <si>
    <t>O692</t>
  </si>
  <si>
    <t>=SUM(I692/H692)*1000</t>
  </si>
  <si>
    <t>C693</t>
  </si>
  <si>
    <t>99.5 - day 6</t>
  </si>
  <si>
    <t>E693</t>
  </si>
  <si>
    <t>=H692</t>
  </si>
  <si>
    <t>H693</t>
  </si>
  <si>
    <t>=SUM(E693-F693-G693)</t>
  </si>
  <si>
    <t>L693</t>
  </si>
  <si>
    <t>=SUM(J693+K693)/H693*100</t>
  </si>
  <si>
    <t>N693</t>
  </si>
  <si>
    <t>=SUM(L693-M693)</t>
  </si>
  <si>
    <t>O693</t>
  </si>
  <si>
    <t>=SUM(I693/H693)*1000</t>
  </si>
  <si>
    <t>C694</t>
  </si>
  <si>
    <t>99.6 - day 7</t>
  </si>
  <si>
    <t>E694</t>
  </si>
  <si>
    <t>=H693</t>
  </si>
  <si>
    <t>H694</t>
  </si>
  <si>
    <t>=SUM(E694-F694-G694)</t>
  </si>
  <si>
    <t>L694</t>
  </si>
  <si>
    <t>=SUM(J694+K694)/H694*100</t>
  </si>
  <si>
    <t>N694</t>
  </si>
  <si>
    <t>=SUM(L694-M694)</t>
  </si>
  <si>
    <t>O694</t>
  </si>
  <si>
    <t>=SUM(I694/H694)*1000</t>
  </si>
  <si>
    <t>C695</t>
  </si>
  <si>
    <t>100.0 - day 1</t>
  </si>
  <si>
    <t>E695</t>
  </si>
  <si>
    <t>=H694</t>
  </si>
  <si>
    <t>H695</t>
  </si>
  <si>
    <t>=SUM(E695-F695-G695)</t>
  </si>
  <si>
    <t>L695</t>
  </si>
  <si>
    <t>=SUM(J695+K695)/H695*100</t>
  </si>
  <si>
    <t>N695</t>
  </si>
  <si>
    <t>=SUM(L695-M695)</t>
  </si>
  <si>
    <t>O695</t>
  </si>
  <si>
    <t>=SUM(I695/H695)*1000</t>
  </si>
  <si>
    <t>C696</t>
  </si>
  <si>
    <t>100.1 - day 2</t>
  </si>
  <si>
    <t>E696</t>
  </si>
  <si>
    <t>=H695</t>
  </si>
  <si>
    <t>H696</t>
  </si>
  <si>
    <t>=SUM(E696-F696-G696)</t>
  </si>
  <si>
    <t>L696</t>
  </si>
  <si>
    <t>=SUM(J696+K696)/H696*100</t>
  </si>
  <si>
    <t>N696</t>
  </si>
  <si>
    <t>=SUM(L696-M696)</t>
  </si>
  <si>
    <t>O696</t>
  </si>
  <si>
    <t>=SUM(I696/H696)*1000</t>
  </si>
  <si>
    <t>C697</t>
  </si>
  <si>
    <t>100.2 - day 3</t>
  </si>
  <si>
    <t>E697</t>
  </si>
  <si>
    <t>=H696</t>
  </si>
  <si>
    <t>H697</t>
  </si>
  <si>
    <t>=SUM(E697-F697-G697)</t>
  </si>
  <si>
    <t>L697</t>
  </si>
  <si>
    <t>=SUM(J697+K697)/H697*100</t>
  </si>
  <si>
    <t>N697</t>
  </si>
  <si>
    <t>=SUM(L697-M697)</t>
  </si>
  <si>
    <t>O697</t>
  </si>
  <si>
    <t>=SUM(I697/H697)*1000</t>
  </si>
  <si>
    <t>C698</t>
  </si>
  <si>
    <t>100.3 - day 4</t>
  </si>
  <si>
    <t>E698</t>
  </si>
  <si>
    <t>=H697</t>
  </si>
  <si>
    <t>H698</t>
  </si>
  <si>
    <t>=SUM(E698-F698-G698)</t>
  </si>
  <si>
    <t>L698</t>
  </si>
  <si>
    <t>=SUM(J698+K698)/H698*100</t>
  </si>
  <si>
    <t>N698</t>
  </si>
  <si>
    <t>=SUM(L698-M698)</t>
  </si>
  <si>
    <t>O698</t>
  </si>
  <si>
    <t>=SUM(I698/H698)*1000</t>
  </si>
  <si>
    <t>C699</t>
  </si>
  <si>
    <t>100.4 - day 5</t>
  </si>
  <si>
    <t>E699</t>
  </si>
  <si>
    <t>=H698</t>
  </si>
  <si>
    <t>H699</t>
  </si>
  <si>
    <t>=SUM(E699-F699-G699)</t>
  </si>
  <si>
    <t>L699</t>
  </si>
  <si>
    <t>=SUM(J699+K699)/H699*100</t>
  </si>
  <si>
    <t>N699</t>
  </si>
  <si>
    <t>=SUM(L699-M699)</t>
  </si>
  <si>
    <t>O699</t>
  </si>
  <si>
    <t>=SUM(I699/H699)*1000</t>
  </si>
  <si>
    <t>C700</t>
  </si>
  <si>
    <t>100.5 - day 6</t>
  </si>
  <si>
    <t>E700</t>
  </si>
  <si>
    <t>=H699</t>
  </si>
  <si>
    <t>H700</t>
  </si>
  <si>
    <t>=SUM(E700-F700-G700)</t>
  </si>
  <si>
    <t>L700</t>
  </si>
  <si>
    <t>=SUM(J700+K700)/H700*100</t>
  </si>
  <si>
    <t>N700</t>
  </si>
  <si>
    <t>=SUM(L700-M700)</t>
  </si>
  <si>
    <t>O700</t>
  </si>
  <si>
    <t>=SUM(I700/H700)*1000</t>
  </si>
  <si>
    <t>C701</t>
  </si>
  <si>
    <t>100.6 - day 7</t>
  </si>
  <si>
    <t>E701</t>
  </si>
  <si>
    <t>=H700</t>
  </si>
  <si>
    <t>H701</t>
  </si>
  <si>
    <t>=SUM(E701-F701-G701)</t>
  </si>
  <si>
    <t>L701</t>
  </si>
  <si>
    <t>=SUM(J701+K701)/H701*100</t>
  </si>
  <si>
    <t>N701</t>
  </si>
  <si>
    <t>=SUM(L701-M701)</t>
  </si>
  <si>
    <t>O701</t>
  </si>
  <si>
    <t>=SUM(I701/H701)*1000</t>
  </si>
  <si>
    <t>C702</t>
  </si>
  <si>
    <t>101.0 - day 1</t>
  </si>
  <si>
    <t>E702</t>
  </si>
  <si>
    <t>=H701</t>
  </si>
  <si>
    <t>H702</t>
  </si>
  <si>
    <t>=SUM(E702-F702-G702)</t>
  </si>
  <si>
    <t>L702</t>
  </si>
  <si>
    <t>=SUM(J702+K702)/H702*100</t>
  </si>
  <si>
    <t>N702</t>
  </si>
  <si>
    <t>=SUM(L702-M702)</t>
  </si>
  <si>
    <t>O702</t>
  </si>
  <si>
    <t>=SUM(I702/H702)*1000</t>
  </si>
  <si>
    <t>C703</t>
  </si>
  <si>
    <t>101.1 - day 2</t>
  </si>
  <si>
    <t>E703</t>
  </si>
  <si>
    <t>=H702</t>
  </si>
  <si>
    <t>H703</t>
  </si>
  <si>
    <t>=SUM(E703-F703-G703)</t>
  </si>
  <si>
    <t>L703</t>
  </si>
  <si>
    <t>=SUM(J703+K703)/H703*100</t>
  </si>
  <si>
    <t>N703</t>
  </si>
  <si>
    <t>=SUM(L703-M703)</t>
  </si>
  <si>
    <t>O703</t>
  </si>
  <si>
    <t>=SUM(I703/H703)*1000</t>
  </si>
  <si>
    <t>C704</t>
  </si>
  <si>
    <t>101.2 - day 3</t>
  </si>
  <si>
    <t>E704</t>
  </si>
  <si>
    <t>=H703</t>
  </si>
  <si>
    <t>H704</t>
  </si>
  <si>
    <t>=SUM(E704-F704-G704)</t>
  </si>
  <si>
    <t>L704</t>
  </si>
  <si>
    <t>=SUM(J704+K704)/H704*100</t>
  </si>
  <si>
    <t>N704</t>
  </si>
  <si>
    <t>=SUM(L704-M704)</t>
  </si>
  <si>
    <t>O704</t>
  </si>
  <si>
    <t>=SUM(I704/H704)*1000</t>
  </si>
  <si>
    <t>C705</t>
  </si>
  <si>
    <t>101.3 - day 4</t>
  </si>
  <si>
    <t>E705</t>
  </si>
  <si>
    <t>=H704</t>
  </si>
  <si>
    <t>H705</t>
  </si>
  <si>
    <t>=SUM(E705-F705-G705)</t>
  </si>
  <si>
    <t>L705</t>
  </si>
  <si>
    <t>=SUM(J705+K705)/H705*100</t>
  </si>
  <si>
    <t>N705</t>
  </si>
  <si>
    <t>=SUM(L705-M705)</t>
  </si>
  <si>
    <t>O705</t>
  </si>
  <si>
    <t>=SUM(I705/H705)*1000</t>
  </si>
  <si>
    <t>C706</t>
  </si>
  <si>
    <t>101.4 - day 5</t>
  </si>
  <si>
    <t>E706</t>
  </si>
  <si>
    <t>=H705</t>
  </si>
  <si>
    <t>H706</t>
  </si>
  <si>
    <t>=SUM(E706-F706-G706)</t>
  </si>
  <si>
    <t>L706</t>
  </si>
  <si>
    <t>=SUM(J706+K706)/H706*100</t>
  </si>
  <si>
    <t>N706</t>
  </si>
  <si>
    <t>=SUM(L706-M706)</t>
  </si>
  <si>
    <t>O706</t>
  </si>
  <si>
    <t>=SUM(I706/H706)*1000</t>
  </si>
  <si>
    <t>C707</t>
  </si>
  <si>
    <t>101.5 - day 6</t>
  </si>
  <si>
    <t>E707</t>
  </si>
  <si>
    <t>=H706</t>
  </si>
  <si>
    <t>H707</t>
  </si>
  <si>
    <t>=SUM(E707-F707-G707)</t>
  </si>
  <si>
    <t>L707</t>
  </si>
  <si>
    <t>=SUM(J707+K707)/H707*100</t>
  </si>
  <si>
    <t>N707</t>
  </si>
  <si>
    <t>=SUM(L707-M707)</t>
  </si>
  <si>
    <t>O707</t>
  </si>
  <si>
    <t>=SUM(I707/H707)*1000</t>
  </si>
  <si>
    <t>C708</t>
  </si>
  <si>
    <t>101.6 - day 7</t>
  </si>
  <si>
    <t>E708</t>
  </si>
  <si>
    <t>=H707</t>
  </si>
  <si>
    <t>H708</t>
  </si>
  <si>
    <t>=SUM(E708-F708-G708)</t>
  </si>
  <si>
    <t>L708</t>
  </si>
  <si>
    <t>=SUM(J708+K708)/H708*100</t>
  </si>
  <si>
    <t>N708</t>
  </si>
  <si>
    <t>=SUM(L708-M708)</t>
  </si>
  <si>
    <t>O708</t>
  </si>
  <si>
    <t>=SUM(I708/H708)*1000</t>
  </si>
  <si>
    <t>C709</t>
  </si>
  <si>
    <t>102.0 - day 1</t>
  </si>
  <si>
    <t>E709</t>
  </si>
  <si>
    <t>=H708</t>
  </si>
  <si>
    <t>H709</t>
  </si>
  <si>
    <t>=SUM(E709-F709-G709)</t>
  </si>
  <si>
    <t>L709</t>
  </si>
  <si>
    <t>=SUM(J709+K709)/H709*100</t>
  </si>
  <si>
    <t>N709</t>
  </si>
  <si>
    <t>=SUM(L709-M709)</t>
  </si>
  <si>
    <t>O709</t>
  </si>
  <si>
    <t>=SUM(I709/H709)*1000</t>
  </si>
  <si>
    <t>C710</t>
  </si>
  <si>
    <t>102.1 - day 2</t>
  </si>
  <si>
    <t>E710</t>
  </si>
  <si>
    <t>=H709</t>
  </si>
  <si>
    <t>H710</t>
  </si>
  <si>
    <t>=SUM(E710-F710-G710)</t>
  </si>
  <si>
    <t>L710</t>
  </si>
  <si>
    <t>=SUM(J710+K710)/H710*100</t>
  </si>
  <si>
    <t>N710</t>
  </si>
  <si>
    <t>=SUM(L710-M710)</t>
  </si>
  <si>
    <t>O710</t>
  </si>
  <si>
    <t>=SUM(I710/H710)*1000</t>
  </si>
  <si>
    <t>C711</t>
  </si>
  <si>
    <t>102.2 - day 3</t>
  </si>
  <si>
    <t>E711</t>
  </si>
  <si>
    <t>=H710</t>
  </si>
  <si>
    <t>H711</t>
  </si>
  <si>
    <t>=SUM(E711-F711-G711)</t>
  </si>
  <si>
    <t>L711</t>
  </si>
  <si>
    <t>=SUM(J711+K711)/H711*100</t>
  </si>
  <si>
    <t>N711</t>
  </si>
  <si>
    <t>=SUM(L711-M711)</t>
  </si>
  <si>
    <t>O711</t>
  </si>
  <si>
    <t>=SUM(I711/H711)*1000</t>
  </si>
  <si>
    <t>C712</t>
  </si>
  <si>
    <t>102.3 - day 4</t>
  </si>
  <si>
    <t>E712</t>
  </si>
  <si>
    <t>=H711</t>
  </si>
  <si>
    <t>H712</t>
  </si>
  <si>
    <t>=SUM(E712-F712-G712)</t>
  </si>
  <si>
    <t>L712</t>
  </si>
  <si>
    <t>=SUM(J712+K712)/H712*100</t>
  </si>
  <si>
    <t>N712</t>
  </si>
  <si>
    <t>=SUM(L712-M712)</t>
  </si>
  <si>
    <t>O712</t>
  </si>
  <si>
    <t>=SUM(I712/H712)*1000</t>
  </si>
  <si>
    <t>C713</t>
  </si>
  <si>
    <t>102.4 - day 5</t>
  </si>
  <si>
    <t>E713</t>
  </si>
  <si>
    <t>=H712</t>
  </si>
  <si>
    <t>H713</t>
  </si>
  <si>
    <t>=SUM(E713-F713-G713)</t>
  </si>
  <si>
    <t>L713</t>
  </si>
  <si>
    <t>=SUM(J713+K713)/H713*100</t>
  </si>
  <si>
    <t>N713</t>
  </si>
  <si>
    <t>=SUM(L713-M713)</t>
  </si>
  <si>
    <t>O713</t>
  </si>
  <si>
    <t>=SUM(I713/H713)*1000</t>
  </si>
  <si>
    <t>C714</t>
  </si>
  <si>
    <t>102.5 - day 6</t>
  </si>
  <si>
    <t>E714</t>
  </si>
  <si>
    <t>=H713</t>
  </si>
  <si>
    <t>H714</t>
  </si>
  <si>
    <t>=SUM(E714-F714-G714)</t>
  </si>
  <si>
    <t>L714</t>
  </si>
  <si>
    <t>=SUM(J714+K714)/H714*100</t>
  </si>
  <si>
    <t>N714</t>
  </si>
  <si>
    <t>=SUM(L714-M714)</t>
  </si>
  <si>
    <t>O714</t>
  </si>
  <si>
    <t>=SUM(I714/H714)*1000</t>
  </si>
  <si>
    <t>C715</t>
  </si>
  <si>
    <t>102.6 - day 7</t>
  </si>
  <si>
    <t>E715</t>
  </si>
  <si>
    <t>=H714</t>
  </si>
  <si>
    <t>H715</t>
  </si>
  <si>
    <t>=SUM(E715-F715-G715)</t>
  </si>
  <si>
    <t>L715</t>
  </si>
  <si>
    <t>=SUM(J715+K715)/H715*100</t>
  </si>
  <si>
    <t>N715</t>
  </si>
  <si>
    <t>=SUM(L715-M715)</t>
  </si>
  <si>
    <t>O715</t>
  </si>
  <si>
    <t>=SUM(I715/H715)*1000</t>
  </si>
  <si>
    <t>C716</t>
  </si>
  <si>
    <t>103.0 - day 1</t>
  </si>
  <si>
    <t>E716</t>
  </si>
  <si>
    <t>=H715</t>
  </si>
  <si>
    <t>H716</t>
  </si>
  <si>
    <t>=SUM(E716-F716-G716)</t>
  </si>
  <si>
    <t>L716</t>
  </si>
  <si>
    <t>=SUM(J716+K716)/H716*100</t>
  </si>
  <si>
    <t>N716</t>
  </si>
  <si>
    <t>=SUM(L716-M716)</t>
  </si>
  <si>
    <t>O716</t>
  </si>
  <si>
    <t>=SUM(I716/H716)*1000</t>
  </si>
  <si>
    <t>C717</t>
  </si>
  <si>
    <t>103.1 - day 2</t>
  </si>
  <si>
    <t>E717</t>
  </si>
  <si>
    <t>=H716</t>
  </si>
  <si>
    <t>H717</t>
  </si>
  <si>
    <t>=SUM(E717-F717-G717)</t>
  </si>
  <si>
    <t>L717</t>
  </si>
  <si>
    <t>=SUM(J717+K717)/H717*100</t>
  </si>
  <si>
    <t>N717</t>
  </si>
  <si>
    <t>=SUM(L717-M717)</t>
  </si>
  <si>
    <t>O717</t>
  </si>
  <si>
    <t>=SUM(I717/H717)*1000</t>
  </si>
  <si>
    <t>C718</t>
  </si>
  <si>
    <t>103.2 - day 3</t>
  </si>
  <si>
    <t>E718</t>
  </si>
  <si>
    <t>=H717</t>
  </si>
  <si>
    <t>H718</t>
  </si>
  <si>
    <t>=SUM(E718-F718-G718)</t>
  </si>
  <si>
    <t>L718</t>
  </si>
  <si>
    <t>=SUM(J718+K718)/H718*100</t>
  </si>
  <si>
    <t>N718</t>
  </si>
  <si>
    <t>=SUM(L718-M718)</t>
  </si>
  <si>
    <t>O718</t>
  </si>
  <si>
    <t>=SUM(I718/H718)*1000</t>
  </si>
  <si>
    <t>C719</t>
  </si>
  <si>
    <t>103.3 - day 4</t>
  </si>
  <si>
    <t>E719</t>
  </si>
  <si>
    <t>=H718</t>
  </si>
  <si>
    <t>H719</t>
  </si>
  <si>
    <t>=SUM(E719-F719-G719)</t>
  </si>
  <si>
    <t>L719</t>
  </si>
  <si>
    <t>=SUM(J719+K719)/H719*100</t>
  </si>
  <si>
    <t>N719</t>
  </si>
  <si>
    <t>=SUM(L719-M719)</t>
  </si>
  <si>
    <t>O719</t>
  </si>
  <si>
    <t>=SUM(I719/H719)*1000</t>
  </si>
  <si>
    <t>C720</t>
  </si>
  <si>
    <t>103.4 - day 5</t>
  </si>
  <si>
    <t>E720</t>
  </si>
  <si>
    <t>=H719</t>
  </si>
  <si>
    <t>H720</t>
  </si>
  <si>
    <t>=SUM(E720-F720-G720)</t>
  </si>
  <si>
    <t>L720</t>
  </si>
  <si>
    <t>=SUM(J720+K720)/H720*100</t>
  </si>
  <si>
    <t>N720</t>
  </si>
  <si>
    <t>=SUM(L720-M720)</t>
  </si>
  <si>
    <t>O720</t>
  </si>
  <si>
    <t>=SUM(I720/H720)*1000</t>
  </si>
  <si>
    <t>C721</t>
  </si>
  <si>
    <t>103.5 - day 6</t>
  </si>
  <si>
    <t>E721</t>
  </si>
  <si>
    <t>=H720</t>
  </si>
  <si>
    <t>H721</t>
  </si>
  <si>
    <t>=SUM(E721-F721-G721)</t>
  </si>
  <si>
    <t>L721</t>
  </si>
  <si>
    <t>=SUM(J721+K721)/H721*100</t>
  </si>
  <si>
    <t>N721</t>
  </si>
  <si>
    <t>=SUM(L721-M721)</t>
  </si>
  <si>
    <t>O721</t>
  </si>
  <si>
    <t>=SUM(I721/H721)*1000</t>
  </si>
  <si>
    <t>C722</t>
  </si>
  <si>
    <t>103.6 - day 7</t>
  </si>
  <si>
    <t>E722</t>
  </si>
  <si>
    <t>=H721</t>
  </si>
  <si>
    <t>H722</t>
  </si>
  <si>
    <t>=SUM(E722-F722-G722)</t>
  </si>
  <si>
    <t>L722</t>
  </si>
  <si>
    <t>=SUM(J722+K722)/H722*100</t>
  </si>
  <si>
    <t>N722</t>
  </si>
  <si>
    <t>=SUM(L722-M722)</t>
  </si>
  <si>
    <t>O722</t>
  </si>
  <si>
    <t>=SUM(I722/H722)*1000</t>
  </si>
  <si>
    <t>C723</t>
  </si>
  <si>
    <t>104.0 - day 1</t>
  </si>
  <si>
    <t>E723</t>
  </si>
  <si>
    <t>=H722</t>
  </si>
  <si>
    <t>H723</t>
  </si>
  <si>
    <t>=SUM(E723-F723-G723)</t>
  </si>
  <si>
    <t>L723</t>
  </si>
  <si>
    <t>=SUM(J723+K723)/H723*100</t>
  </si>
  <si>
    <t>N723</t>
  </si>
  <si>
    <t>=SUM(L723-M723)</t>
  </si>
  <si>
    <t>O723</t>
  </si>
  <si>
    <t>=SUM(I723/H723)*1000</t>
  </si>
  <si>
    <t>C724</t>
  </si>
  <si>
    <t>104.1 - day 2</t>
  </si>
  <si>
    <t>E724</t>
  </si>
  <si>
    <t>=H723</t>
  </si>
  <si>
    <t>H724</t>
  </si>
  <si>
    <t>=SUM(E724-F724-G724)</t>
  </si>
  <si>
    <t>L724</t>
  </si>
  <si>
    <t>=SUM(J724+K724)/H724*100</t>
  </si>
  <si>
    <t>N724</t>
  </si>
  <si>
    <t>=SUM(L724-M724)</t>
  </si>
  <si>
    <t>O724</t>
  </si>
  <si>
    <t>=SUM(I724/H724)*1000</t>
  </si>
  <si>
    <t>C725</t>
  </si>
  <si>
    <t>104.2 - day 3</t>
  </si>
  <si>
    <t>E725</t>
  </si>
  <si>
    <t>=H724</t>
  </si>
  <si>
    <t>H725</t>
  </si>
  <si>
    <t>=SUM(E725-F725-G725)</t>
  </si>
  <si>
    <t>L725</t>
  </si>
  <si>
    <t>=SUM(J725+K725)/H725*100</t>
  </si>
  <si>
    <t>N725</t>
  </si>
  <si>
    <t>=SUM(L725-M725)</t>
  </si>
  <si>
    <t>O725</t>
  </si>
  <si>
    <t>=SUM(I725/H725)*1000</t>
  </si>
  <si>
    <t>C726</t>
  </si>
  <si>
    <t>104.3 - day 4</t>
  </si>
  <si>
    <t>E726</t>
  </si>
  <si>
    <t>=H725</t>
  </si>
  <si>
    <t>H726</t>
  </si>
  <si>
    <t>=SUM(E726-F726-G726)</t>
  </si>
  <si>
    <t>L726</t>
  </si>
  <si>
    <t>=SUM(J726+K726)/H726*100</t>
  </si>
  <si>
    <t>N726</t>
  </si>
  <si>
    <t>=SUM(L726-M726)</t>
  </si>
  <si>
    <t>O726</t>
  </si>
  <si>
    <t>=SUM(I726/H726)*1000</t>
  </si>
  <si>
    <t>C727</t>
  </si>
  <si>
    <t>104.4 - day 5</t>
  </si>
  <si>
    <t>E727</t>
  </si>
  <si>
    <t>=H726</t>
  </si>
  <si>
    <t>H727</t>
  </si>
  <si>
    <t>=SUM(E727-F727-G727)</t>
  </si>
  <si>
    <t>L727</t>
  </si>
  <si>
    <t>=SUM(J727+K727)/H727*100</t>
  </si>
  <si>
    <t>N727</t>
  </si>
  <si>
    <t>=SUM(L727-M727)</t>
  </si>
  <si>
    <t>O727</t>
  </si>
  <si>
    <t>=SUM(I727/H727)*1000</t>
  </si>
  <si>
    <t>C728</t>
  </si>
  <si>
    <t>104.5 - day 6</t>
  </si>
  <si>
    <t>E728</t>
  </si>
  <si>
    <t>=H727</t>
  </si>
  <si>
    <t>H728</t>
  </si>
  <si>
    <t>=SUM(E728-F728-G728)</t>
  </si>
  <si>
    <t>L728</t>
  </si>
  <si>
    <t>=SUM(J728+K728)/H728*100</t>
  </si>
  <si>
    <t>N728</t>
  </si>
  <si>
    <t>=SUM(L728-M728)</t>
  </si>
  <si>
    <t>O728</t>
  </si>
  <si>
    <t>=SUM(I728/H728)*1000</t>
  </si>
  <si>
    <t>C729</t>
  </si>
  <si>
    <t>104.6 - day 7</t>
  </si>
  <si>
    <t>E729</t>
  </si>
  <si>
    <t>=H728</t>
  </si>
  <si>
    <t>H729</t>
  </si>
  <si>
    <t>=SUM(E729-F729-G729)</t>
  </si>
  <si>
    <t>L729</t>
  </si>
  <si>
    <t>=SUM(J729+K729)/H729*100</t>
  </si>
  <si>
    <t>N729</t>
  </si>
  <si>
    <t>=SUM(L729-M729)</t>
  </si>
  <si>
    <t>O729</t>
  </si>
  <si>
    <t>=SUM(I729/H729)*1000</t>
  </si>
  <si>
    <t>C730</t>
  </si>
  <si>
    <t>105.0 - day 1</t>
  </si>
  <si>
    <t>E730</t>
  </si>
  <si>
    <t>=H729</t>
  </si>
  <si>
    <t>H730</t>
  </si>
  <si>
    <t>=SUM(E730-F730-G730)</t>
  </si>
  <si>
    <t>L730</t>
  </si>
  <si>
    <t>=SUM(J730+K730)/H730*100</t>
  </si>
  <si>
    <t>N730</t>
  </si>
  <si>
    <t>=SUM(L730-M730)</t>
  </si>
  <si>
    <t>O730</t>
  </si>
  <si>
    <t>=SUM(I730/H730)*1000</t>
  </si>
  <si>
    <t>Sheet1</t>
  </si>
  <si>
    <t>=SUM('flock performance sheet'!F128:F134+'flock performance sheet'!G128:G134)</t>
  </si>
  <si>
    <t>Totals seven days of mortality and culls from the flock performance sheet.</t>
  </si>
  <si>
    <t>D4</t>
  </si>
  <si>
    <t>=C4/B4%</t>
  </si>
  <si>
    <t>Calculates weekly depletion as a percentage of the bird count.</t>
  </si>
  <si>
    <t>=D4</t>
  </si>
  <si>
    <t>Adds the current depletion percentage to the previous cumulative depletion.</t>
  </si>
  <si>
    <t>F4</t>
  </si>
  <si>
    <t>=SUM('flock performance sheet'!J128:J134+'flock performance sheet'!K128:K134)</t>
  </si>
  <si>
    <t>Totals seven days of egg production and egg breakage from the flock performance sheet.</t>
  </si>
  <si>
    <t>G4</t>
  </si>
  <si>
    <t>=(F4/B4%)/7</t>
  </si>
  <si>
    <t>Calculates weekly hen-day production percentage from weekly eggs and birds.</t>
  </si>
  <si>
    <t>=F4/B4</t>
  </si>
  <si>
    <t>Calculates weekly hen-housed production per original housed bird.</t>
  </si>
  <si>
    <t>I4</t>
  </si>
  <si>
    <t>Adds the current hen-housed production to the prior cumulative total.</t>
  </si>
  <si>
    <t>B5</t>
  </si>
  <si>
    <t>=B4-C4</t>
  </si>
  <si>
    <t>Calculates birds remaining by subtracting the prior week depletion from the prior bird count.</t>
  </si>
  <si>
    <t>=SUM('flock performance sheet'!F135:F141+'flock performance sheet'!G135:G141)</t>
  </si>
  <si>
    <t>D5</t>
  </si>
  <si>
    <t>=C5/B5%</t>
  </si>
  <si>
    <t>=E4+D5</t>
  </si>
  <si>
    <t>F5</t>
  </si>
  <si>
    <t>=SUM('flock performance sheet'!J135:J141+'flock performance sheet'!K135:K141)</t>
  </si>
  <si>
    <t>G5</t>
  </si>
  <si>
    <t>=(F5/B5%)/7</t>
  </si>
  <si>
    <t>=F5/B4</t>
  </si>
  <si>
    <t>I5</t>
  </si>
  <si>
    <t>=I4+H5</t>
  </si>
  <si>
    <t>B6</t>
  </si>
  <si>
    <t>=B5-C5</t>
  </si>
  <si>
    <t>=SUM('flock performance sheet'!F142:F148+'flock performance sheet'!G142:G148)</t>
  </si>
  <si>
    <t>D6</t>
  </si>
  <si>
    <t>=C6/B6%</t>
  </si>
  <si>
    <t>=E5+D6</t>
  </si>
  <si>
    <t>F6</t>
  </si>
  <si>
    <t>=SUM('flock performance sheet'!J142:J148+'flock performance sheet'!K142:K148)</t>
  </si>
  <si>
    <t>G6</t>
  </si>
  <si>
    <t>=(F6/B6%)/7</t>
  </si>
  <si>
    <t>=F6/B4</t>
  </si>
  <si>
    <t>I6</t>
  </si>
  <si>
    <t>=I5+H6</t>
  </si>
  <si>
    <t>B7</t>
  </si>
  <si>
    <t>=B6-C6</t>
  </si>
  <si>
    <t>=SUM('flock performance sheet'!F149:F155+'flock performance sheet'!G149:G155)</t>
  </si>
  <si>
    <t>D7</t>
  </si>
  <si>
    <t>=C7/B7%</t>
  </si>
  <si>
    <t>=E6+D7</t>
  </si>
  <si>
    <t>F7</t>
  </si>
  <si>
    <t>=SUM('flock performance sheet'!J149:J155+'flock performance sheet'!K149:K155)</t>
  </si>
  <si>
    <t>G7</t>
  </si>
  <si>
    <t>=(F7/B7%)/7</t>
  </si>
  <si>
    <t>=F7/B4</t>
  </si>
  <si>
    <t>I7</t>
  </si>
  <si>
    <t>=I6+H7</t>
  </si>
  <si>
    <t>B8</t>
  </si>
  <si>
    <t>=B7-C7</t>
  </si>
  <si>
    <t>=SUM('flock performance sheet'!F156:F162+'flock performance sheet'!G156:G162)</t>
  </si>
  <si>
    <t>D8</t>
  </si>
  <si>
    <t>=C8/B8%</t>
  </si>
  <si>
    <t>=E7+D8</t>
  </si>
  <si>
    <t>F8</t>
  </si>
  <si>
    <t>=SUM('flock performance sheet'!J156:J162+'flock performance sheet'!K156:K162)</t>
  </si>
  <si>
    <t>G8</t>
  </si>
  <si>
    <t>=(F8/B8%)/7</t>
  </si>
  <si>
    <t>=F8/B4</t>
  </si>
  <si>
    <t>I8</t>
  </si>
  <si>
    <t>=I7+H8</t>
  </si>
  <si>
    <t>B9</t>
  </si>
  <si>
    <t>=B8-C8</t>
  </si>
  <si>
    <t>=SUM('flock performance sheet'!F163:F169+'flock performance sheet'!G163:G169)</t>
  </si>
  <si>
    <t>D9</t>
  </si>
  <si>
    <t>=C9/B9%</t>
  </si>
  <si>
    <t>=E8+D9</t>
  </si>
  <si>
    <t>F9</t>
  </si>
  <si>
    <t>=SUM('flock performance sheet'!J163:J169+'flock performance sheet'!K163:K169)</t>
  </si>
  <si>
    <t>G9</t>
  </si>
  <si>
    <t>=(F9/B9%)/7</t>
  </si>
  <si>
    <t>=F9/B4</t>
  </si>
  <si>
    <t>I9</t>
  </si>
  <si>
    <t>=I8+H9</t>
  </si>
  <si>
    <t>B10</t>
  </si>
  <si>
    <t>=B9-C9</t>
  </si>
  <si>
    <t>=SUM('flock performance sheet'!F170:F176+'flock performance sheet'!G170:G176)</t>
  </si>
  <si>
    <t>D10</t>
  </si>
  <si>
    <t>=C10/B10%</t>
  </si>
  <si>
    <t>=E9+D10</t>
  </si>
  <si>
    <t>F10</t>
  </si>
  <si>
    <t>=SUM('flock performance sheet'!J170:J176+'flock performance sheet'!K170:K176)</t>
  </si>
  <si>
    <t>G10</t>
  </si>
  <si>
    <t>=(F10/B10%)/7</t>
  </si>
  <si>
    <t>=F10/B4</t>
  </si>
  <si>
    <t>I10</t>
  </si>
  <si>
    <t>=I9+H10</t>
  </si>
  <si>
    <t>B11</t>
  </si>
  <si>
    <t>=B10-C10</t>
  </si>
  <si>
    <t>=SUM('flock performance sheet'!F177:F183+'flock performance sheet'!G177:G183)</t>
  </si>
  <si>
    <t>D11</t>
  </si>
  <si>
    <t>=C11/B11%</t>
  </si>
  <si>
    <t>=E10+D11</t>
  </si>
  <si>
    <t>F11</t>
  </si>
  <si>
    <t>=SUM('flock performance sheet'!J177:J183+'flock performance sheet'!K177:K183)</t>
  </si>
  <si>
    <t>G11</t>
  </si>
  <si>
    <t>=(F11/B11%)/7</t>
  </si>
  <si>
    <t>=F11/B4</t>
  </si>
  <si>
    <t>I11</t>
  </si>
  <si>
    <t>=I10+H11</t>
  </si>
  <si>
    <t>B12</t>
  </si>
  <si>
    <t>=B11-C11</t>
  </si>
  <si>
    <t>=SUM('flock performance sheet'!F184:F190+'flock performance sheet'!G184:G190)</t>
  </si>
  <si>
    <t>D12</t>
  </si>
  <si>
    <t>=C12/B12%</t>
  </si>
  <si>
    <t>=E11+D12</t>
  </si>
  <si>
    <t>F12</t>
  </si>
  <si>
    <t>=SUM('flock performance sheet'!J184:J190+'flock performance sheet'!K184:K190)</t>
  </si>
  <si>
    <t>G12</t>
  </si>
  <si>
    <t>=(F12/B12%)/7</t>
  </si>
  <si>
    <t>=F12/B4</t>
  </si>
  <si>
    <t>I12</t>
  </si>
  <si>
    <t>=I11+H12</t>
  </si>
  <si>
    <t>B13</t>
  </si>
  <si>
    <t>=B12-C12</t>
  </si>
  <si>
    <t>=SUM('flock performance sheet'!F191:F197+'flock performance sheet'!G191:G197)</t>
  </si>
  <si>
    <t>D13</t>
  </si>
  <si>
    <t>=C13/B13%</t>
  </si>
  <si>
    <t>=E12+D13</t>
  </si>
  <si>
    <t>F13</t>
  </si>
  <si>
    <t>=SUM('flock performance sheet'!J191:J197+'flock performance sheet'!K191:K197)</t>
  </si>
  <si>
    <t>G13</t>
  </si>
  <si>
    <t>=(F13/B13%)/7</t>
  </si>
  <si>
    <t>=F13/B4</t>
  </si>
  <si>
    <t>I13</t>
  </si>
  <si>
    <t>=I12+H13</t>
  </si>
  <si>
    <t>B14</t>
  </si>
  <si>
    <t>=B13-C13</t>
  </si>
  <si>
    <t>=SUM('flock performance sheet'!F198:F204+'flock performance sheet'!G198:G204)</t>
  </si>
  <si>
    <t>D14</t>
  </si>
  <si>
    <t>=C14/B14%</t>
  </si>
  <si>
    <t>=E13+D14</t>
  </si>
  <si>
    <t>F14</t>
  </si>
  <si>
    <t>=SUM('flock performance sheet'!J198:J204+'flock performance sheet'!K198:K204)</t>
  </si>
  <si>
    <t>G14</t>
  </si>
  <si>
    <t>=(F14/B14%)/7</t>
  </si>
  <si>
    <t>=F14/B4</t>
  </si>
  <si>
    <t>I14</t>
  </si>
  <si>
    <t>=I13+H14</t>
  </si>
  <si>
    <t>B15</t>
  </si>
  <si>
    <t>=B14-C14</t>
  </si>
  <si>
    <t>=SUM('flock performance sheet'!F205:F211+'flock performance sheet'!G205:G211)</t>
  </si>
  <si>
    <t>D15</t>
  </si>
  <si>
    <t>=C15/B15%</t>
  </si>
  <si>
    <t>=E14+D15</t>
  </si>
  <si>
    <t>F15</t>
  </si>
  <si>
    <t>=SUM('flock performance sheet'!J205:J211+'flock performance sheet'!K205:K211)</t>
  </si>
  <si>
    <t>G15</t>
  </si>
  <si>
    <t>=(F15/B15%)/7</t>
  </si>
  <si>
    <t>=F15/B4</t>
  </si>
  <si>
    <t>I15</t>
  </si>
  <si>
    <t>=I14+H15</t>
  </si>
  <si>
    <t>B16</t>
  </si>
  <si>
    <t>=B15-C15</t>
  </si>
  <si>
    <t>=SUM('flock performance sheet'!F212:F218+'flock performance sheet'!G212:G218)</t>
  </si>
  <si>
    <t>D16</t>
  </si>
  <si>
    <t>=C16/B16%</t>
  </si>
  <si>
    <t>=E15+D16</t>
  </si>
  <si>
    <t>F16</t>
  </si>
  <si>
    <t>=SUM('flock performance sheet'!J212:J218+'flock performance sheet'!K212:K218)</t>
  </si>
  <si>
    <t>G16</t>
  </si>
  <si>
    <t>=(F16/B16%)/7</t>
  </si>
  <si>
    <t>=F16/B4</t>
  </si>
  <si>
    <t>I16</t>
  </si>
  <si>
    <t>=I15+H16</t>
  </si>
  <si>
    <t>B17</t>
  </si>
  <si>
    <t>=B16-C16</t>
  </si>
  <si>
    <t>=SUM('flock performance sheet'!F219:F225+'flock performance sheet'!G219:G225)</t>
  </si>
  <si>
    <t>D17</t>
  </si>
  <si>
    <t>=C17/B17%</t>
  </si>
  <si>
    <t>=E16+D17</t>
  </si>
  <si>
    <t>F17</t>
  </si>
  <si>
    <t>=SUM('flock performance sheet'!J219:J225+'flock performance sheet'!K219:K225)</t>
  </si>
  <si>
    <t>G17</t>
  </si>
  <si>
    <t>=(F17/B17%)/7</t>
  </si>
  <si>
    <t>=F17/B4</t>
  </si>
  <si>
    <t>I17</t>
  </si>
  <si>
    <t>=I16+H17</t>
  </si>
  <si>
    <t>B18</t>
  </si>
  <si>
    <t>=B17-C17</t>
  </si>
  <si>
    <t>=SUM('flock performance sheet'!F226:F232+'flock performance sheet'!G226:G232)</t>
  </si>
  <si>
    <t>D18</t>
  </si>
  <si>
    <t>=C18/B18%</t>
  </si>
  <si>
    <t>=E17+D18</t>
  </si>
  <si>
    <t>F18</t>
  </si>
  <si>
    <t>=SUM('flock performance sheet'!J226:J232+'flock performance sheet'!K226:K232)</t>
  </si>
  <si>
    <t>G18</t>
  </si>
  <si>
    <t>=(F18/B18%)/7</t>
  </si>
  <si>
    <t>=F18/B4</t>
  </si>
  <si>
    <t>I18</t>
  </si>
  <si>
    <t>=I17+H18</t>
  </si>
  <si>
    <t>B19</t>
  </si>
  <si>
    <t>=B18-C18</t>
  </si>
  <si>
    <t>=SUM('flock performance sheet'!F233:F239+'flock performance sheet'!G233:G239)</t>
  </si>
  <si>
    <t>D19</t>
  </si>
  <si>
    <t>=C19/B19%</t>
  </si>
  <si>
    <t>=E18+D19</t>
  </si>
  <si>
    <t>F19</t>
  </si>
  <si>
    <t>=SUM('flock performance sheet'!J233:J239+'flock performance sheet'!K233:K239)</t>
  </si>
  <si>
    <t>G19</t>
  </si>
  <si>
    <t>=(F19/B19%)/7</t>
  </si>
  <si>
    <t>=F19/B4</t>
  </si>
  <si>
    <t>I19</t>
  </si>
  <si>
    <t>=I18+H19</t>
  </si>
  <si>
    <t>B20</t>
  </si>
  <si>
    <t>=B19-C19</t>
  </si>
  <si>
    <t>=SUM('flock performance sheet'!F240:F246+'flock performance sheet'!G240:G246)</t>
  </si>
  <si>
    <t>D20</t>
  </si>
  <si>
    <t>=C20/B20%</t>
  </si>
  <si>
    <t>=E19+D20</t>
  </si>
  <si>
    <t>F20</t>
  </si>
  <si>
    <t>=SUM('flock performance sheet'!J240:J246+'flock performance sheet'!K240:K246)</t>
  </si>
  <si>
    <t>G20</t>
  </si>
  <si>
    <t>=(F20/B20%)/7</t>
  </si>
  <si>
    <t>=F20/B4</t>
  </si>
  <si>
    <t>I20</t>
  </si>
  <si>
    <t>=I19+H20</t>
  </si>
  <si>
    <t>B21</t>
  </si>
  <si>
    <t>=B20-C20</t>
  </si>
  <si>
    <t>=SUM('flock performance sheet'!F247:F253+'flock performance sheet'!G247:G253)</t>
  </si>
  <si>
    <t>D21</t>
  </si>
  <si>
    <t>=C21/B21%</t>
  </si>
  <si>
    <t>=E20+D21</t>
  </si>
  <si>
    <t>F21</t>
  </si>
  <si>
    <t>=SUM('flock performance sheet'!J247:J253+'flock performance sheet'!K247:K253)</t>
  </si>
  <si>
    <t>G21</t>
  </si>
  <si>
    <t>=(F21/B21%)/7</t>
  </si>
  <si>
    <t>=F21/B4</t>
  </si>
  <si>
    <t>I21</t>
  </si>
  <si>
    <t>=I20+H21</t>
  </si>
  <si>
    <t>B22</t>
  </si>
  <si>
    <t>=B21-C21</t>
  </si>
  <si>
    <t>=SUM('flock performance sheet'!F254:F260+'flock performance sheet'!G254:G260)</t>
  </si>
  <si>
    <t>D22</t>
  </si>
  <si>
    <t>=C22/B22%</t>
  </si>
  <si>
    <t>=E21+D22</t>
  </si>
  <si>
    <t>F22</t>
  </si>
  <si>
    <t>=SUM('flock performance sheet'!J254:J260+'flock performance sheet'!K254:K260)</t>
  </si>
  <si>
    <t>G22</t>
  </si>
  <si>
    <t>=(F22/B22%)/7</t>
  </si>
  <si>
    <t>=F22/B4</t>
  </si>
  <si>
    <t>I22</t>
  </si>
  <si>
    <t>=I21+H22</t>
  </si>
  <si>
    <t>B23</t>
  </si>
  <si>
    <t>=B22-C22</t>
  </si>
  <si>
    <t>=SUM('flock performance sheet'!F261:F267+'flock performance sheet'!G261:G267)</t>
  </si>
  <si>
    <t>D23</t>
  </si>
  <si>
    <t>=C23/B23%</t>
  </si>
  <si>
    <t>=E22+D23</t>
  </si>
  <si>
    <t>F23</t>
  </si>
  <si>
    <t>=SUM('flock performance sheet'!J261:J267+'flock performance sheet'!K261:K267)</t>
  </si>
  <si>
    <t>G23</t>
  </si>
  <si>
    <t>=(F23/B23%)/7</t>
  </si>
  <si>
    <t>=F23/B4</t>
  </si>
  <si>
    <t>I23</t>
  </si>
  <si>
    <t>=I22+H23</t>
  </si>
  <si>
    <t>B24</t>
  </si>
  <si>
    <t>=B23-C23</t>
  </si>
  <si>
    <t>=SUM('flock performance sheet'!F268:F274+'flock performance sheet'!G268:G274)</t>
  </si>
  <si>
    <t>D24</t>
  </si>
  <si>
    <t>=C24/B24%</t>
  </si>
  <si>
    <t>=E23+D24</t>
  </si>
  <si>
    <t>F24</t>
  </si>
  <si>
    <t>=SUM('flock performance sheet'!J268:J274+'flock performance sheet'!K268:K274)</t>
  </si>
  <si>
    <t>G24</t>
  </si>
  <si>
    <t>=(F24/B24%)/7</t>
  </si>
  <si>
    <t>=F24/B4</t>
  </si>
  <si>
    <t>I24</t>
  </si>
  <si>
    <t>=I23+H24</t>
  </si>
  <si>
    <t>B25</t>
  </si>
  <si>
    <t>=B24-C24</t>
  </si>
  <si>
    <t>=SUM('flock performance sheet'!F275:F281+'flock performance sheet'!G275:G281)</t>
  </si>
  <si>
    <t>D25</t>
  </si>
  <si>
    <t>=C25/B25%</t>
  </si>
  <si>
    <t>=E24+D25</t>
  </si>
  <si>
    <t>F25</t>
  </si>
  <si>
    <t>=SUM('flock performance sheet'!J275:J281+'flock performance sheet'!K275:K281)</t>
  </si>
  <si>
    <t>G25</t>
  </si>
  <si>
    <t>=(F25/B25%)/7</t>
  </si>
  <si>
    <t>=F25/B4</t>
  </si>
  <si>
    <t>I25</t>
  </si>
  <si>
    <t>=I24+H25</t>
  </si>
  <si>
    <t>B26</t>
  </si>
  <si>
    <t>=B25-C25</t>
  </si>
  <si>
    <t>=SUM('flock performance sheet'!F282:F288+'flock performance sheet'!G282:G288)</t>
  </si>
  <si>
    <t>D26</t>
  </si>
  <si>
    <t>=C26/B26%</t>
  </si>
  <si>
    <t>=E25+D26</t>
  </si>
  <si>
    <t>F26</t>
  </si>
  <si>
    <t>=SUM('flock performance sheet'!J282:J288+'flock performance sheet'!K282:K288)</t>
  </si>
  <si>
    <t>G26</t>
  </si>
  <si>
    <t>=(F26/B26%)/7</t>
  </si>
  <si>
    <t>=F26/B4</t>
  </si>
  <si>
    <t>I26</t>
  </si>
  <si>
    <t>=I25+H26</t>
  </si>
  <si>
    <t>B27</t>
  </si>
  <si>
    <t>=B26-C26</t>
  </si>
  <si>
    <t>=SUM('flock performance sheet'!F289:F295+'flock performance sheet'!G289:G295)</t>
  </si>
  <si>
    <t>D27</t>
  </si>
  <si>
    <t>=C27/B27%</t>
  </si>
  <si>
    <t>=E26+D27</t>
  </si>
  <si>
    <t>F27</t>
  </si>
  <si>
    <t>=SUM('flock performance sheet'!J289:J295+'flock performance sheet'!K289:K295)</t>
  </si>
  <si>
    <t>G27</t>
  </si>
  <si>
    <t>=(F27/B27%)/7</t>
  </si>
  <si>
    <t>=F27/B4</t>
  </si>
  <si>
    <t>I27</t>
  </si>
  <si>
    <t>=I26+H27</t>
  </si>
  <si>
    <t>B28</t>
  </si>
  <si>
    <t>=B27-C27</t>
  </si>
  <si>
    <t>=SUM('flock performance sheet'!F296:F302+'flock performance sheet'!G296:G302)</t>
  </si>
  <si>
    <t>D28</t>
  </si>
  <si>
    <t>=C28/B28%</t>
  </si>
  <si>
    <t>=E27+D28</t>
  </si>
  <si>
    <t>F28</t>
  </si>
  <si>
    <t>=SUM('flock performance sheet'!J296:J302+'flock performance sheet'!K296:K302)</t>
  </si>
  <si>
    <t>G28</t>
  </si>
  <si>
    <t>=(F28/B28%)/7</t>
  </si>
  <si>
    <t>=F28/B4</t>
  </si>
  <si>
    <t>I28</t>
  </si>
  <si>
    <t>=I27+H28</t>
  </si>
  <si>
    <t>B29</t>
  </si>
  <si>
    <t>=B28-C28</t>
  </si>
  <si>
    <t>=SUM('flock performance sheet'!F303:F309+'flock performance sheet'!G303:G309)</t>
  </si>
  <si>
    <t>D29</t>
  </si>
  <si>
    <t>=C29/B29%</t>
  </si>
  <si>
    <t>=E28+D29</t>
  </si>
  <si>
    <t>F29</t>
  </si>
  <si>
    <t>=SUM('flock performance sheet'!J303:J309+'flock performance sheet'!K303:K309)</t>
  </si>
  <si>
    <t>G29</t>
  </si>
  <si>
    <t>=(F29/B29%)/7</t>
  </si>
  <si>
    <t>=F29/B4</t>
  </si>
  <si>
    <t>I29</t>
  </si>
  <si>
    <t>=I28+H29</t>
  </si>
  <si>
    <t>B30</t>
  </si>
  <si>
    <t>=B29-C29</t>
  </si>
  <si>
    <t>=SUM('flock performance sheet'!F310:F316+'flock performance sheet'!G310:G316)</t>
  </si>
  <si>
    <t>D30</t>
  </si>
  <si>
    <t>=C30/B30%</t>
  </si>
  <si>
    <t>=E29+D30</t>
  </si>
  <si>
    <t>F30</t>
  </si>
  <si>
    <t>=SUM('flock performance sheet'!J310:J316+'flock performance sheet'!K310:K316)</t>
  </si>
  <si>
    <t>G30</t>
  </si>
  <si>
    <t>=(F30/B30%)/7</t>
  </si>
  <si>
    <t>=F30/B4</t>
  </si>
  <si>
    <t>I30</t>
  </si>
  <si>
    <t>=I29+H30</t>
  </si>
  <si>
    <t>B31</t>
  </si>
  <si>
    <t>=B30-C30</t>
  </si>
  <si>
    <t>=SUM('flock performance sheet'!F317:F323+'flock performance sheet'!G317:G323)</t>
  </si>
  <si>
    <t>D31</t>
  </si>
  <si>
    <t>=C31/B31%</t>
  </si>
  <si>
    <t>=E30+D31</t>
  </si>
  <si>
    <t>F31</t>
  </si>
  <si>
    <t>=SUM('flock performance sheet'!J317:J323+'flock performance sheet'!K317:K323)</t>
  </si>
  <si>
    <t>G31</t>
  </si>
  <si>
    <t>=(F31/B31%)/7</t>
  </si>
  <si>
    <t>=F31/B4</t>
  </si>
  <si>
    <t>I31</t>
  </si>
  <si>
    <t>=I30+H31</t>
  </si>
  <si>
    <t>B32</t>
  </si>
  <si>
    <t>=B31-C31</t>
  </si>
  <si>
    <t>=SUM('flock performance sheet'!F324:F330+'flock performance sheet'!G324:G330)</t>
  </si>
  <si>
    <t>D32</t>
  </si>
  <si>
    <t>=C32/B32%</t>
  </si>
  <si>
    <t>=E31+D32</t>
  </si>
  <si>
    <t>F32</t>
  </si>
  <si>
    <t>=SUM('flock performance sheet'!J324:J330+'flock performance sheet'!K324:K330)</t>
  </si>
  <si>
    <t>G32</t>
  </si>
  <si>
    <t>=(F32/B32%)/7</t>
  </si>
  <si>
    <t>=F32/B4</t>
  </si>
  <si>
    <t>I32</t>
  </si>
  <si>
    <t>=I31+H32</t>
  </si>
  <si>
    <t>B33</t>
  </si>
  <si>
    <t>=B32-C32</t>
  </si>
  <si>
    <t>=SUM('flock performance sheet'!F331:F337+'flock performance sheet'!G331:G337)</t>
  </si>
  <si>
    <t>D33</t>
  </si>
  <si>
    <t>=C33/B33%</t>
  </si>
  <si>
    <t>=E32+D33</t>
  </si>
  <si>
    <t>F33</t>
  </si>
  <si>
    <t>=SUM('flock performance sheet'!J331:J337+'flock performance sheet'!K331:K337)</t>
  </si>
  <si>
    <t>G33</t>
  </si>
  <si>
    <t>=(F33/B33%)/7</t>
  </si>
  <si>
    <t>=F33/B4</t>
  </si>
  <si>
    <t>I33</t>
  </si>
  <si>
    <t>=I32+H33</t>
  </si>
  <si>
    <t>B34</t>
  </si>
  <si>
    <t>=B33-C33</t>
  </si>
  <si>
    <t>=SUM('flock performance sheet'!F338:F344+'flock performance sheet'!G338:G344)</t>
  </si>
  <si>
    <t>D34</t>
  </si>
  <si>
    <t>=C34/B34%</t>
  </si>
  <si>
    <t>=E33+D34</t>
  </si>
  <si>
    <t>F34</t>
  </si>
  <si>
    <t>=SUM('flock performance sheet'!J338:J344+'flock performance sheet'!K338:K344)</t>
  </si>
  <si>
    <t>G34</t>
  </si>
  <si>
    <t>=(F34/B34%)/7</t>
  </si>
  <si>
    <t>=F34/B4</t>
  </si>
  <si>
    <t>I34</t>
  </si>
  <si>
    <t>=I33+H34</t>
  </si>
  <si>
    <t>B35</t>
  </si>
  <si>
    <t>=B34-C34</t>
  </si>
  <si>
    <t>=SUM('flock performance sheet'!F345:F351+'flock performance sheet'!G345:G351)</t>
  </si>
  <si>
    <t>D35</t>
  </si>
  <si>
    <t>=C35/B35%</t>
  </si>
  <si>
    <t>=E34+D35</t>
  </si>
  <si>
    <t>F35</t>
  </si>
  <si>
    <t>=SUM('flock performance sheet'!J345:J351+'flock performance sheet'!K345:K351)</t>
  </si>
  <si>
    <t>G35</t>
  </si>
  <si>
    <t>=(F35/B35%)/7</t>
  </si>
  <si>
    <t>=F35/B4</t>
  </si>
  <si>
    <t>I35</t>
  </si>
  <si>
    <t>=I34+H35</t>
  </si>
  <si>
    <t>B36</t>
  </si>
  <si>
    <t>=B35-C35</t>
  </si>
  <si>
    <t>=SUM('flock performance sheet'!F352:F358+'flock performance sheet'!G352:G358)</t>
  </si>
  <si>
    <t>D36</t>
  </si>
  <si>
    <t>=C36/B36%</t>
  </si>
  <si>
    <t>=E35+D36</t>
  </si>
  <si>
    <t>F36</t>
  </si>
  <si>
    <t>=SUM('flock performance sheet'!J352:J358+'flock performance sheet'!K352:K358)</t>
  </si>
  <si>
    <t>G36</t>
  </si>
  <si>
    <t>=(F36/B36%)/7</t>
  </si>
  <si>
    <t>=F36/B4</t>
  </si>
  <si>
    <t>I36</t>
  </si>
  <si>
    <t>=I35+H36</t>
  </si>
  <si>
    <t>B37</t>
  </si>
  <si>
    <t>=B36-C36</t>
  </si>
  <si>
    <t>=SUM('flock performance sheet'!F359:F365+'flock performance sheet'!G359:G365)</t>
  </si>
  <si>
    <t>D37</t>
  </si>
  <si>
    <t>=C37/B37%</t>
  </si>
  <si>
    <t>=E36+D37</t>
  </si>
  <si>
    <t>F37</t>
  </si>
  <si>
    <t>=SUM('flock performance sheet'!J359:J365+'flock performance sheet'!K359:K365)</t>
  </si>
  <si>
    <t>G37</t>
  </si>
  <si>
    <t>=(F37/B37%)/7</t>
  </si>
  <si>
    <t>=F37/B4</t>
  </si>
  <si>
    <t>I37</t>
  </si>
  <si>
    <t>=I36+H37</t>
  </si>
  <si>
    <t>B38</t>
  </si>
  <si>
    <t>=B37-C37</t>
  </si>
  <si>
    <t>=SUM('flock performance sheet'!F366:F372+'flock performance sheet'!G366:G372)</t>
  </si>
  <si>
    <t>D38</t>
  </si>
  <si>
    <t>=C38/B38%</t>
  </si>
  <si>
    <t>=E37+D38</t>
  </si>
  <si>
    <t>F38</t>
  </si>
  <si>
    <t>=SUM('flock performance sheet'!J366:J372+'flock performance sheet'!K366:K372)</t>
  </si>
  <si>
    <t>G38</t>
  </si>
  <si>
    <t>=(F38/B38%)/7</t>
  </si>
  <si>
    <t>=F38/B4</t>
  </si>
  <si>
    <t>I38</t>
  </si>
  <si>
    <t>=I37+H38</t>
  </si>
  <si>
    <t>B39</t>
  </si>
  <si>
    <t>=B38-C38</t>
  </si>
  <si>
    <t>=SUM('flock performance sheet'!F373:F379+'flock performance sheet'!G373:G379)</t>
  </si>
  <si>
    <t>D39</t>
  </si>
  <si>
    <t>=C39/B39%</t>
  </si>
  <si>
    <t>=E38+D39</t>
  </si>
  <si>
    <t>F39</t>
  </si>
  <si>
    <t>=SUM('flock performance sheet'!J373:J379+'flock performance sheet'!K373:K379)</t>
  </si>
  <si>
    <t>G39</t>
  </si>
  <si>
    <t>=(F39/B39%)/7</t>
  </si>
  <si>
    <t>=F39/B4</t>
  </si>
  <si>
    <t>I39</t>
  </si>
  <si>
    <t>=I38+H39</t>
  </si>
  <si>
    <t>B40</t>
  </si>
  <si>
    <t>=B39-C39</t>
  </si>
  <si>
    <t>=SUM('flock performance sheet'!F380:F386+'flock performance sheet'!G380:G386)</t>
  </si>
  <si>
    <t>D40</t>
  </si>
  <si>
    <t>=C40/B40%</t>
  </si>
  <si>
    <t>=E39+D40</t>
  </si>
  <si>
    <t>F40</t>
  </si>
  <si>
    <t>=SUM('flock performance sheet'!J380:J386+'flock performance sheet'!K380:K386)</t>
  </si>
  <si>
    <t>G40</t>
  </si>
  <si>
    <t>=(F40/B40%)/7</t>
  </si>
  <si>
    <t>=F40/B4</t>
  </si>
  <si>
    <t>I40</t>
  </si>
  <si>
    <t>=I39+H40</t>
  </si>
  <si>
    <t>B41</t>
  </si>
  <si>
    <t>=B40-C40</t>
  </si>
  <si>
    <t>=SUM('flock performance sheet'!F387:F393+'flock performance sheet'!G387:G393)</t>
  </si>
  <si>
    <t>D41</t>
  </si>
  <si>
    <t>=C41/B41%</t>
  </si>
  <si>
    <t>=E40+D41</t>
  </si>
  <si>
    <t>F41</t>
  </si>
  <si>
    <t>=SUM('flock performance sheet'!J387:J393+'flock performance sheet'!K387:K393)</t>
  </si>
  <si>
    <t>G41</t>
  </si>
  <si>
    <t>=(F41/B41%)/7</t>
  </si>
  <si>
    <t>=F41/B4</t>
  </si>
  <si>
    <t>I41</t>
  </si>
  <si>
    <t>=I40+H41</t>
  </si>
  <si>
    <t>B42</t>
  </si>
  <si>
    <t>=B41-C41</t>
  </si>
  <si>
    <t>=SUM('flock performance sheet'!F394:F400+'flock performance sheet'!G394:G400)</t>
  </si>
  <si>
    <t>D42</t>
  </si>
  <si>
    <t>=C42/B42%</t>
  </si>
  <si>
    <t>=E41+D42</t>
  </si>
  <si>
    <t>F42</t>
  </si>
  <si>
    <t>=SUM('flock performance sheet'!J394:J400+'flock performance sheet'!K394:K400)</t>
  </si>
  <si>
    <t>G42</t>
  </si>
  <si>
    <t>=(F42/B42%)/7</t>
  </si>
  <si>
    <t>=F42/B4</t>
  </si>
  <si>
    <t>I42</t>
  </si>
  <si>
    <t>=I41+H42</t>
  </si>
  <si>
    <t>B43</t>
  </si>
  <si>
    <t>=B42-C42</t>
  </si>
  <si>
    <t>=SUM('flock performance sheet'!F401:F407+'flock performance sheet'!G401:G407)</t>
  </si>
  <si>
    <t>D43</t>
  </si>
  <si>
    <t>=C43/B43%</t>
  </si>
  <si>
    <t>=E42+D43</t>
  </si>
  <si>
    <t>F43</t>
  </si>
  <si>
    <t>=SUM('flock performance sheet'!J401:J407+'flock performance sheet'!K401:K407)</t>
  </si>
  <si>
    <t>G43</t>
  </si>
  <si>
    <t>=(F43/B43%)/7</t>
  </si>
  <si>
    <t>=F43/B4</t>
  </si>
  <si>
    <t>I43</t>
  </si>
  <si>
    <t>=I42+H43</t>
  </si>
  <si>
    <t>B44</t>
  </si>
  <si>
    <t>=B43-C43</t>
  </si>
  <si>
    <t>=SUM('flock performance sheet'!F408:F414+'flock performance sheet'!G408:G414)</t>
  </si>
  <si>
    <t>D44</t>
  </si>
  <si>
    <t>=C44/B44%</t>
  </si>
  <si>
    <t>=E43+D44</t>
  </si>
  <si>
    <t>F44</t>
  </si>
  <si>
    <t>=SUM('flock performance sheet'!J408:J414+'flock performance sheet'!K408:K414)</t>
  </si>
  <si>
    <t>G44</t>
  </si>
  <si>
    <t>=(F44/B44%)/7</t>
  </si>
  <si>
    <t>=F44/B4</t>
  </si>
  <si>
    <t>I44</t>
  </si>
  <si>
    <t>=I43+H44</t>
  </si>
  <si>
    <t>B45</t>
  </si>
  <si>
    <t>=B44-C44</t>
  </si>
  <si>
    <t>=SUM('flock performance sheet'!F415:F421+'flock performance sheet'!G415:G421)</t>
  </si>
  <si>
    <t>D45</t>
  </si>
  <si>
    <t>=C45/B45%</t>
  </si>
  <si>
    <t>=E44+D45</t>
  </si>
  <si>
    <t>F45</t>
  </si>
  <si>
    <t>=SUM('flock performance sheet'!J415:J421+'flock performance sheet'!K415:K421)</t>
  </si>
  <si>
    <t>G45</t>
  </si>
  <si>
    <t>=(F45/B45%)/7</t>
  </si>
  <si>
    <t>=F45/B4</t>
  </si>
  <si>
    <t>I45</t>
  </si>
  <si>
    <t>=I44+H45</t>
  </si>
  <si>
    <t>B46</t>
  </si>
  <si>
    <t>=B45-C45</t>
  </si>
  <si>
    <t>=SUM('flock performance sheet'!F422:F428+'flock performance sheet'!G422:G428)</t>
  </si>
  <si>
    <t>D46</t>
  </si>
  <si>
    <t>=C46/B46%</t>
  </si>
  <si>
    <t>=E45+D46</t>
  </si>
  <si>
    <t>F46</t>
  </si>
  <si>
    <t>=SUM('flock performance sheet'!J422:J428+'flock performance sheet'!K422:K428)</t>
  </si>
  <si>
    <t>G46</t>
  </si>
  <si>
    <t>=(F46/B46%)/7</t>
  </si>
  <si>
    <t>=F46/B4</t>
  </si>
  <si>
    <t>I46</t>
  </si>
  <si>
    <t>=I45+H46</t>
  </si>
  <si>
    <t>B47</t>
  </si>
  <si>
    <t>=B46-C46</t>
  </si>
  <si>
    <t>=SUM('flock performance sheet'!F429:F435+'flock performance sheet'!G429:G435)</t>
  </si>
  <si>
    <t>D47</t>
  </si>
  <si>
    <t>=C47/B47%</t>
  </si>
  <si>
    <t>=E46+D47</t>
  </si>
  <si>
    <t>F47</t>
  </si>
  <si>
    <t>=SUM('flock performance sheet'!J429:J435+'flock performance sheet'!K429:K435)</t>
  </si>
  <si>
    <t>G47</t>
  </si>
  <si>
    <t>=(F47/B47%)/7</t>
  </si>
  <si>
    <t>=F47/B4</t>
  </si>
  <si>
    <t>I47</t>
  </si>
  <si>
    <t>=I46+H47</t>
  </si>
  <si>
    <t>B48</t>
  </si>
  <si>
    <t>=B47-C47</t>
  </si>
  <si>
    <t>=SUM('flock performance sheet'!F436:F442+'flock performance sheet'!G436:G442)</t>
  </si>
  <si>
    <t>D48</t>
  </si>
  <si>
    <t>=C48/B48%</t>
  </si>
  <si>
    <t>=E47+D48</t>
  </si>
  <si>
    <t>F48</t>
  </si>
  <si>
    <t>=SUM('flock performance sheet'!J436:J442+'flock performance sheet'!K436:K442)</t>
  </si>
  <si>
    <t>G48</t>
  </si>
  <si>
    <t>=(F48/B48%)/7</t>
  </si>
  <si>
    <t>=F48/B4</t>
  </si>
  <si>
    <t>I48</t>
  </si>
  <si>
    <t>=I47+H48</t>
  </si>
  <si>
    <t>B49</t>
  </si>
  <si>
    <t>=B48-C48</t>
  </si>
  <si>
    <t>=SUM('flock performance sheet'!F443:F449+'flock performance sheet'!G443:G449)</t>
  </si>
  <si>
    <t>D49</t>
  </si>
  <si>
    <t>=C49/B49%</t>
  </si>
  <si>
    <t>=E48+D49</t>
  </si>
  <si>
    <t>F49</t>
  </si>
  <si>
    <t>=SUM('flock performance sheet'!J443:J449+'flock performance sheet'!K443:K449)</t>
  </si>
  <si>
    <t>G49</t>
  </si>
  <si>
    <t>=(F49/B49%)/7</t>
  </si>
  <si>
    <t>=F49/B4</t>
  </si>
  <si>
    <t>I49</t>
  </si>
  <si>
    <t>=I48+H49</t>
  </si>
  <si>
    <t>B50</t>
  </si>
  <si>
    <t>=B49-C49</t>
  </si>
  <si>
    <t>=SUM('flock performance sheet'!F450:F456+'flock performance sheet'!G450:G456)</t>
  </si>
  <si>
    <t>D50</t>
  </si>
  <si>
    <t>=C50/B50%</t>
  </si>
  <si>
    <t>=E49+D50</t>
  </si>
  <si>
    <t>F50</t>
  </si>
  <si>
    <t>=SUM('flock performance sheet'!J450:J456+'flock performance sheet'!K450:K456)</t>
  </si>
  <si>
    <t>G50</t>
  </si>
  <si>
    <t>=(F50/B50%)/7</t>
  </si>
  <si>
    <t>=F50/B4</t>
  </si>
  <si>
    <t>I50</t>
  </si>
  <si>
    <t>=I49+H50</t>
  </si>
  <si>
    <t>B51</t>
  </si>
  <si>
    <t>=B50-C50</t>
  </si>
  <si>
    <t>=SUM('flock performance sheet'!F457:F463+'flock performance sheet'!G457:G463)</t>
  </si>
  <si>
    <t>D51</t>
  </si>
  <si>
    <t>=C51/B51%</t>
  </si>
  <si>
    <t>=E50+D51</t>
  </si>
  <si>
    <t>F51</t>
  </si>
  <si>
    <t>=SUM('flock performance sheet'!J457:J463+'flock performance sheet'!K457:K463)</t>
  </si>
  <si>
    <t>G51</t>
  </si>
  <si>
    <t>=(F51/B51%)/7</t>
  </si>
  <si>
    <t>=F51/B4</t>
  </si>
  <si>
    <t>I51</t>
  </si>
  <si>
    <t>=I50+H51</t>
  </si>
  <si>
    <t>B52</t>
  </si>
  <si>
    <t>=B51-C51</t>
  </si>
  <si>
    <t>=SUM('flock performance sheet'!F464:F470+'flock performance sheet'!G464:G470)</t>
  </si>
  <si>
    <t>D52</t>
  </si>
  <si>
    <t>=C52/B52%</t>
  </si>
  <si>
    <t>=E51+D52</t>
  </si>
  <si>
    <t>F52</t>
  </si>
  <si>
    <t>=SUM('flock performance sheet'!J464:J470+'flock performance sheet'!K464:K470)</t>
  </si>
  <si>
    <t>G52</t>
  </si>
  <si>
    <t>=(F52/B52%)/7</t>
  </si>
  <si>
    <t>=F52/B4</t>
  </si>
  <si>
    <t>I52</t>
  </si>
  <si>
    <t>=I51+H52</t>
  </si>
  <si>
    <t>B53</t>
  </si>
  <si>
    <t>=B52-C52</t>
  </si>
  <si>
    <t>=SUM('flock performance sheet'!F471:F477+'flock performance sheet'!G471:G477)</t>
  </si>
  <si>
    <t>D53</t>
  </si>
  <si>
    <t>=C53/B53%</t>
  </si>
  <si>
    <t>=E52+D53</t>
  </si>
  <si>
    <t>F53</t>
  </si>
  <si>
    <t>=SUM('flock performance sheet'!J471:J477+'flock performance sheet'!K471:K477)</t>
  </si>
  <si>
    <t>G53</t>
  </si>
  <si>
    <t>=(F53/B53%)/7</t>
  </si>
  <si>
    <t>=F53/B4</t>
  </si>
  <si>
    <t>I53</t>
  </si>
  <si>
    <t>=I52+H53</t>
  </si>
  <si>
    <t>B54</t>
  </si>
  <si>
    <t>=B53-C53</t>
  </si>
  <si>
    <t>=SUM('flock performance sheet'!F478:F484+'flock performance sheet'!G478:G484)</t>
  </si>
  <si>
    <t>D54</t>
  </si>
  <si>
    <t>=C54/B54%</t>
  </si>
  <si>
    <t>=E53+D54</t>
  </si>
  <si>
    <t>F54</t>
  </si>
  <si>
    <t>=SUM('flock performance sheet'!J478:J484+'flock performance sheet'!K478:K484)</t>
  </si>
  <si>
    <t>G54</t>
  </si>
  <si>
    <t>=(F54/B54%)/7</t>
  </si>
  <si>
    <t>=F54/B4</t>
  </si>
  <si>
    <t>I54</t>
  </si>
  <si>
    <t>=I53+H54</t>
  </si>
  <si>
    <t>B55</t>
  </si>
  <si>
    <t>=B54-C54</t>
  </si>
  <si>
    <t>=SUM('flock performance sheet'!F485:F491+'flock performance sheet'!G485:G491)</t>
  </si>
  <si>
    <t>D55</t>
  </si>
  <si>
    <t>=C55/B55%</t>
  </si>
  <si>
    <t>=E54+D55</t>
  </si>
  <si>
    <t>F55</t>
  </si>
  <si>
    <t>=SUM('flock performance sheet'!J485:J491+'flock performance sheet'!K485:K491)</t>
  </si>
  <si>
    <t>G55</t>
  </si>
  <si>
    <t>=(F55/B55%)/7</t>
  </si>
  <si>
    <t>=F55/B4</t>
  </si>
  <si>
    <t>I55</t>
  </si>
  <si>
    <t>=I54+H55</t>
  </si>
  <si>
    <t>B56</t>
  </si>
  <si>
    <t>=B55-C55</t>
  </si>
  <si>
    <t>=SUM('flock performance sheet'!F492:F498+'flock performance sheet'!G492:G498)</t>
  </si>
  <si>
    <t>D56</t>
  </si>
  <si>
    <t>=C56/B56%</t>
  </si>
  <si>
    <t>=E55+D56</t>
  </si>
  <si>
    <t>F56</t>
  </si>
  <si>
    <t>=SUM('flock performance sheet'!J492:J498+'flock performance sheet'!K492:K498)</t>
  </si>
  <si>
    <t>G56</t>
  </si>
  <si>
    <t>=(F56/B56%)/7</t>
  </si>
  <si>
    <t>=F56/B4</t>
  </si>
  <si>
    <t>I56</t>
  </si>
  <si>
    <t>=I55+H56</t>
  </si>
  <si>
    <t>B57</t>
  </si>
  <si>
    <t>=B56-C56</t>
  </si>
  <si>
    <t>=SUM('flock performance sheet'!F499:F505+'flock performance sheet'!G499:G505)</t>
  </si>
  <si>
    <t>D57</t>
  </si>
  <si>
    <t>=C57/B57%</t>
  </si>
  <si>
    <t>=E56+D57</t>
  </si>
  <si>
    <t>F57</t>
  </si>
  <si>
    <t>=SUM('flock performance sheet'!J499:J505+'flock performance sheet'!K499:K505)</t>
  </si>
  <si>
    <t>G57</t>
  </si>
  <si>
    <t>=(F57/B57%)/7</t>
  </si>
  <si>
    <t>=F57/B4</t>
  </si>
  <si>
    <t>I57</t>
  </si>
  <si>
    <t>=I56+H57</t>
  </si>
  <si>
    <t>B58</t>
  </si>
  <si>
    <t>=B57-C57</t>
  </si>
  <si>
    <t>=SUM('flock performance sheet'!F506:F512+'flock performance sheet'!G506:G512)</t>
  </si>
  <si>
    <t>D58</t>
  </si>
  <si>
    <t>=C58/B58%</t>
  </si>
  <si>
    <t>=E57+D58</t>
  </si>
  <si>
    <t>F58</t>
  </si>
  <si>
    <t>=SUM('flock performance sheet'!J506:J512+'flock performance sheet'!K506:K512)</t>
  </si>
  <si>
    <t>G58</t>
  </si>
  <si>
    <t>=(F58/B58%)/7</t>
  </si>
  <si>
    <t>=F58/B4</t>
  </si>
  <si>
    <t>I58</t>
  </si>
  <si>
    <t>=I57+H58</t>
  </si>
  <si>
    <t>B59</t>
  </si>
  <si>
    <t>=B58-C58</t>
  </si>
  <si>
    <t>=SUM('flock performance sheet'!F513:F519+'flock performance sheet'!G513:G519)</t>
  </si>
  <si>
    <t>D59</t>
  </si>
  <si>
    <t>=C59/B59%</t>
  </si>
  <si>
    <t>=E58+D59</t>
  </si>
  <si>
    <t>F59</t>
  </si>
  <si>
    <t>=SUM('flock performance sheet'!J513:J519+'flock performance sheet'!K513:K519)</t>
  </si>
  <si>
    <t>G59</t>
  </si>
  <si>
    <t>=(F59/B59%)/7</t>
  </si>
  <si>
    <t>=F59/B4</t>
  </si>
  <si>
    <t>I59</t>
  </si>
  <si>
    <t>=I58+H59</t>
  </si>
  <si>
    <t>B60</t>
  </si>
  <si>
    <t>=B59-C59</t>
  </si>
  <si>
    <t>=SUM('flock performance sheet'!F520:F526+'flock performance sheet'!G520:G526)</t>
  </si>
  <si>
    <t>D60</t>
  </si>
  <si>
    <t>=C60/B60%</t>
  </si>
  <si>
    <t>=E59+D60</t>
  </si>
  <si>
    <t>F60</t>
  </si>
  <si>
    <t>=SUM('flock performance sheet'!J520:J526+'flock performance sheet'!K520:K526)</t>
  </si>
  <si>
    <t>G60</t>
  </si>
  <si>
    <t>=(F60/B60%)/7</t>
  </si>
  <si>
    <t>=F60/B4</t>
  </si>
  <si>
    <t>I60</t>
  </si>
  <si>
    <t>=I59+H60</t>
  </si>
  <si>
    <t>B61</t>
  </si>
  <si>
    <t>=B60-C60</t>
  </si>
  <si>
    <t>=SUM('flock performance sheet'!F527:F533+'flock performance sheet'!G527:G533)</t>
  </si>
  <si>
    <t>D61</t>
  </si>
  <si>
    <t>=C61/B61%</t>
  </si>
  <si>
    <t>=E60+D61</t>
  </si>
  <si>
    <t>F61</t>
  </si>
  <si>
    <t>=SUM('flock performance sheet'!J527:J533+'flock performance sheet'!K527:K533)</t>
  </si>
  <si>
    <t>G61</t>
  </si>
  <si>
    <t>=(F61/B61%)/7</t>
  </si>
  <si>
    <t>=F61/B4</t>
  </si>
  <si>
    <t>I61</t>
  </si>
  <si>
    <t>=I60+H61</t>
  </si>
  <si>
    <t>B62</t>
  </si>
  <si>
    <t>=B61-C61</t>
  </si>
  <si>
    <t>=SUM('flock performance sheet'!F534:F540+'flock performance sheet'!G534:G540)</t>
  </si>
  <si>
    <t>D62</t>
  </si>
  <si>
    <t>=C62/B62%</t>
  </si>
  <si>
    <t>=E61+D62</t>
  </si>
  <si>
    <t>F62</t>
  </si>
  <si>
    <t>=SUM('flock performance sheet'!J534:J540+'flock performance sheet'!K534:K540)</t>
  </si>
  <si>
    <t>G62</t>
  </si>
  <si>
    <t>=(F62/B62%)/7</t>
  </si>
  <si>
    <t>=F62/B4</t>
  </si>
  <si>
    <t>I62</t>
  </si>
  <si>
    <t>=I61+H62</t>
  </si>
  <si>
    <t>B63</t>
  </si>
  <si>
    <t>=B62-C62</t>
  </si>
  <si>
    <t>=SUM('flock performance sheet'!F541:F547+'flock performance sheet'!G541:G547)</t>
  </si>
  <si>
    <t>D63</t>
  </si>
  <si>
    <t>=C63/B63%</t>
  </si>
  <si>
    <t>=E62+D63</t>
  </si>
  <si>
    <t>F63</t>
  </si>
  <si>
    <t>=SUM('flock performance sheet'!J541:J547+'flock performance sheet'!K541:K547)</t>
  </si>
  <si>
    <t>G63</t>
  </si>
  <si>
    <t>=(F63/B63%)/7</t>
  </si>
  <si>
    <t>=F63/B4</t>
  </si>
  <si>
    <t>I63</t>
  </si>
  <si>
    <t>=I62+H63</t>
  </si>
  <si>
    <t>B64</t>
  </si>
  <si>
    <t>=B63-C63</t>
  </si>
  <si>
    <t>=SUM('flock performance sheet'!F548:F554+'flock performance sheet'!G548:G554)</t>
  </si>
  <si>
    <t>D64</t>
  </si>
  <si>
    <t>=C64/B64%</t>
  </si>
  <si>
    <t>=E63+D64</t>
  </si>
  <si>
    <t>F64</t>
  </si>
  <si>
    <t>=SUM('flock performance sheet'!J548:J554+'flock performance sheet'!K548:K554)</t>
  </si>
  <si>
    <t>G64</t>
  </si>
  <si>
    <t>=(F64/B64%)/7</t>
  </si>
  <si>
    <t>=F64/B4</t>
  </si>
  <si>
    <t>I64</t>
  </si>
  <si>
    <t>=I63+H64</t>
  </si>
  <si>
    <t>B65</t>
  </si>
  <si>
    <t>=B64-C64</t>
  </si>
  <si>
    <t>=SUM('flock performance sheet'!F555:F561+'flock performance sheet'!G555:G561)</t>
  </si>
  <si>
    <t>D65</t>
  </si>
  <si>
    <t>=C65/B65%</t>
  </si>
  <si>
    <t>=E64+D65</t>
  </si>
  <si>
    <t>F65</t>
  </si>
  <si>
    <t>=SUM('flock performance sheet'!J555:J561+'flock performance sheet'!K555:K561)</t>
  </si>
  <si>
    <t>G65</t>
  </si>
  <si>
    <t>=(F65/B65%)/7</t>
  </si>
  <si>
    <t>=F65/B4</t>
  </si>
  <si>
    <t>I65</t>
  </si>
  <si>
    <t>=I64+H65</t>
  </si>
  <si>
    <t>B66</t>
  </si>
  <si>
    <t>=B65-C65</t>
  </si>
  <si>
    <t>=SUM('flock performance sheet'!F562:F568+'flock performance sheet'!G562:G568)</t>
  </si>
  <si>
    <t>D66</t>
  </si>
  <si>
    <t>=C66/B66%</t>
  </si>
  <si>
    <t>=E65+D66</t>
  </si>
  <si>
    <t>F66</t>
  </si>
  <si>
    <t>=SUM('flock performance sheet'!J562:J568+'flock performance sheet'!K562:K568)</t>
  </si>
  <si>
    <t>G66</t>
  </si>
  <si>
    <t>=(F66/B66%)/7</t>
  </si>
  <si>
    <t>=F66/B4</t>
  </si>
  <si>
    <t>I66</t>
  </si>
  <si>
    <t>=I65+H66</t>
  </si>
  <si>
    <t>B67</t>
  </si>
  <si>
    <t>=B66-C66</t>
  </si>
  <si>
    <t>=SUM('flock performance sheet'!F569:F575+'flock performance sheet'!G569:G575)</t>
  </si>
  <si>
    <t>D67</t>
  </si>
  <si>
    <t>=C67/B67%</t>
  </si>
  <si>
    <t>=E66+D67</t>
  </si>
  <si>
    <t>F67</t>
  </si>
  <si>
    <t>=SUM('flock performance sheet'!J569:J575+'flock performance sheet'!K569:K575)</t>
  </si>
  <si>
    <t>G67</t>
  </si>
  <si>
    <t>=(F67/B67%)/7</t>
  </si>
  <si>
    <t>=F67/B4</t>
  </si>
  <si>
    <t>I67</t>
  </si>
  <si>
    <t>=I66+H67</t>
  </si>
  <si>
    <t>B68</t>
  </si>
  <si>
    <t>=B67-C67</t>
  </si>
  <si>
    <t>=SUM('flock performance sheet'!F576:F582+'flock performance sheet'!G576:G582)</t>
  </si>
  <si>
    <t>D68</t>
  </si>
  <si>
    <t>=C68/B68%</t>
  </si>
  <si>
    <t>=E67+D68</t>
  </si>
  <si>
    <t>F68</t>
  </si>
  <si>
    <t>=SUM('flock performance sheet'!J576:J582+'flock performance sheet'!K576:K582)</t>
  </si>
  <si>
    <t>G68</t>
  </si>
  <si>
    <t>=(F68/B68%)/7</t>
  </si>
  <si>
    <t>=F68/B4</t>
  </si>
  <si>
    <t>I68</t>
  </si>
  <si>
    <t>=I67+H68</t>
  </si>
  <si>
    <t>B69</t>
  </si>
  <si>
    <t>=B68-C68</t>
  </si>
  <si>
    <t>=SUM('flock performance sheet'!F583:F589+'flock performance sheet'!G583:G589)</t>
  </si>
  <si>
    <t>D69</t>
  </si>
  <si>
    <t>=C69/B69%</t>
  </si>
  <si>
    <t>=E68+D69</t>
  </si>
  <si>
    <t>F69</t>
  </si>
  <si>
    <t>=SUM('flock performance sheet'!J583:J589+'flock performance sheet'!K583:K589)</t>
  </si>
  <si>
    <t>G69</t>
  </si>
  <si>
    <t>=(F69/B69%)/7</t>
  </si>
  <si>
    <t>=F69/B4</t>
  </si>
  <si>
    <t>I69</t>
  </si>
  <si>
    <t>=I68+H69</t>
  </si>
  <si>
    <t>B70</t>
  </si>
  <si>
    <t>=B69-C69</t>
  </si>
  <si>
    <t>=SUM('flock performance sheet'!F590:F596+'flock performance sheet'!G590:G596)</t>
  </si>
  <si>
    <t>D70</t>
  </si>
  <si>
    <t>=C70/B70%</t>
  </si>
  <si>
    <t>=E69+D70</t>
  </si>
  <si>
    <t>F70</t>
  </si>
  <si>
    <t>=SUM('flock performance sheet'!J590:J596+'flock performance sheet'!K590:K596)</t>
  </si>
  <si>
    <t>G70</t>
  </si>
  <si>
    <t>=(F70/B70%)/7</t>
  </si>
  <si>
    <t>=F70/B4</t>
  </si>
  <si>
    <t>I70</t>
  </si>
  <si>
    <t>=I69+H70</t>
  </si>
  <si>
    <t>B71</t>
  </si>
  <si>
    <t>=B70-C70</t>
  </si>
  <si>
    <t>=SUM('flock performance sheet'!F597:F603+'flock performance sheet'!G597:G603)</t>
  </si>
  <si>
    <t>D71</t>
  </si>
  <si>
    <t>=C71/B71%</t>
  </si>
  <si>
    <t>=E70+D71</t>
  </si>
  <si>
    <t>F71</t>
  </si>
  <si>
    <t>=SUM('flock performance sheet'!J597:J603+'flock performance sheet'!K597:K603)</t>
  </si>
  <si>
    <t>G71</t>
  </si>
  <si>
    <t>=(F71/B71%)/7</t>
  </si>
  <si>
    <t>=F71/B4</t>
  </si>
  <si>
    <t>I71</t>
  </si>
  <si>
    <t>=I70+H71</t>
  </si>
  <si>
    <t>B72</t>
  </si>
  <si>
    <t>=B71-C71</t>
  </si>
  <si>
    <t>=SUM('flock performance sheet'!F604:F610+'flock performance sheet'!G604:G610)</t>
  </si>
  <si>
    <t>D72</t>
  </si>
  <si>
    <t>=C72/B72%</t>
  </si>
  <si>
    <t>=E71+D72</t>
  </si>
  <si>
    <t>F72</t>
  </si>
  <si>
    <t>=SUM('flock performance sheet'!J604:J610+'flock performance sheet'!K604:K610)</t>
  </si>
  <si>
    <t>G72</t>
  </si>
  <si>
    <t>=(F72/B72%)/7</t>
  </si>
  <si>
    <t>=F72/B4</t>
  </si>
  <si>
    <t>I72</t>
  </si>
  <si>
    <t>=I71+H72</t>
  </si>
  <si>
    <t>B73</t>
  </si>
  <si>
    <t>=B72-C72</t>
  </si>
  <si>
    <t>=SUM('flock performance sheet'!F611:F617+'flock performance sheet'!G611:G617)</t>
  </si>
  <si>
    <t>D73</t>
  </si>
  <si>
    <t>=C73/B73%</t>
  </si>
  <si>
    <t>=E72+D73</t>
  </si>
  <si>
    <t>F73</t>
  </si>
  <si>
    <t>=SUM('flock performance sheet'!J611:J617+'flock performance sheet'!K611:K617)</t>
  </si>
  <si>
    <t>G73</t>
  </si>
  <si>
    <t>=(F73/B73%)/7</t>
  </si>
  <si>
    <t>=F73/B4</t>
  </si>
  <si>
    <t>I73</t>
  </si>
  <si>
    <t>=I72+H73</t>
  </si>
  <si>
    <t>B74</t>
  </si>
  <si>
    <t>=B73-C73</t>
  </si>
  <si>
    <t>=SUM('flock performance sheet'!F618:F624+'flock performance sheet'!G618:G624)</t>
  </si>
  <si>
    <t>D74</t>
  </si>
  <si>
    <t>=C74/B74%</t>
  </si>
  <si>
    <t>=E73+D74</t>
  </si>
  <si>
    <t>F74</t>
  </si>
  <si>
    <t>=SUM('flock performance sheet'!J618:J624+'flock performance sheet'!K618:K624)</t>
  </si>
  <si>
    <t>G74</t>
  </si>
  <si>
    <t>=(F74/B74%)/7</t>
  </si>
  <si>
    <t>=F74/B4</t>
  </si>
  <si>
    <t>I74</t>
  </si>
  <si>
    <t>=I73+H74</t>
  </si>
  <si>
    <t>B75</t>
  </si>
  <si>
    <t>=B74-C74</t>
  </si>
  <si>
    <t>=SUM('flock performance sheet'!F625:F631+'flock performance sheet'!G625:G631)</t>
  </si>
  <si>
    <t>D75</t>
  </si>
  <si>
    <t>=C75/B75%</t>
  </si>
  <si>
    <t>=E74+D75</t>
  </si>
  <si>
    <t>F75</t>
  </si>
  <si>
    <t>=SUM('flock performance sheet'!J625:J631+'flock performance sheet'!K625:K631)</t>
  </si>
  <si>
    <t>G75</t>
  </si>
  <si>
    <t>=(F75/B75%)/7</t>
  </si>
  <si>
    <t>=F75/B4</t>
  </si>
  <si>
    <t>I75</t>
  </si>
  <si>
    <t>=I74+H75</t>
  </si>
  <si>
    <t>B76</t>
  </si>
  <si>
    <t>=B75-C75</t>
  </si>
  <si>
    <t>=SUM('flock performance sheet'!F632:F638+'flock performance sheet'!G632:G638)</t>
  </si>
  <si>
    <t>D76</t>
  </si>
  <si>
    <t>=C76/B76%</t>
  </si>
  <si>
    <t>=E75+D76</t>
  </si>
  <si>
    <t>F76</t>
  </si>
  <si>
    <t>=SUM('flock performance sheet'!J632:J638+'flock performance sheet'!K632:K638)</t>
  </si>
  <si>
    <t>G76</t>
  </si>
  <si>
    <t>=(F76/B76%)/7</t>
  </si>
  <si>
    <t>=F76/B4</t>
  </si>
  <si>
    <t>I76</t>
  </si>
  <si>
    <t>=I75+H76</t>
  </si>
  <si>
    <t>B77</t>
  </si>
  <si>
    <t>=B76-C76</t>
  </si>
  <si>
    <t>=SUM('flock performance sheet'!F639:F645+'flock performance sheet'!G639:G645)</t>
  </si>
  <si>
    <t>D77</t>
  </si>
  <si>
    <t>=C77/B77%</t>
  </si>
  <si>
    <t>=E76+D77</t>
  </si>
  <si>
    <t>F77</t>
  </si>
  <si>
    <t>=SUM('flock performance sheet'!J639:J645+'flock performance sheet'!K639:K645)</t>
  </si>
  <si>
    <t>G77</t>
  </si>
  <si>
    <t>=(F77/B77%)/7</t>
  </si>
  <si>
    <t>=F77/B4</t>
  </si>
  <si>
    <t>I77</t>
  </si>
  <si>
    <t>=I76+H77</t>
  </si>
  <si>
    <t>B78</t>
  </si>
  <si>
    <t>=B77-C77</t>
  </si>
  <si>
    <t>=SUM('flock performance sheet'!F646:F652+'flock performance sheet'!G646:G652)</t>
  </si>
  <si>
    <t>D78</t>
  </si>
  <si>
    <t>=C78/B78%</t>
  </si>
  <si>
    <t>=E77+D78</t>
  </si>
  <si>
    <t>F78</t>
  </si>
  <si>
    <t>=SUM('flock performance sheet'!J646:J652+'flock performance sheet'!K646:K652)</t>
  </si>
  <si>
    <t>G78</t>
  </si>
  <si>
    <t>=(F78/B78%)/7</t>
  </si>
  <si>
    <t>=F78/B4</t>
  </si>
  <si>
    <t>I78</t>
  </si>
  <si>
    <t>=I77+H78</t>
  </si>
  <si>
    <t>B79</t>
  </si>
  <si>
    <t>=B78-C78</t>
  </si>
  <si>
    <t>=SUM('flock performance sheet'!F653:F659+'flock performance sheet'!G653:G659)</t>
  </si>
  <si>
    <t>D79</t>
  </si>
  <si>
    <t>=C79/B79%</t>
  </si>
  <si>
    <t>=E78+D79</t>
  </si>
  <si>
    <t>F79</t>
  </si>
  <si>
    <t>=SUM('flock performance sheet'!J653:J659+'flock performance sheet'!K653:K659)</t>
  </si>
  <si>
    <t>G79</t>
  </si>
  <si>
    <t>=(F79/B79%)/7</t>
  </si>
  <si>
    <t>=F79/B4</t>
  </si>
  <si>
    <t>I79</t>
  </si>
  <si>
    <t>=I78+H79</t>
  </si>
  <si>
    <t>B80</t>
  </si>
  <si>
    <t>=B79-C79</t>
  </si>
  <si>
    <t>=SUM('flock performance sheet'!F660:F666+'flock performance sheet'!G660:G666)</t>
  </si>
  <si>
    <t>D80</t>
  </si>
  <si>
    <t>=C80/B80%</t>
  </si>
  <si>
    <t>=E79+D80</t>
  </si>
  <si>
    <t>F80</t>
  </si>
  <si>
    <t>=SUM('flock performance sheet'!J660:J666+'flock performance sheet'!K660:K666)</t>
  </si>
  <si>
    <t>G80</t>
  </si>
  <si>
    <t>=(F80/B80%)/7</t>
  </si>
  <si>
    <t>=F80/B4</t>
  </si>
  <si>
    <t>I80</t>
  </si>
  <si>
    <t>=I79+H80</t>
  </si>
  <si>
    <t>B81</t>
  </si>
  <si>
    <t>=B80-C80</t>
  </si>
  <si>
    <t>=SUM('flock performance sheet'!F667:F673+'flock performance sheet'!G667:G673)</t>
  </si>
  <si>
    <t>D81</t>
  </si>
  <si>
    <t>=C81/B81%</t>
  </si>
  <si>
    <t>=E80+D81</t>
  </si>
  <si>
    <t>F81</t>
  </si>
  <si>
    <t>=SUM('flock performance sheet'!J667:J673+'flock performance sheet'!K667:K673)</t>
  </si>
  <si>
    <t>G81</t>
  </si>
  <si>
    <t>=(F81/B81%)/7</t>
  </si>
  <si>
    <t>=F81/B4</t>
  </si>
  <si>
    <t>I81</t>
  </si>
  <si>
    <t>=I80+H81</t>
  </si>
  <si>
    <t>B82</t>
  </si>
  <si>
    <t>=B81-C81</t>
  </si>
  <si>
    <t>=SUM('flock performance sheet'!F674:F680+'flock performance sheet'!G674:G680)</t>
  </si>
  <si>
    <t>D82</t>
  </si>
  <si>
    <t>=C82/B82%</t>
  </si>
  <si>
    <t>=E81+D82</t>
  </si>
  <si>
    <t>F82</t>
  </si>
  <si>
    <t>=SUM('flock performance sheet'!J674:J680+'flock performance sheet'!K674:K680)</t>
  </si>
  <si>
    <t>G82</t>
  </si>
  <si>
    <t>=(F82/B82%)/7</t>
  </si>
  <si>
    <t>=F82/B4</t>
  </si>
  <si>
    <t>I82</t>
  </si>
  <si>
    <t>=I81+H82</t>
  </si>
  <si>
    <t>B83</t>
  </si>
  <si>
    <t>=B82-C82</t>
  </si>
  <si>
    <t>=SUM('flock performance sheet'!F681:F687+'flock performance sheet'!G681:G687)</t>
  </si>
  <si>
    <t>D83</t>
  </si>
  <si>
    <t>=C83/B83%</t>
  </si>
  <si>
    <t>=E82+D83</t>
  </si>
  <si>
    <t>F83</t>
  </si>
  <si>
    <t>=SUM('flock performance sheet'!J681:J687+'flock performance sheet'!K681:K687)</t>
  </si>
  <si>
    <t>G83</t>
  </si>
  <si>
    <t>=(F83/B83%)/7</t>
  </si>
  <si>
    <t>=F83/B4</t>
  </si>
  <si>
    <t>I83</t>
  </si>
  <si>
    <t>=I82+H83</t>
  </si>
  <si>
    <t>B84</t>
  </si>
  <si>
    <t>=B83-C83</t>
  </si>
  <si>
    <t>=SUM('flock performance sheet'!F688:F694+'flock performance sheet'!G688:G694)</t>
  </si>
  <si>
    <t>D84</t>
  </si>
  <si>
    <t>=C84/B84%</t>
  </si>
  <si>
    <t>=E83+D84</t>
  </si>
  <si>
    <t>F84</t>
  </si>
  <si>
    <t>=SUM('flock performance sheet'!J688:J694+'flock performance sheet'!K688:K694)</t>
  </si>
  <si>
    <t>G84</t>
  </si>
  <si>
    <t>=(F84/B84%)/7</t>
  </si>
  <si>
    <t>=F84/B4</t>
  </si>
  <si>
    <t>I84</t>
  </si>
  <si>
    <t>=I83+H84</t>
  </si>
  <si>
    <t>B85</t>
  </si>
  <si>
    <t>=B84-C84</t>
  </si>
  <si>
    <t>=SUM('flock performance sheet'!F695:F701+'flock performance sheet'!G695:G701)</t>
  </si>
  <si>
    <t>D85</t>
  </si>
  <si>
    <t>=C85/B85%</t>
  </si>
  <si>
    <t>=E84+D85</t>
  </si>
  <si>
    <t>F85</t>
  </si>
  <si>
    <t>=SUM('flock performance sheet'!J695:J701+'flock performance sheet'!K695:K701)</t>
  </si>
  <si>
    <t>G85</t>
  </si>
  <si>
    <t>=(F85/B85%)/7</t>
  </si>
  <si>
    <t>=F85/B4</t>
  </si>
  <si>
    <t>I85</t>
  </si>
  <si>
    <t>=I84+H85</t>
  </si>
  <si>
    <t>=I85</t>
  </si>
  <si>
    <t>=E85</t>
  </si>
  <si>
    <t>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</si>
</sst>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Dubai"/>
      <family val="2"/>
    </font>
    <font>
      <b/>
      <sz val="11"/>
      <color theme="0"/>
      <name val="Dubai"/>
      <family val="2"/>
    </font>
    <font>
      <sz val="11"/>
      <color theme="0"/>
      <name val="Dubai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8"/>
      <color rgb="FFFFFFFF"/>
      <name val="Calibri"/>
      <family val="2"/>
      <scheme val="minor"/>
    </font>
    <font>
      <i/>
      <sz val="10"/>
      <color rgb="FF666666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4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1F6D5A"/>
        <bgColor indexed="64"/>
      </patternFill>
    </fill>
    <fill>
      <patternFill patternType="solid">
        <fgColor rgb="FFB45F06"/>
        <bgColor indexed="64"/>
      </patternFill>
    </fill>
    <fill>
      <patternFill patternType="solid">
        <fgColor rgb="FF674EA7"/>
        <bgColor indexed="64"/>
      </patternFill>
    </fill>
    <fill>
      <patternFill patternType="solid">
        <fgColor rgb="FF455A6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ck">
        <color rgb="FFF4B183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3" fillId="5" borderId="1" xfId="0" applyFont="1" applyFill="1" applyBorder="1"/>
    <xf numFmtId="2" fontId="3" fillId="5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2" fontId="1" fillId="0" borderId="0" xfId="0" applyNumberFormat="1" applyFont="1"/>
    <xf numFmtId="9" fontId="0" fillId="0" borderId="0" xfId="0" applyNumberFormat="1"/>
    <xf numFmtId="10" fontId="0" fillId="0" borderId="0" xfId="0" applyNumberFormat="1"/>
    <xf numFmtId="0" fontId="5" fillId="0" borderId="0" xfId="0" applyFont="1"/>
    <xf numFmtId="0" fontId="0" fillId="7" borderId="0" xfId="0" applyFill="1"/>
    <xf numFmtId="0" fontId="6" fillId="4" borderId="0" xfId="0" applyFont="1" applyFill="1"/>
    <xf numFmtId="0" fontId="6" fillId="0" borderId="0" xfId="0" applyFont="1"/>
    <xf numFmtId="14" fontId="6" fillId="0" borderId="0" xfId="0" applyNumberFormat="1" applyFont="1"/>
    <xf numFmtId="0" fontId="2" fillId="2" borderId="1" xfId="0" applyFont="1" applyFill="1" applyBorder="1" applyAlignment="1">
      <alignment horizontal="center"/>
    </xf>
    <xf numFmtId="0" fontId="6" fillId="0" borderId="0" xfId="0" applyFont="1" applyAlignment="1">
      <alignment wrapText="1"/>
    </xf>
    <xf numFmtId="0" fontId="7" fillId="0" borderId="0" xfId="0" applyFont="1" applyFill="1"/>
    <xf numFmtId="3" fontId="1" fillId="6" borderId="1" xfId="0" applyNumberFormat="1" applyFont="1" applyFill="1" applyBorder="1" applyAlignment="1">
      <alignment horizontal="center" vertical="center"/>
    </xf>
    <xf numFmtId="0" fontId="9" fillId="8" borderId="0" xfId="0" applyFont="1" applyFill="1" applyAlignment="1">
      <alignment horizontal="center"/>
    </xf>
    <xf numFmtId="0" fontId="10" fillId="0" borderId="0" xfId="0" applyFont="1"/>
    <xf numFmtId="0" fontId="8" fillId="9" borderId="0" xfId="0" applyFont="1" applyFill="1" applyAlignment="1">
      <alignment horizontal="center"/>
    </xf>
    <xf numFmtId="0" fontId="0" fillId="0" borderId="0" xfId="0" applyAlignment="1">
      <alignment vertical="top"/>
    </xf>
    <xf numFmtId="3" fontId="0" fillId="0" borderId="0" xfId="0" applyNumberFormat="1" applyAlignment="1">
      <alignment vertical="top"/>
    </xf>
    <xf numFmtId="0" fontId="0" fillId="0" borderId="0" xfId="0" quotePrefix="1" applyAlignment="1">
      <alignment vertical="top" wrapText="1"/>
    </xf>
    <xf numFmtId="0" fontId="0" fillId="0" borderId="0" xfId="0" applyAlignment="1">
      <alignment vertical="top" wrapText="1"/>
    </xf>
    <xf numFmtId="0" fontId="11" fillId="10" borderId="2" xfId="0" applyFont="1" applyFill="1" applyBorder="1" applyAlignment="1">
      <alignment horizontal="center" vertical="center" wrapText="1"/>
    </xf>
    <xf numFmtId="0" fontId="11" fillId="11" borderId="2" xfId="0" applyFont="1" applyFill="1" applyBorder="1" applyAlignment="1">
      <alignment horizontal="center" vertical="center" wrapText="1"/>
    </xf>
    <xf numFmtId="0" fontId="11" fillId="12" borderId="2" xfId="0" applyFont="1" applyFill="1" applyBorder="1" applyAlignment="1">
      <alignment horizontal="center" vertical="center" wrapText="1"/>
    </xf>
    <xf numFmtId="0" fontId="11" fillId="13" borderId="2" xfId="0" applyFont="1" applyFill="1" applyBorder="1" applyAlignment="1">
      <alignment horizontal="center" vertical="center" wrapText="1"/>
    </xf>
    <xf numFmtId="0" fontId="11" fillId="14" borderId="2" xfId="0" applyFont="1" applyFill="1" applyBorder="1" applyAlignment="1">
      <alignment horizontal="center" vertical="center" wrapText="1"/>
    </xf>
    <xf numFmtId="0" fontId="12" fillId="4" borderId="0" xfId="0" applyFont="1" applyFill="1"/>
  </cellXfs>
  <cellStyles count="1">
    <cellStyle name="Normal" xfId="0" builtinId="0"/>
  </cellStyles>
  <dxfs count="10">
    <dxf>
      <font>
        <b val="0"/>
        <i val="0"/>
        <color rgb="FF000000"/>
      </font>
      <fill>
        <patternFill patternType="solid">
          <fgColor indexed="64"/>
          <bgColor rgb="FFF8CBAD"/>
        </patternFill>
      </fill>
    </dxf>
    <dxf>
      <font>
        <color rgb="FF9C0006"/>
      </font>
      <fill>
        <patternFill patternType="solid">
          <fgColor indexed="64"/>
          <bgColor rgb="FFF4CCCC"/>
        </patternFill>
      </fill>
    </dxf>
    <dxf>
      <alignment vertical="top" wrapText="1"/>
    </dxf>
    <dxf>
      <alignment vertical="top" wrapText="1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font>
        <b/>
        <color rgb="FFFFFFFF"/>
      </font>
      <fill>
        <patternFill patternType="solid">
          <fgColor indexed="64"/>
          <bgColor rgb="FF5B9BD5"/>
        </patternFill>
      </fill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Sheet1!$D$3</c:f>
              <c:strCache>
                <c:ptCount val="1"/>
                <c:pt idx="0">
                  <c:v>Depletion 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Sheet1!$A$4:$A$85</c:f>
              <c:numCache>
                <c:formatCode>General</c:formatCode>
                <c:ptCount val="82"/>
                <c:pt idx="0">
                  <c:v>19</c:v>
                </c:pt>
                <c:pt idx="1">
                  <c:v>20</c:v>
                </c:pt>
                <c:pt idx="2">
                  <c:v>21</c:v>
                </c:pt>
                <c:pt idx="3">
                  <c:v>22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>
                  <c:v>26</c:v>
                </c:pt>
                <c:pt idx="8">
                  <c:v>27</c:v>
                </c:pt>
                <c:pt idx="9">
                  <c:v>28</c:v>
                </c:pt>
                <c:pt idx="10">
                  <c:v>29</c:v>
                </c:pt>
                <c:pt idx="11">
                  <c:v>30</c:v>
                </c:pt>
                <c:pt idx="12">
                  <c:v>31</c:v>
                </c:pt>
                <c:pt idx="13">
                  <c:v>32</c:v>
                </c:pt>
                <c:pt idx="14">
                  <c:v>33</c:v>
                </c:pt>
                <c:pt idx="15">
                  <c:v>34</c:v>
                </c:pt>
                <c:pt idx="16">
                  <c:v>35</c:v>
                </c:pt>
                <c:pt idx="17">
                  <c:v>36</c:v>
                </c:pt>
                <c:pt idx="18">
                  <c:v>37</c:v>
                </c:pt>
                <c:pt idx="19">
                  <c:v>38</c:v>
                </c:pt>
                <c:pt idx="20">
                  <c:v>39</c:v>
                </c:pt>
                <c:pt idx="21">
                  <c:v>40</c:v>
                </c:pt>
                <c:pt idx="22">
                  <c:v>41</c:v>
                </c:pt>
                <c:pt idx="23">
                  <c:v>42</c:v>
                </c:pt>
                <c:pt idx="24">
                  <c:v>43</c:v>
                </c:pt>
                <c:pt idx="25">
                  <c:v>44</c:v>
                </c:pt>
                <c:pt idx="26">
                  <c:v>45</c:v>
                </c:pt>
                <c:pt idx="27">
                  <c:v>46</c:v>
                </c:pt>
                <c:pt idx="28">
                  <c:v>47</c:v>
                </c:pt>
                <c:pt idx="29">
                  <c:v>48</c:v>
                </c:pt>
                <c:pt idx="30">
                  <c:v>49</c:v>
                </c:pt>
                <c:pt idx="31">
                  <c:v>50</c:v>
                </c:pt>
                <c:pt idx="32">
                  <c:v>51</c:v>
                </c:pt>
                <c:pt idx="33">
                  <c:v>52</c:v>
                </c:pt>
                <c:pt idx="34">
                  <c:v>53</c:v>
                </c:pt>
                <c:pt idx="35">
                  <c:v>54</c:v>
                </c:pt>
                <c:pt idx="36">
                  <c:v>55</c:v>
                </c:pt>
                <c:pt idx="37">
                  <c:v>56</c:v>
                </c:pt>
                <c:pt idx="38">
                  <c:v>57</c:v>
                </c:pt>
                <c:pt idx="39">
                  <c:v>58</c:v>
                </c:pt>
                <c:pt idx="40">
                  <c:v>59</c:v>
                </c:pt>
                <c:pt idx="41">
                  <c:v>60</c:v>
                </c:pt>
                <c:pt idx="42">
                  <c:v>61</c:v>
                </c:pt>
                <c:pt idx="43">
                  <c:v>62</c:v>
                </c:pt>
                <c:pt idx="44">
                  <c:v>63</c:v>
                </c:pt>
                <c:pt idx="45">
                  <c:v>64</c:v>
                </c:pt>
                <c:pt idx="46">
                  <c:v>65</c:v>
                </c:pt>
                <c:pt idx="47">
                  <c:v>66</c:v>
                </c:pt>
                <c:pt idx="48">
                  <c:v>67</c:v>
                </c:pt>
                <c:pt idx="49">
                  <c:v>68</c:v>
                </c:pt>
                <c:pt idx="50">
                  <c:v>69</c:v>
                </c:pt>
                <c:pt idx="51">
                  <c:v>70</c:v>
                </c:pt>
                <c:pt idx="52">
                  <c:v>71</c:v>
                </c:pt>
                <c:pt idx="53">
                  <c:v>72</c:v>
                </c:pt>
                <c:pt idx="54">
                  <c:v>73</c:v>
                </c:pt>
                <c:pt idx="55">
                  <c:v>74</c:v>
                </c:pt>
                <c:pt idx="56">
                  <c:v>75</c:v>
                </c:pt>
                <c:pt idx="57">
                  <c:v>76</c:v>
                </c:pt>
                <c:pt idx="58">
                  <c:v>77</c:v>
                </c:pt>
                <c:pt idx="59">
                  <c:v>78</c:v>
                </c:pt>
                <c:pt idx="60">
                  <c:v>79</c:v>
                </c:pt>
                <c:pt idx="61">
                  <c:v>80</c:v>
                </c:pt>
                <c:pt idx="62">
                  <c:v>81</c:v>
                </c:pt>
                <c:pt idx="63">
                  <c:v>82</c:v>
                </c:pt>
                <c:pt idx="64">
                  <c:v>83</c:v>
                </c:pt>
                <c:pt idx="65">
                  <c:v>84</c:v>
                </c:pt>
                <c:pt idx="66">
                  <c:v>85</c:v>
                </c:pt>
                <c:pt idx="67">
                  <c:v>86</c:v>
                </c:pt>
                <c:pt idx="68">
                  <c:v>87</c:v>
                </c:pt>
                <c:pt idx="69">
                  <c:v>88</c:v>
                </c:pt>
                <c:pt idx="70">
                  <c:v>89</c:v>
                </c:pt>
                <c:pt idx="71">
                  <c:v>90</c:v>
                </c:pt>
                <c:pt idx="72">
                  <c:v>91</c:v>
                </c:pt>
                <c:pt idx="73">
                  <c:v>92</c:v>
                </c:pt>
                <c:pt idx="74">
                  <c:v>93</c:v>
                </c:pt>
                <c:pt idx="75">
                  <c:v>94</c:v>
                </c:pt>
                <c:pt idx="76">
                  <c:v>95</c:v>
                </c:pt>
                <c:pt idx="77">
                  <c:v>96</c:v>
                </c:pt>
                <c:pt idx="78">
                  <c:v>97</c:v>
                </c:pt>
                <c:pt idx="79">
                  <c:v>98</c:v>
                </c:pt>
                <c:pt idx="80">
                  <c:v>99</c:v>
                </c:pt>
                <c:pt idx="81">
                  <c:v>100</c:v>
                </c:pt>
              </c:numCache>
            </c:numRef>
          </c:cat>
          <c:val>
            <c:numRef>
              <c:f>Sheet1!$D$4:$D$85</c:f>
              <c:numCache>
                <c:formatCode>0.00</c:formatCode>
                <c:ptCount val="82"/>
                <c:pt idx="0">
                  <c:v>0.74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80-4DF8-8E33-55736E0B5E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9497919"/>
        <c:axId val="409498751"/>
      </c:lineChart>
      <c:catAx>
        <c:axId val="409497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498751"/>
        <c:crosses val="autoZero"/>
        <c:auto val="1"/>
        <c:lblAlgn val="ctr"/>
        <c:lblOffset val="100"/>
        <c:noMultiLvlLbl val="0"/>
      </c:catAx>
      <c:valAx>
        <c:axId val="409498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497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Sheet1!$E$3</c:f>
              <c:strCache>
                <c:ptCount val="1"/>
                <c:pt idx="0">
                  <c:v>Cum Depletion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Sheet1!$A$4:$A$85</c:f>
              <c:numCache>
                <c:formatCode>General</c:formatCode>
                <c:ptCount val="82"/>
                <c:pt idx="0">
                  <c:v>19</c:v>
                </c:pt>
                <c:pt idx="1">
                  <c:v>20</c:v>
                </c:pt>
                <c:pt idx="2">
                  <c:v>21</c:v>
                </c:pt>
                <c:pt idx="3">
                  <c:v>22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>
                  <c:v>26</c:v>
                </c:pt>
                <c:pt idx="8">
                  <c:v>27</c:v>
                </c:pt>
                <c:pt idx="9">
                  <c:v>28</c:v>
                </c:pt>
                <c:pt idx="10">
                  <c:v>29</c:v>
                </c:pt>
                <c:pt idx="11">
                  <c:v>30</c:v>
                </c:pt>
                <c:pt idx="12">
                  <c:v>31</c:v>
                </c:pt>
                <c:pt idx="13">
                  <c:v>32</c:v>
                </c:pt>
                <c:pt idx="14">
                  <c:v>33</c:v>
                </c:pt>
                <c:pt idx="15">
                  <c:v>34</c:v>
                </c:pt>
                <c:pt idx="16">
                  <c:v>35</c:v>
                </c:pt>
                <c:pt idx="17">
                  <c:v>36</c:v>
                </c:pt>
                <c:pt idx="18">
                  <c:v>37</c:v>
                </c:pt>
                <c:pt idx="19">
                  <c:v>38</c:v>
                </c:pt>
                <c:pt idx="20">
                  <c:v>39</c:v>
                </c:pt>
                <c:pt idx="21">
                  <c:v>40</c:v>
                </c:pt>
                <c:pt idx="22">
                  <c:v>41</c:v>
                </c:pt>
                <c:pt idx="23">
                  <c:v>42</c:v>
                </c:pt>
                <c:pt idx="24">
                  <c:v>43</c:v>
                </c:pt>
                <c:pt idx="25">
                  <c:v>44</c:v>
                </c:pt>
                <c:pt idx="26">
                  <c:v>45</c:v>
                </c:pt>
                <c:pt idx="27">
                  <c:v>46</c:v>
                </c:pt>
                <c:pt idx="28">
                  <c:v>47</c:v>
                </c:pt>
                <c:pt idx="29">
                  <c:v>48</c:v>
                </c:pt>
                <c:pt idx="30">
                  <c:v>49</c:v>
                </c:pt>
                <c:pt idx="31">
                  <c:v>50</c:v>
                </c:pt>
                <c:pt idx="32">
                  <c:v>51</c:v>
                </c:pt>
                <c:pt idx="33">
                  <c:v>52</c:v>
                </c:pt>
                <c:pt idx="34">
                  <c:v>53</c:v>
                </c:pt>
                <c:pt idx="35">
                  <c:v>54</c:v>
                </c:pt>
                <c:pt idx="36">
                  <c:v>55</c:v>
                </c:pt>
                <c:pt idx="37">
                  <c:v>56</c:v>
                </c:pt>
                <c:pt idx="38">
                  <c:v>57</c:v>
                </c:pt>
                <c:pt idx="39">
                  <c:v>58</c:v>
                </c:pt>
                <c:pt idx="40">
                  <c:v>59</c:v>
                </c:pt>
                <c:pt idx="41">
                  <c:v>60</c:v>
                </c:pt>
                <c:pt idx="42">
                  <c:v>61</c:v>
                </c:pt>
                <c:pt idx="43">
                  <c:v>62</c:v>
                </c:pt>
                <c:pt idx="44">
                  <c:v>63</c:v>
                </c:pt>
                <c:pt idx="45">
                  <c:v>64</c:v>
                </c:pt>
                <c:pt idx="46">
                  <c:v>65</c:v>
                </c:pt>
                <c:pt idx="47">
                  <c:v>66</c:v>
                </c:pt>
                <c:pt idx="48">
                  <c:v>67</c:v>
                </c:pt>
                <c:pt idx="49">
                  <c:v>68</c:v>
                </c:pt>
                <c:pt idx="50">
                  <c:v>69</c:v>
                </c:pt>
                <c:pt idx="51">
                  <c:v>70</c:v>
                </c:pt>
                <c:pt idx="52">
                  <c:v>71</c:v>
                </c:pt>
                <c:pt idx="53">
                  <c:v>72</c:v>
                </c:pt>
                <c:pt idx="54">
                  <c:v>73</c:v>
                </c:pt>
                <c:pt idx="55">
                  <c:v>74</c:v>
                </c:pt>
                <c:pt idx="56">
                  <c:v>75</c:v>
                </c:pt>
                <c:pt idx="57">
                  <c:v>76</c:v>
                </c:pt>
                <c:pt idx="58">
                  <c:v>77</c:v>
                </c:pt>
                <c:pt idx="59">
                  <c:v>78</c:v>
                </c:pt>
                <c:pt idx="60">
                  <c:v>79</c:v>
                </c:pt>
                <c:pt idx="61">
                  <c:v>80</c:v>
                </c:pt>
                <c:pt idx="62">
                  <c:v>81</c:v>
                </c:pt>
                <c:pt idx="63">
                  <c:v>82</c:v>
                </c:pt>
                <c:pt idx="64">
                  <c:v>83</c:v>
                </c:pt>
                <c:pt idx="65">
                  <c:v>84</c:v>
                </c:pt>
                <c:pt idx="66">
                  <c:v>85</c:v>
                </c:pt>
                <c:pt idx="67">
                  <c:v>86</c:v>
                </c:pt>
                <c:pt idx="68">
                  <c:v>87</c:v>
                </c:pt>
                <c:pt idx="69">
                  <c:v>88</c:v>
                </c:pt>
                <c:pt idx="70">
                  <c:v>89</c:v>
                </c:pt>
                <c:pt idx="71">
                  <c:v>90</c:v>
                </c:pt>
                <c:pt idx="72">
                  <c:v>91</c:v>
                </c:pt>
                <c:pt idx="73">
                  <c:v>92</c:v>
                </c:pt>
                <c:pt idx="74">
                  <c:v>93</c:v>
                </c:pt>
                <c:pt idx="75">
                  <c:v>94</c:v>
                </c:pt>
                <c:pt idx="76">
                  <c:v>95</c:v>
                </c:pt>
                <c:pt idx="77">
                  <c:v>96</c:v>
                </c:pt>
                <c:pt idx="78">
                  <c:v>97</c:v>
                </c:pt>
                <c:pt idx="79">
                  <c:v>98</c:v>
                </c:pt>
                <c:pt idx="80">
                  <c:v>99</c:v>
                </c:pt>
                <c:pt idx="81">
                  <c:v>100</c:v>
                </c:pt>
              </c:numCache>
            </c:numRef>
          </c:cat>
          <c:val>
            <c:numRef>
              <c:f>Sheet1!$E$4:$E$85</c:f>
              <c:numCache>
                <c:formatCode>0.00</c:formatCode>
                <c:ptCount val="82"/>
                <c:pt idx="0">
                  <c:v>0.74</c:v>
                </c:pt>
                <c:pt idx="1">
                  <c:v>0.74</c:v>
                </c:pt>
                <c:pt idx="2">
                  <c:v>0.74</c:v>
                </c:pt>
                <c:pt idx="3">
                  <c:v>0.74</c:v>
                </c:pt>
                <c:pt idx="4">
                  <c:v>0.74</c:v>
                </c:pt>
                <c:pt idx="5">
                  <c:v>0.74</c:v>
                </c:pt>
                <c:pt idx="6">
                  <c:v>0.74</c:v>
                </c:pt>
                <c:pt idx="7">
                  <c:v>0.74</c:v>
                </c:pt>
                <c:pt idx="8">
                  <c:v>0.74</c:v>
                </c:pt>
                <c:pt idx="9">
                  <c:v>0.74</c:v>
                </c:pt>
                <c:pt idx="10">
                  <c:v>0.74</c:v>
                </c:pt>
                <c:pt idx="11">
                  <c:v>0.74</c:v>
                </c:pt>
                <c:pt idx="12">
                  <c:v>0.74</c:v>
                </c:pt>
                <c:pt idx="13">
                  <c:v>0.74</c:v>
                </c:pt>
                <c:pt idx="14">
                  <c:v>0.74</c:v>
                </c:pt>
                <c:pt idx="15">
                  <c:v>0.74</c:v>
                </c:pt>
                <c:pt idx="16">
                  <c:v>0.74</c:v>
                </c:pt>
                <c:pt idx="17">
                  <c:v>0.74</c:v>
                </c:pt>
                <c:pt idx="18">
                  <c:v>0.74</c:v>
                </c:pt>
                <c:pt idx="19">
                  <c:v>0.74</c:v>
                </c:pt>
                <c:pt idx="20">
                  <c:v>0.74</c:v>
                </c:pt>
                <c:pt idx="21">
                  <c:v>0.74</c:v>
                </c:pt>
                <c:pt idx="22">
                  <c:v>0.74</c:v>
                </c:pt>
                <c:pt idx="23">
                  <c:v>0.74</c:v>
                </c:pt>
                <c:pt idx="24">
                  <c:v>0.74</c:v>
                </c:pt>
                <c:pt idx="25">
                  <c:v>0.74</c:v>
                </c:pt>
                <c:pt idx="26">
                  <c:v>0.74</c:v>
                </c:pt>
                <c:pt idx="27">
                  <c:v>0.74</c:v>
                </c:pt>
                <c:pt idx="28">
                  <c:v>0.74</c:v>
                </c:pt>
                <c:pt idx="29">
                  <c:v>0.74</c:v>
                </c:pt>
                <c:pt idx="30">
                  <c:v>0.74</c:v>
                </c:pt>
                <c:pt idx="31">
                  <c:v>0.74</c:v>
                </c:pt>
                <c:pt idx="32">
                  <c:v>0.74</c:v>
                </c:pt>
                <c:pt idx="33">
                  <c:v>0.74</c:v>
                </c:pt>
                <c:pt idx="34">
                  <c:v>0.74</c:v>
                </c:pt>
                <c:pt idx="35">
                  <c:v>0.74</c:v>
                </c:pt>
                <c:pt idx="36">
                  <c:v>0.74</c:v>
                </c:pt>
                <c:pt idx="37">
                  <c:v>0.74</c:v>
                </c:pt>
                <c:pt idx="38">
                  <c:v>0.74</c:v>
                </c:pt>
                <c:pt idx="39">
                  <c:v>0.74</c:v>
                </c:pt>
                <c:pt idx="40">
                  <c:v>0.74</c:v>
                </c:pt>
                <c:pt idx="41">
                  <c:v>0.74</c:v>
                </c:pt>
                <c:pt idx="42">
                  <c:v>0.74</c:v>
                </c:pt>
                <c:pt idx="43">
                  <c:v>0.74</c:v>
                </c:pt>
                <c:pt idx="44">
                  <c:v>0.74</c:v>
                </c:pt>
                <c:pt idx="45">
                  <c:v>0.74</c:v>
                </c:pt>
                <c:pt idx="46">
                  <c:v>0.74</c:v>
                </c:pt>
                <c:pt idx="47">
                  <c:v>0.74</c:v>
                </c:pt>
                <c:pt idx="48">
                  <c:v>0.74</c:v>
                </c:pt>
                <c:pt idx="49">
                  <c:v>0.74</c:v>
                </c:pt>
                <c:pt idx="50">
                  <c:v>0.74</c:v>
                </c:pt>
                <c:pt idx="51">
                  <c:v>0.74</c:v>
                </c:pt>
                <c:pt idx="52">
                  <c:v>0.74</c:v>
                </c:pt>
                <c:pt idx="53">
                  <c:v>0.74</c:v>
                </c:pt>
                <c:pt idx="54">
                  <c:v>0.74</c:v>
                </c:pt>
                <c:pt idx="55">
                  <c:v>0.74</c:v>
                </c:pt>
                <c:pt idx="56">
                  <c:v>0.74</c:v>
                </c:pt>
                <c:pt idx="57">
                  <c:v>0.74</c:v>
                </c:pt>
                <c:pt idx="58">
                  <c:v>0.74</c:v>
                </c:pt>
                <c:pt idx="59">
                  <c:v>0.74</c:v>
                </c:pt>
                <c:pt idx="60">
                  <c:v>0.74</c:v>
                </c:pt>
                <c:pt idx="61">
                  <c:v>0.74</c:v>
                </c:pt>
                <c:pt idx="62">
                  <c:v>0.74</c:v>
                </c:pt>
                <c:pt idx="63">
                  <c:v>0.74</c:v>
                </c:pt>
                <c:pt idx="64">
                  <c:v>0.74</c:v>
                </c:pt>
                <c:pt idx="65">
                  <c:v>0.74</c:v>
                </c:pt>
                <c:pt idx="66">
                  <c:v>0.74</c:v>
                </c:pt>
                <c:pt idx="67">
                  <c:v>0.74</c:v>
                </c:pt>
                <c:pt idx="68">
                  <c:v>0.74</c:v>
                </c:pt>
                <c:pt idx="69">
                  <c:v>0.74</c:v>
                </c:pt>
                <c:pt idx="70">
                  <c:v>0.74</c:v>
                </c:pt>
                <c:pt idx="71">
                  <c:v>0.74</c:v>
                </c:pt>
                <c:pt idx="72">
                  <c:v>0.74</c:v>
                </c:pt>
                <c:pt idx="73">
                  <c:v>0.74</c:v>
                </c:pt>
                <c:pt idx="74">
                  <c:v>0.74</c:v>
                </c:pt>
                <c:pt idx="75">
                  <c:v>0.74</c:v>
                </c:pt>
                <c:pt idx="76">
                  <c:v>0.74</c:v>
                </c:pt>
                <c:pt idx="77">
                  <c:v>0.74</c:v>
                </c:pt>
                <c:pt idx="78">
                  <c:v>0.74</c:v>
                </c:pt>
                <c:pt idx="79">
                  <c:v>0.74</c:v>
                </c:pt>
                <c:pt idx="80">
                  <c:v>0.74</c:v>
                </c:pt>
                <c:pt idx="81">
                  <c:v>0.74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70-4406-A68F-D7115190ED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4560111"/>
        <c:axId val="514560943"/>
      </c:lineChart>
      <c:catAx>
        <c:axId val="514560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560943"/>
        <c:crosses val="autoZero"/>
        <c:auto val="1"/>
        <c:lblAlgn val="ctr"/>
        <c:lblOffset val="100"/>
        <c:noMultiLvlLbl val="0"/>
      </c:catAx>
      <c:valAx>
        <c:axId val="514560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560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Sheet1!$G$3</c:f>
              <c:strCache>
                <c:ptCount val="1"/>
                <c:pt idx="0">
                  <c:v>HDP 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Sheet1!$A$4:$A$85</c:f>
              <c:numCache>
                <c:formatCode>General</c:formatCode>
                <c:ptCount val="82"/>
                <c:pt idx="0">
                  <c:v>19</c:v>
                </c:pt>
                <c:pt idx="1">
                  <c:v>20</c:v>
                </c:pt>
                <c:pt idx="2">
                  <c:v>21</c:v>
                </c:pt>
                <c:pt idx="3">
                  <c:v>22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>
                  <c:v>26</c:v>
                </c:pt>
                <c:pt idx="8">
                  <c:v>27</c:v>
                </c:pt>
                <c:pt idx="9">
                  <c:v>28</c:v>
                </c:pt>
                <c:pt idx="10">
                  <c:v>29</c:v>
                </c:pt>
                <c:pt idx="11">
                  <c:v>30</c:v>
                </c:pt>
                <c:pt idx="12">
                  <c:v>31</c:v>
                </c:pt>
                <c:pt idx="13">
                  <c:v>32</c:v>
                </c:pt>
                <c:pt idx="14">
                  <c:v>33</c:v>
                </c:pt>
                <c:pt idx="15">
                  <c:v>34</c:v>
                </c:pt>
                <c:pt idx="16">
                  <c:v>35</c:v>
                </c:pt>
                <c:pt idx="17">
                  <c:v>36</c:v>
                </c:pt>
                <c:pt idx="18">
                  <c:v>37</c:v>
                </c:pt>
                <c:pt idx="19">
                  <c:v>38</c:v>
                </c:pt>
                <c:pt idx="20">
                  <c:v>39</c:v>
                </c:pt>
                <c:pt idx="21">
                  <c:v>40</c:v>
                </c:pt>
                <c:pt idx="22">
                  <c:v>41</c:v>
                </c:pt>
                <c:pt idx="23">
                  <c:v>42</c:v>
                </c:pt>
                <c:pt idx="24">
                  <c:v>43</c:v>
                </c:pt>
                <c:pt idx="25">
                  <c:v>44</c:v>
                </c:pt>
                <c:pt idx="26">
                  <c:v>45</c:v>
                </c:pt>
                <c:pt idx="27">
                  <c:v>46</c:v>
                </c:pt>
                <c:pt idx="28">
                  <c:v>47</c:v>
                </c:pt>
                <c:pt idx="29">
                  <c:v>48</c:v>
                </c:pt>
                <c:pt idx="30">
                  <c:v>49</c:v>
                </c:pt>
                <c:pt idx="31">
                  <c:v>50</c:v>
                </c:pt>
                <c:pt idx="32">
                  <c:v>51</c:v>
                </c:pt>
                <c:pt idx="33">
                  <c:v>52</c:v>
                </c:pt>
                <c:pt idx="34">
                  <c:v>53</c:v>
                </c:pt>
                <c:pt idx="35">
                  <c:v>54</c:v>
                </c:pt>
                <c:pt idx="36">
                  <c:v>55</c:v>
                </c:pt>
                <c:pt idx="37">
                  <c:v>56</c:v>
                </c:pt>
                <c:pt idx="38">
                  <c:v>57</c:v>
                </c:pt>
                <c:pt idx="39">
                  <c:v>58</c:v>
                </c:pt>
                <c:pt idx="40">
                  <c:v>59</c:v>
                </c:pt>
                <c:pt idx="41">
                  <c:v>60</c:v>
                </c:pt>
                <c:pt idx="42">
                  <c:v>61</c:v>
                </c:pt>
                <c:pt idx="43">
                  <c:v>62</c:v>
                </c:pt>
                <c:pt idx="44">
                  <c:v>63</c:v>
                </c:pt>
                <c:pt idx="45">
                  <c:v>64</c:v>
                </c:pt>
                <c:pt idx="46">
                  <c:v>65</c:v>
                </c:pt>
                <c:pt idx="47">
                  <c:v>66</c:v>
                </c:pt>
                <c:pt idx="48">
                  <c:v>67</c:v>
                </c:pt>
                <c:pt idx="49">
                  <c:v>68</c:v>
                </c:pt>
                <c:pt idx="50">
                  <c:v>69</c:v>
                </c:pt>
                <c:pt idx="51">
                  <c:v>70</c:v>
                </c:pt>
                <c:pt idx="52">
                  <c:v>71</c:v>
                </c:pt>
                <c:pt idx="53">
                  <c:v>72</c:v>
                </c:pt>
                <c:pt idx="54">
                  <c:v>73</c:v>
                </c:pt>
                <c:pt idx="55">
                  <c:v>74</c:v>
                </c:pt>
                <c:pt idx="56">
                  <c:v>75</c:v>
                </c:pt>
                <c:pt idx="57">
                  <c:v>76</c:v>
                </c:pt>
                <c:pt idx="58">
                  <c:v>77</c:v>
                </c:pt>
                <c:pt idx="59">
                  <c:v>78</c:v>
                </c:pt>
                <c:pt idx="60">
                  <c:v>79</c:v>
                </c:pt>
                <c:pt idx="61">
                  <c:v>80</c:v>
                </c:pt>
                <c:pt idx="62">
                  <c:v>81</c:v>
                </c:pt>
                <c:pt idx="63">
                  <c:v>82</c:v>
                </c:pt>
                <c:pt idx="64">
                  <c:v>83</c:v>
                </c:pt>
                <c:pt idx="65">
                  <c:v>84</c:v>
                </c:pt>
                <c:pt idx="66">
                  <c:v>85</c:v>
                </c:pt>
                <c:pt idx="67">
                  <c:v>86</c:v>
                </c:pt>
                <c:pt idx="68">
                  <c:v>87</c:v>
                </c:pt>
                <c:pt idx="69">
                  <c:v>88</c:v>
                </c:pt>
                <c:pt idx="70">
                  <c:v>89</c:v>
                </c:pt>
                <c:pt idx="71">
                  <c:v>90</c:v>
                </c:pt>
                <c:pt idx="72">
                  <c:v>91</c:v>
                </c:pt>
                <c:pt idx="73">
                  <c:v>92</c:v>
                </c:pt>
                <c:pt idx="74">
                  <c:v>93</c:v>
                </c:pt>
                <c:pt idx="75">
                  <c:v>94</c:v>
                </c:pt>
                <c:pt idx="76">
                  <c:v>95</c:v>
                </c:pt>
                <c:pt idx="77">
                  <c:v>96</c:v>
                </c:pt>
                <c:pt idx="78">
                  <c:v>97</c:v>
                </c:pt>
                <c:pt idx="79">
                  <c:v>98</c:v>
                </c:pt>
                <c:pt idx="80">
                  <c:v>99</c:v>
                </c:pt>
                <c:pt idx="81">
                  <c:v>100</c:v>
                </c:pt>
              </c:numCache>
            </c:numRef>
          </c:cat>
          <c:val>
            <c:numRef>
              <c:f>Sheet1!$G$4:$G$85</c:f>
              <c:numCache>
                <c:formatCode>0.00</c:formatCode>
                <c:ptCount val="82"/>
                <c:pt idx="0">
                  <c:v>7.2276190476190481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5C-4779-907F-809B68C21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2701951"/>
        <c:axId val="442700703"/>
      </c:lineChart>
      <c:catAx>
        <c:axId val="442701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700703"/>
        <c:crosses val="autoZero"/>
        <c:auto val="1"/>
        <c:lblAlgn val="ctr"/>
        <c:lblOffset val="100"/>
        <c:noMultiLvlLbl val="0"/>
      </c:catAx>
      <c:valAx>
        <c:axId val="442700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701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Sheet1!$I$3</c:f>
              <c:strCache>
                <c:ptCount val="1"/>
                <c:pt idx="0">
                  <c:v>Cum HHP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Sheet1!$A$4:$A$85</c:f>
              <c:numCache>
                <c:formatCode>General</c:formatCode>
                <c:ptCount val="82"/>
                <c:pt idx="0">
                  <c:v>19</c:v>
                </c:pt>
                <c:pt idx="1">
                  <c:v>20</c:v>
                </c:pt>
                <c:pt idx="2">
                  <c:v>21</c:v>
                </c:pt>
                <c:pt idx="3">
                  <c:v>22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>
                  <c:v>26</c:v>
                </c:pt>
                <c:pt idx="8">
                  <c:v>27</c:v>
                </c:pt>
                <c:pt idx="9">
                  <c:v>28</c:v>
                </c:pt>
                <c:pt idx="10">
                  <c:v>29</c:v>
                </c:pt>
                <c:pt idx="11">
                  <c:v>30</c:v>
                </c:pt>
                <c:pt idx="12">
                  <c:v>31</c:v>
                </c:pt>
                <c:pt idx="13">
                  <c:v>32</c:v>
                </c:pt>
                <c:pt idx="14">
                  <c:v>33</c:v>
                </c:pt>
                <c:pt idx="15">
                  <c:v>34</c:v>
                </c:pt>
                <c:pt idx="16">
                  <c:v>35</c:v>
                </c:pt>
                <c:pt idx="17">
                  <c:v>36</c:v>
                </c:pt>
                <c:pt idx="18">
                  <c:v>37</c:v>
                </c:pt>
                <c:pt idx="19">
                  <c:v>38</c:v>
                </c:pt>
                <c:pt idx="20">
                  <c:v>39</c:v>
                </c:pt>
                <c:pt idx="21">
                  <c:v>40</c:v>
                </c:pt>
                <c:pt idx="22">
                  <c:v>41</c:v>
                </c:pt>
                <c:pt idx="23">
                  <c:v>42</c:v>
                </c:pt>
                <c:pt idx="24">
                  <c:v>43</c:v>
                </c:pt>
                <c:pt idx="25">
                  <c:v>44</c:v>
                </c:pt>
                <c:pt idx="26">
                  <c:v>45</c:v>
                </c:pt>
                <c:pt idx="27">
                  <c:v>46</c:v>
                </c:pt>
                <c:pt idx="28">
                  <c:v>47</c:v>
                </c:pt>
                <c:pt idx="29">
                  <c:v>48</c:v>
                </c:pt>
                <c:pt idx="30">
                  <c:v>49</c:v>
                </c:pt>
                <c:pt idx="31">
                  <c:v>50</c:v>
                </c:pt>
                <c:pt idx="32">
                  <c:v>51</c:v>
                </c:pt>
                <c:pt idx="33">
                  <c:v>52</c:v>
                </c:pt>
                <c:pt idx="34">
                  <c:v>53</c:v>
                </c:pt>
                <c:pt idx="35">
                  <c:v>54</c:v>
                </c:pt>
                <c:pt idx="36">
                  <c:v>55</c:v>
                </c:pt>
                <c:pt idx="37">
                  <c:v>56</c:v>
                </c:pt>
                <c:pt idx="38">
                  <c:v>57</c:v>
                </c:pt>
                <c:pt idx="39">
                  <c:v>58</c:v>
                </c:pt>
                <c:pt idx="40">
                  <c:v>59</c:v>
                </c:pt>
                <c:pt idx="41">
                  <c:v>60</c:v>
                </c:pt>
                <c:pt idx="42">
                  <c:v>61</c:v>
                </c:pt>
                <c:pt idx="43">
                  <c:v>62</c:v>
                </c:pt>
                <c:pt idx="44">
                  <c:v>63</c:v>
                </c:pt>
                <c:pt idx="45">
                  <c:v>64</c:v>
                </c:pt>
                <c:pt idx="46">
                  <c:v>65</c:v>
                </c:pt>
                <c:pt idx="47">
                  <c:v>66</c:v>
                </c:pt>
                <c:pt idx="48">
                  <c:v>67</c:v>
                </c:pt>
                <c:pt idx="49">
                  <c:v>68</c:v>
                </c:pt>
                <c:pt idx="50">
                  <c:v>69</c:v>
                </c:pt>
                <c:pt idx="51">
                  <c:v>70</c:v>
                </c:pt>
                <c:pt idx="52">
                  <c:v>71</c:v>
                </c:pt>
                <c:pt idx="53">
                  <c:v>72</c:v>
                </c:pt>
                <c:pt idx="54">
                  <c:v>73</c:v>
                </c:pt>
                <c:pt idx="55">
                  <c:v>74</c:v>
                </c:pt>
                <c:pt idx="56">
                  <c:v>75</c:v>
                </c:pt>
                <c:pt idx="57">
                  <c:v>76</c:v>
                </c:pt>
                <c:pt idx="58">
                  <c:v>77</c:v>
                </c:pt>
                <c:pt idx="59">
                  <c:v>78</c:v>
                </c:pt>
                <c:pt idx="60">
                  <c:v>79</c:v>
                </c:pt>
                <c:pt idx="61">
                  <c:v>80</c:v>
                </c:pt>
                <c:pt idx="62">
                  <c:v>81</c:v>
                </c:pt>
                <c:pt idx="63">
                  <c:v>82</c:v>
                </c:pt>
                <c:pt idx="64">
                  <c:v>83</c:v>
                </c:pt>
                <c:pt idx="65">
                  <c:v>84</c:v>
                </c:pt>
                <c:pt idx="66">
                  <c:v>85</c:v>
                </c:pt>
                <c:pt idx="67">
                  <c:v>86</c:v>
                </c:pt>
                <c:pt idx="68">
                  <c:v>87</c:v>
                </c:pt>
                <c:pt idx="69">
                  <c:v>88</c:v>
                </c:pt>
                <c:pt idx="70">
                  <c:v>89</c:v>
                </c:pt>
                <c:pt idx="71">
                  <c:v>90</c:v>
                </c:pt>
                <c:pt idx="72">
                  <c:v>91</c:v>
                </c:pt>
                <c:pt idx="73">
                  <c:v>92</c:v>
                </c:pt>
                <c:pt idx="74">
                  <c:v>93</c:v>
                </c:pt>
                <c:pt idx="75">
                  <c:v>94</c:v>
                </c:pt>
                <c:pt idx="76">
                  <c:v>95</c:v>
                </c:pt>
                <c:pt idx="77">
                  <c:v>96</c:v>
                </c:pt>
                <c:pt idx="78">
                  <c:v>97</c:v>
                </c:pt>
                <c:pt idx="79">
                  <c:v>98</c:v>
                </c:pt>
                <c:pt idx="80">
                  <c:v>99</c:v>
                </c:pt>
                <c:pt idx="81">
                  <c:v>100</c:v>
                </c:pt>
              </c:numCache>
            </c:numRef>
          </c:cat>
          <c:val>
            <c:numRef>
              <c:f>Sheet1!$I$4:$I$85</c:f>
              <c:numCache>
                <c:formatCode>0.00</c:formatCode>
                <c:ptCount val="82"/>
                <c:pt idx="0">
                  <c:v>0.50593333333333335</c:v>
                </c:pt>
                <c:pt idx="1">
                  <c:v>0.50593333333333335</c:v>
                </c:pt>
                <c:pt idx="2">
                  <c:v>0.50593333333333335</c:v>
                </c:pt>
                <c:pt idx="3">
                  <c:v>0.50593333333333335</c:v>
                </c:pt>
                <c:pt idx="4">
                  <c:v>0.50593333333333335</c:v>
                </c:pt>
                <c:pt idx="5">
                  <c:v>0.50593333333333335</c:v>
                </c:pt>
                <c:pt idx="6">
                  <c:v>0.50593333333333335</c:v>
                </c:pt>
                <c:pt idx="7">
                  <c:v>0.50593333333333335</c:v>
                </c:pt>
                <c:pt idx="8">
                  <c:v>0.50593333333333335</c:v>
                </c:pt>
                <c:pt idx="9">
                  <c:v>0.50593333333333335</c:v>
                </c:pt>
                <c:pt idx="10">
                  <c:v>0.50593333333333335</c:v>
                </c:pt>
                <c:pt idx="11">
                  <c:v>0.50593333333333335</c:v>
                </c:pt>
                <c:pt idx="12">
                  <c:v>0.50593333333333335</c:v>
                </c:pt>
                <c:pt idx="13">
                  <c:v>0.50593333333333335</c:v>
                </c:pt>
                <c:pt idx="14">
                  <c:v>0.50593333333333335</c:v>
                </c:pt>
                <c:pt idx="15">
                  <c:v>0.50593333333333335</c:v>
                </c:pt>
                <c:pt idx="16">
                  <c:v>0.50593333333333335</c:v>
                </c:pt>
                <c:pt idx="17">
                  <c:v>0.50593333333333335</c:v>
                </c:pt>
                <c:pt idx="18">
                  <c:v>0.50593333333333335</c:v>
                </c:pt>
                <c:pt idx="19">
                  <c:v>0.50593333333333335</c:v>
                </c:pt>
                <c:pt idx="20">
                  <c:v>0.50593333333333335</c:v>
                </c:pt>
                <c:pt idx="21">
                  <c:v>0.50593333333333335</c:v>
                </c:pt>
                <c:pt idx="22">
                  <c:v>0.50593333333333335</c:v>
                </c:pt>
                <c:pt idx="23">
                  <c:v>0.50593333333333335</c:v>
                </c:pt>
                <c:pt idx="24">
                  <c:v>0.50593333333333335</c:v>
                </c:pt>
                <c:pt idx="25">
                  <c:v>0.50593333333333335</c:v>
                </c:pt>
                <c:pt idx="26">
                  <c:v>0.50593333333333335</c:v>
                </c:pt>
                <c:pt idx="27">
                  <c:v>0.50593333333333335</c:v>
                </c:pt>
                <c:pt idx="28">
                  <c:v>0.50593333333333335</c:v>
                </c:pt>
                <c:pt idx="29">
                  <c:v>0.50593333333333335</c:v>
                </c:pt>
                <c:pt idx="30">
                  <c:v>0.50593333333333335</c:v>
                </c:pt>
                <c:pt idx="31">
                  <c:v>0.50593333333333335</c:v>
                </c:pt>
                <c:pt idx="32">
                  <c:v>0.50593333333333335</c:v>
                </c:pt>
                <c:pt idx="33">
                  <c:v>0.50593333333333335</c:v>
                </c:pt>
                <c:pt idx="34">
                  <c:v>0.50593333333333335</c:v>
                </c:pt>
                <c:pt idx="35">
                  <c:v>0.50593333333333335</c:v>
                </c:pt>
                <c:pt idx="36">
                  <c:v>0.50593333333333335</c:v>
                </c:pt>
                <c:pt idx="37">
                  <c:v>0.50593333333333335</c:v>
                </c:pt>
                <c:pt idx="38">
                  <c:v>0.50593333333333335</c:v>
                </c:pt>
                <c:pt idx="39">
                  <c:v>0.50593333333333335</c:v>
                </c:pt>
                <c:pt idx="40">
                  <c:v>0.50593333333333335</c:v>
                </c:pt>
                <c:pt idx="41">
                  <c:v>0.50593333333333335</c:v>
                </c:pt>
                <c:pt idx="42">
                  <c:v>0.50593333333333335</c:v>
                </c:pt>
                <c:pt idx="43">
                  <c:v>0.50593333333333335</c:v>
                </c:pt>
                <c:pt idx="44">
                  <c:v>0.50593333333333335</c:v>
                </c:pt>
                <c:pt idx="45">
                  <c:v>0.50593333333333335</c:v>
                </c:pt>
                <c:pt idx="46">
                  <c:v>0.50593333333333335</c:v>
                </c:pt>
                <c:pt idx="47">
                  <c:v>0.50593333333333335</c:v>
                </c:pt>
                <c:pt idx="48">
                  <c:v>0.50593333333333335</c:v>
                </c:pt>
                <c:pt idx="49">
                  <c:v>0.50593333333333335</c:v>
                </c:pt>
                <c:pt idx="50">
                  <c:v>0.50593333333333335</c:v>
                </c:pt>
                <c:pt idx="51">
                  <c:v>0.50593333333333335</c:v>
                </c:pt>
                <c:pt idx="52">
                  <c:v>0.50593333333333335</c:v>
                </c:pt>
                <c:pt idx="53">
                  <c:v>0.50593333333333335</c:v>
                </c:pt>
                <c:pt idx="54">
                  <c:v>0.50593333333333335</c:v>
                </c:pt>
                <c:pt idx="55">
                  <c:v>0.50593333333333335</c:v>
                </c:pt>
                <c:pt idx="56">
                  <c:v>0.50593333333333335</c:v>
                </c:pt>
                <c:pt idx="57">
                  <c:v>0.50593333333333335</c:v>
                </c:pt>
                <c:pt idx="58">
                  <c:v>0.50593333333333335</c:v>
                </c:pt>
                <c:pt idx="59">
                  <c:v>0.50593333333333335</c:v>
                </c:pt>
                <c:pt idx="60">
                  <c:v>0.50593333333333335</c:v>
                </c:pt>
                <c:pt idx="61">
                  <c:v>0.50593333333333335</c:v>
                </c:pt>
                <c:pt idx="62">
                  <c:v>0.50593333333333335</c:v>
                </c:pt>
                <c:pt idx="63">
                  <c:v>0.50593333333333335</c:v>
                </c:pt>
                <c:pt idx="64">
                  <c:v>0.50593333333333335</c:v>
                </c:pt>
                <c:pt idx="65">
                  <c:v>0.50593333333333335</c:v>
                </c:pt>
                <c:pt idx="66">
                  <c:v>0.50593333333333335</c:v>
                </c:pt>
                <c:pt idx="67">
                  <c:v>0.50593333333333335</c:v>
                </c:pt>
                <c:pt idx="68">
                  <c:v>0.50593333333333335</c:v>
                </c:pt>
                <c:pt idx="69">
                  <c:v>0.50593333333333335</c:v>
                </c:pt>
                <c:pt idx="70">
                  <c:v>0.50593333333333335</c:v>
                </c:pt>
                <c:pt idx="71">
                  <c:v>0.50593333333333335</c:v>
                </c:pt>
                <c:pt idx="72">
                  <c:v>0.50593333333333335</c:v>
                </c:pt>
                <c:pt idx="73">
                  <c:v>0.50593333333333335</c:v>
                </c:pt>
                <c:pt idx="74">
                  <c:v>0.50593333333333335</c:v>
                </c:pt>
                <c:pt idx="75">
                  <c:v>0.50593333333333335</c:v>
                </c:pt>
                <c:pt idx="76">
                  <c:v>0.50593333333333335</c:v>
                </c:pt>
                <c:pt idx="77">
                  <c:v>0.50593333333333335</c:v>
                </c:pt>
                <c:pt idx="78">
                  <c:v>0.50593333333333335</c:v>
                </c:pt>
                <c:pt idx="79">
                  <c:v>0.50593333333333335</c:v>
                </c:pt>
                <c:pt idx="80">
                  <c:v>0.50593333333333335</c:v>
                </c:pt>
                <c:pt idx="81">
                  <c:v>0.50593333333333335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25-4CE0-A992-A65776E6DD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7066047"/>
        <c:axId val="397061055"/>
      </c:lineChart>
      <c:catAx>
        <c:axId val="397066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061055"/>
        <c:crosses val="autoZero"/>
        <c:auto val="1"/>
        <c:lblAlgn val="ctr"/>
        <c:lblOffset val="100"/>
        <c:noMultiLvlLbl val="0"/>
      </c:catAx>
      <c:valAx>
        <c:axId val="397061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066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8</xdr:col>
      <xdr:colOff>304800</xdr:colOff>
      <xdr:row>16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BF7EA61-D2DA-4D2D-8C23-EF6EB18617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514350</xdr:colOff>
      <xdr:row>2</xdr:row>
      <xdr:rowOff>0</xdr:rowOff>
    </xdr:from>
    <xdr:to>
      <xdr:col>16</xdr:col>
      <xdr:colOff>209550</xdr:colOff>
      <xdr:row>16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F6BD5EB-F41D-4958-8211-49FC709A1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19</xdr:row>
      <xdr:rowOff>0</xdr:rowOff>
    </xdr:from>
    <xdr:to>
      <xdr:col>8</xdr:col>
      <xdr:colOff>304800</xdr:colOff>
      <xdr:row>33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4721AE7-A7FC-4FC4-9FEB-82F50EFAC1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542925</xdr:colOff>
      <xdr:row>19</xdr:row>
      <xdr:rowOff>0</xdr:rowOff>
    </xdr:from>
    <xdr:to>
      <xdr:col>16</xdr:col>
      <xdr:colOff>238125</xdr:colOff>
      <xdr:row>33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7BF530C-6E90-4500-A646-A20FB58D3F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5A78F2-913D-4FDB-891F-DE94F396E0D4}" name="FormulaRegister" displayName="FormulaRegister" ref="A3:F5032" totalsRowShown="0" headerRowDxfId="9" dataDxfId="4">
  <autoFilter ref="A3:F5032" xr:uid="{8B5A78F2-913D-4FDB-891F-DE94F396E0D4}"/>
  <tableColumns count="6">
    <tableColumn id="1" xr3:uid="{96CDA6EE-D9B5-4B06-A9B1-577D6241CC23}" name="Sheet" dataDxfId="8"/>
    <tableColumn id="2" xr3:uid="{370B6D95-C23D-4280-A731-EBED300C9EEF}" name="Cell" dataDxfId="7"/>
    <tableColumn id="3" xr3:uid="{632EBA73-7348-48A5-A08D-CB73F1815CC6}" name="Column / Purpose" dataDxfId="6"/>
    <tableColumn id="4" xr3:uid="{5043486D-A8A9-4BF4-ADE6-9325DD297CF6}" name="Formula" dataDxfId="3"/>
    <tableColumn id="5" xr3:uid="{B3D7ADF9-E4F0-4AB6-AB7A-F455EF50176A}" name="Current Result" dataDxfId="5"/>
    <tableColumn id="6" xr3:uid="{C87E7B77-53BD-496F-B4D8-BD40E0617F25}" name="Explanation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FAE66-306F-4D9C-8536-21754AF17A69}">
  <dimension ref="A2:P731"/>
  <sheetViews>
    <sheetView tabSelected="1" zoomScale="50" zoomScaleNormal="85" workbookViewId="0">
      <pane ySplit="2" topLeftCell="A3" activePane="bottomLeft" state="frozen"/>
      <selection pane="bottomLeft" activeCell="J14" sqref="J14"/>
    </sheetView>
  </sheetViews>
  <sheetFormatPr defaultRowHeight="14.5" x14ac:dyDescent="0.35"/>
  <cols>
    <col min="1" max="1" width="13.90625" bestFit="1" customWidth="1"/>
    <col min="2" max="2" width="15.26953125" bestFit="1" customWidth="1"/>
    <col min="3" max="3" width="22.26953125" bestFit="1" customWidth="1"/>
    <col min="4" max="4" width="11.90625" bestFit="1" customWidth="1"/>
    <col min="5" max="5" width="28.90625" bestFit="1" customWidth="1"/>
    <col min="6" max="6" width="15.26953125" bestFit="1" customWidth="1"/>
    <col min="7" max="7" width="8.26953125" bestFit="1" customWidth="1"/>
    <col min="8" max="8" width="28.26953125" bestFit="1" customWidth="1"/>
    <col min="9" max="9" width="27.54296875" bestFit="1" customWidth="1"/>
    <col min="10" max="10" width="23.6328125" bestFit="1" customWidth="1"/>
    <col min="11" max="11" width="18.54296875" bestFit="1" customWidth="1"/>
    <col min="12" max="12" width="31" bestFit="1" customWidth="1"/>
    <col min="13" max="13" width="28.08984375" bestFit="1" customWidth="1"/>
    <col min="14" max="14" width="35.1796875" bestFit="1" customWidth="1"/>
    <col min="15" max="15" width="19" bestFit="1" customWidth="1"/>
    <col min="16" max="16" width="35.453125" bestFit="1" customWidth="1"/>
  </cols>
  <sheetData>
    <row r="2" spans="1:16" s="35" customFormat="1" ht="44" customHeight="1" thickBot="1" x14ac:dyDescent="0.5">
      <c r="A2" s="30" t="s">
        <v>13</v>
      </c>
      <c r="B2" s="30" t="s">
        <v>14</v>
      </c>
      <c r="C2" s="30" t="s">
        <v>10042</v>
      </c>
      <c r="D2" s="30" t="s">
        <v>16</v>
      </c>
      <c r="E2" s="31" t="s">
        <v>17</v>
      </c>
      <c r="F2" s="31" t="s">
        <v>18</v>
      </c>
      <c r="G2" s="31" t="s">
        <v>19</v>
      </c>
      <c r="H2" s="31" t="s">
        <v>20</v>
      </c>
      <c r="I2" s="32" t="s">
        <v>21</v>
      </c>
      <c r="J2" s="32" t="s">
        <v>22</v>
      </c>
      <c r="K2" s="32" t="s">
        <v>23</v>
      </c>
      <c r="L2" s="33" t="s">
        <v>25</v>
      </c>
      <c r="M2" s="33" t="s">
        <v>26</v>
      </c>
      <c r="N2" s="33" t="s">
        <v>27</v>
      </c>
      <c r="O2" s="33" t="s">
        <v>24</v>
      </c>
      <c r="P2" s="34" t="s">
        <v>28</v>
      </c>
    </row>
    <row r="3" spans="1:16" ht="42.5" thickTop="1" x14ac:dyDescent="0.5">
      <c r="A3" s="17">
        <v>21</v>
      </c>
      <c r="B3" s="18">
        <v>46245</v>
      </c>
      <c r="C3" s="17" t="str">
        <f>(QUOTIENT(ROW()-2,7)+1)&amp;"."&amp;MOD(ROW()-2,7)&amp;" - day "&amp;(MOD(ROW()-2,7)+1)</f>
        <v>1.1 - day 2</v>
      </c>
      <c r="D3" s="17">
        <v>1</v>
      </c>
      <c r="E3" s="17">
        <v>13673</v>
      </c>
      <c r="F3" s="17">
        <v>5</v>
      </c>
      <c r="G3" s="17">
        <v>0</v>
      </c>
      <c r="H3" s="17">
        <f>SUM(E3-F3-G3)</f>
        <v>13668</v>
      </c>
      <c r="I3" s="17">
        <v>1620</v>
      </c>
      <c r="J3" s="17">
        <v>12480</v>
      </c>
      <c r="K3" s="17">
        <v>0</v>
      </c>
      <c r="L3" s="17">
        <f>SUM(J3+K3)/H3*100</f>
        <v>91.308165057067598</v>
      </c>
      <c r="M3" s="17">
        <v>93.2</v>
      </c>
      <c r="N3" s="21">
        <f>SUM(L3-M3)</f>
        <v>-1.8918349429324053</v>
      </c>
      <c r="O3" s="17">
        <f>SUM(I3/H3)*1000</f>
        <v>118.52502194907814</v>
      </c>
      <c r="P3" s="20" t="s">
        <v>205</v>
      </c>
    </row>
    <row r="4" spans="1:16" ht="21" x14ac:dyDescent="0.5">
      <c r="A4" s="17">
        <v>21</v>
      </c>
      <c r="B4" s="18">
        <v>46246</v>
      </c>
      <c r="C4" s="17" t="str">
        <f t="shared" ref="C4:C67" si="0">(QUOTIENT(ROW()-2,7)+1)&amp;"."&amp;MOD(ROW()-2,7)&amp;" - day "&amp;(MOD(ROW()-2,7)+1)</f>
        <v>1.2 - day 3</v>
      </c>
      <c r="D4" s="17" t="s">
        <v>204</v>
      </c>
      <c r="E4" s="17">
        <v>13673</v>
      </c>
      <c r="F4" s="17">
        <v>4</v>
      </c>
      <c r="G4" s="17">
        <v>1</v>
      </c>
      <c r="H4" s="17">
        <f t="shared" ref="H4:H67" si="1">SUM(E4-F4-G4)</f>
        <v>13668</v>
      </c>
      <c r="I4" s="17">
        <v>1122</v>
      </c>
      <c r="J4" s="17">
        <v>16523</v>
      </c>
      <c r="K4" s="17">
        <v>0</v>
      </c>
      <c r="L4" s="17">
        <f t="shared" ref="L4:L67" si="2">SUM(J4+K4)/H4*100</f>
        <v>120.88820602868013</v>
      </c>
      <c r="M4" s="17">
        <v>93.2</v>
      </c>
      <c r="N4" s="21">
        <f t="shared" ref="N4:N20" si="3">SUM(L4-M4)</f>
        <v>27.688206028680128</v>
      </c>
      <c r="O4" s="17">
        <f t="shared" ref="O4:O20" si="4">SUM(I4/H4)*1000</f>
        <v>82.089552238805965</v>
      </c>
      <c r="P4" s="20"/>
    </row>
    <row r="5" spans="1:16" ht="21" x14ac:dyDescent="0.5">
      <c r="A5" s="17"/>
      <c r="B5" s="18">
        <v>46247</v>
      </c>
      <c r="C5" s="17" t="str">
        <f t="shared" si="0"/>
        <v>1.3 - day 4</v>
      </c>
      <c r="D5" s="17"/>
      <c r="E5" s="17">
        <f>H4</f>
        <v>13668</v>
      </c>
      <c r="F5" s="17">
        <v>8</v>
      </c>
      <c r="G5" s="17">
        <v>2</v>
      </c>
      <c r="H5" s="17">
        <f t="shared" si="1"/>
        <v>13658</v>
      </c>
      <c r="I5" s="17">
        <v>1620</v>
      </c>
      <c r="J5" s="17">
        <v>13500</v>
      </c>
      <c r="K5" s="17">
        <v>5</v>
      </c>
      <c r="L5" s="17">
        <f t="shared" si="2"/>
        <v>98.879777419827207</v>
      </c>
      <c r="M5" s="17">
        <v>93.2</v>
      </c>
      <c r="N5" s="21">
        <f t="shared" si="3"/>
        <v>5.6797774198272037</v>
      </c>
      <c r="O5" s="17">
        <f t="shared" si="4"/>
        <v>118.61180260653097</v>
      </c>
      <c r="P5" s="20"/>
    </row>
    <row r="6" spans="1:16" ht="21" x14ac:dyDescent="0.5">
      <c r="A6" s="17"/>
      <c r="B6" s="18">
        <v>46248</v>
      </c>
      <c r="C6" s="17" t="str">
        <f t="shared" si="0"/>
        <v>1.4 - day 5</v>
      </c>
      <c r="D6" s="17"/>
      <c r="E6" s="17">
        <f t="shared" ref="E6:E69" si="5">H5</f>
        <v>13658</v>
      </c>
      <c r="F6" s="17"/>
      <c r="G6" s="17"/>
      <c r="H6" s="17">
        <f t="shared" si="1"/>
        <v>13658</v>
      </c>
      <c r="I6" s="17"/>
      <c r="J6" s="17"/>
      <c r="K6" s="17"/>
      <c r="L6" s="17">
        <f t="shared" si="2"/>
        <v>0</v>
      </c>
      <c r="M6" s="17">
        <v>93.2</v>
      </c>
      <c r="N6" s="21">
        <f t="shared" si="3"/>
        <v>-93.2</v>
      </c>
      <c r="O6" s="17">
        <f t="shared" si="4"/>
        <v>0</v>
      </c>
      <c r="P6" s="20"/>
    </row>
    <row r="7" spans="1:16" ht="21" x14ac:dyDescent="0.5">
      <c r="A7" s="17"/>
      <c r="B7" s="18">
        <v>46249</v>
      </c>
      <c r="C7" s="17" t="str">
        <f t="shared" si="0"/>
        <v>1.5 - day 6</v>
      </c>
      <c r="D7" s="17"/>
      <c r="E7" s="17">
        <f t="shared" si="5"/>
        <v>13658</v>
      </c>
      <c r="F7" s="17"/>
      <c r="G7" s="17"/>
      <c r="H7" s="17">
        <f t="shared" si="1"/>
        <v>13658</v>
      </c>
      <c r="I7" s="17"/>
      <c r="J7" s="17"/>
      <c r="K7" s="17"/>
      <c r="L7" s="17">
        <f t="shared" si="2"/>
        <v>0</v>
      </c>
      <c r="M7" s="17">
        <v>93.2</v>
      </c>
      <c r="N7" s="21">
        <f t="shared" si="3"/>
        <v>-93.2</v>
      </c>
      <c r="O7" s="17">
        <f t="shared" si="4"/>
        <v>0</v>
      </c>
      <c r="P7" s="20"/>
    </row>
    <row r="8" spans="1:16" ht="21" x14ac:dyDescent="0.5">
      <c r="A8" s="17"/>
      <c r="B8" s="18">
        <v>46250</v>
      </c>
      <c r="C8" s="17" t="str">
        <f t="shared" si="0"/>
        <v>1.6 - day 7</v>
      </c>
      <c r="D8" s="17"/>
      <c r="E8" s="17">
        <f t="shared" si="5"/>
        <v>13658</v>
      </c>
      <c r="F8" s="17"/>
      <c r="G8" s="17"/>
      <c r="H8" s="17">
        <f t="shared" si="1"/>
        <v>13658</v>
      </c>
      <c r="I8" s="17"/>
      <c r="J8" s="17"/>
      <c r="K8" s="17"/>
      <c r="L8" s="17">
        <f t="shared" si="2"/>
        <v>0</v>
      </c>
      <c r="M8" s="17">
        <v>93.2</v>
      </c>
      <c r="N8" s="21">
        <f t="shared" si="3"/>
        <v>-93.2</v>
      </c>
      <c r="O8" s="17">
        <f t="shared" si="4"/>
        <v>0</v>
      </c>
      <c r="P8" s="20"/>
    </row>
    <row r="9" spans="1:16" ht="21" x14ac:dyDescent="0.5">
      <c r="A9" s="17"/>
      <c r="B9" s="18">
        <v>46251</v>
      </c>
      <c r="C9" s="17" t="str">
        <f t="shared" si="0"/>
        <v>2.0 - day 1</v>
      </c>
      <c r="D9" s="17"/>
      <c r="E9" s="17">
        <f t="shared" si="5"/>
        <v>13658</v>
      </c>
      <c r="F9" s="17"/>
      <c r="G9" s="17"/>
      <c r="H9" s="17">
        <f t="shared" si="1"/>
        <v>13658</v>
      </c>
      <c r="I9" s="17"/>
      <c r="J9" s="17"/>
      <c r="K9" s="17"/>
      <c r="L9" s="17">
        <f t="shared" si="2"/>
        <v>0</v>
      </c>
      <c r="M9" s="17">
        <v>93.2</v>
      </c>
      <c r="N9" s="21">
        <f t="shared" si="3"/>
        <v>-93.2</v>
      </c>
      <c r="O9" s="17">
        <f t="shared" si="4"/>
        <v>0</v>
      </c>
      <c r="P9" s="20"/>
    </row>
    <row r="10" spans="1:16" ht="21" x14ac:dyDescent="0.5">
      <c r="A10" s="17"/>
      <c r="B10" s="18">
        <v>46252</v>
      </c>
      <c r="C10" s="17" t="str">
        <f t="shared" si="0"/>
        <v>2.1 - day 2</v>
      </c>
      <c r="D10" s="17"/>
      <c r="E10" s="17">
        <f t="shared" si="5"/>
        <v>13658</v>
      </c>
      <c r="F10" s="17"/>
      <c r="G10" s="17"/>
      <c r="H10" s="17">
        <f t="shared" si="1"/>
        <v>13658</v>
      </c>
      <c r="I10" s="17"/>
      <c r="J10" s="17"/>
      <c r="K10" s="17"/>
      <c r="L10" s="17">
        <f t="shared" si="2"/>
        <v>0</v>
      </c>
      <c r="M10" s="17">
        <v>93.2</v>
      </c>
      <c r="N10" s="21">
        <f t="shared" si="3"/>
        <v>-93.2</v>
      </c>
      <c r="O10" s="17">
        <f t="shared" si="4"/>
        <v>0</v>
      </c>
      <c r="P10" s="20"/>
    </row>
    <row r="11" spans="1:16" ht="21" x14ac:dyDescent="0.5">
      <c r="A11" s="17"/>
      <c r="B11" s="18">
        <v>46253</v>
      </c>
      <c r="C11" s="17" t="str">
        <f t="shared" si="0"/>
        <v>2.2 - day 3</v>
      </c>
      <c r="D11" s="17"/>
      <c r="E11" s="17">
        <f t="shared" si="5"/>
        <v>13658</v>
      </c>
      <c r="F11" s="17"/>
      <c r="G11" s="17"/>
      <c r="H11" s="17">
        <f t="shared" si="1"/>
        <v>13658</v>
      </c>
      <c r="I11" s="17"/>
      <c r="J11" s="17"/>
      <c r="K11" s="17"/>
      <c r="L11" s="17">
        <f t="shared" si="2"/>
        <v>0</v>
      </c>
      <c r="M11" s="17">
        <v>93.2</v>
      </c>
      <c r="N11" s="21">
        <f t="shared" si="3"/>
        <v>-93.2</v>
      </c>
      <c r="O11" s="17">
        <f t="shared" si="4"/>
        <v>0</v>
      </c>
      <c r="P11" s="20"/>
    </row>
    <row r="12" spans="1:16" ht="21" x14ac:dyDescent="0.5">
      <c r="A12" s="17"/>
      <c r="B12" s="18">
        <v>46254</v>
      </c>
      <c r="C12" s="17" t="str">
        <f t="shared" si="0"/>
        <v>2.3 - day 4</v>
      </c>
      <c r="D12" s="17"/>
      <c r="E12" s="17">
        <f t="shared" si="5"/>
        <v>13658</v>
      </c>
      <c r="F12" s="17"/>
      <c r="G12" s="17"/>
      <c r="H12" s="17">
        <f t="shared" si="1"/>
        <v>13658</v>
      </c>
      <c r="I12" s="17"/>
      <c r="J12" s="17"/>
      <c r="K12" s="17"/>
      <c r="L12" s="17">
        <f t="shared" si="2"/>
        <v>0</v>
      </c>
      <c r="M12" s="17">
        <v>93.2</v>
      </c>
      <c r="N12" s="21">
        <f t="shared" si="3"/>
        <v>-93.2</v>
      </c>
      <c r="O12" s="17">
        <f t="shared" si="4"/>
        <v>0</v>
      </c>
      <c r="P12" s="20"/>
    </row>
    <row r="13" spans="1:16" ht="21" x14ac:dyDescent="0.5">
      <c r="A13" s="17"/>
      <c r="B13" s="18">
        <v>46255</v>
      </c>
      <c r="C13" s="17" t="str">
        <f t="shared" si="0"/>
        <v>2.4 - day 5</v>
      </c>
      <c r="D13" s="17"/>
      <c r="E13" s="17">
        <f t="shared" si="5"/>
        <v>13658</v>
      </c>
      <c r="F13" s="17"/>
      <c r="G13" s="17"/>
      <c r="H13" s="17">
        <f t="shared" si="1"/>
        <v>13658</v>
      </c>
      <c r="I13" s="17"/>
      <c r="J13" s="17"/>
      <c r="K13" s="17"/>
      <c r="L13" s="17">
        <f t="shared" si="2"/>
        <v>0</v>
      </c>
      <c r="M13" s="17">
        <v>93.2</v>
      </c>
      <c r="N13" s="21">
        <f t="shared" si="3"/>
        <v>-93.2</v>
      </c>
      <c r="O13" s="17">
        <f t="shared" si="4"/>
        <v>0</v>
      </c>
      <c r="P13" s="20"/>
    </row>
    <row r="14" spans="1:16" ht="21" x14ac:dyDescent="0.5">
      <c r="A14" s="17"/>
      <c r="B14" s="18">
        <v>46256</v>
      </c>
      <c r="C14" s="17" t="str">
        <f t="shared" si="0"/>
        <v>2.5 - day 6</v>
      </c>
      <c r="D14" s="17"/>
      <c r="E14" s="17">
        <f t="shared" si="5"/>
        <v>13658</v>
      </c>
      <c r="F14" s="17"/>
      <c r="G14" s="17"/>
      <c r="H14" s="17">
        <f t="shared" si="1"/>
        <v>13658</v>
      </c>
      <c r="I14" s="17"/>
      <c r="J14" s="17"/>
      <c r="K14" s="17"/>
      <c r="L14" s="17">
        <f t="shared" si="2"/>
        <v>0</v>
      </c>
      <c r="M14" s="17">
        <v>93.2</v>
      </c>
      <c r="N14" s="21">
        <f t="shared" si="3"/>
        <v>-93.2</v>
      </c>
      <c r="O14" s="17">
        <f t="shared" si="4"/>
        <v>0</v>
      </c>
      <c r="P14" s="20"/>
    </row>
    <row r="15" spans="1:16" ht="21" x14ac:dyDescent="0.5">
      <c r="A15" s="17"/>
      <c r="B15" s="18">
        <v>46257</v>
      </c>
      <c r="C15" s="17" t="str">
        <f t="shared" si="0"/>
        <v>2.6 - day 7</v>
      </c>
      <c r="D15" s="17"/>
      <c r="E15" s="17">
        <f t="shared" si="5"/>
        <v>13658</v>
      </c>
      <c r="F15" s="17"/>
      <c r="G15" s="17"/>
      <c r="H15" s="17">
        <f t="shared" si="1"/>
        <v>13658</v>
      </c>
      <c r="I15" s="17"/>
      <c r="J15" s="17"/>
      <c r="K15" s="17"/>
      <c r="L15" s="17">
        <f t="shared" si="2"/>
        <v>0</v>
      </c>
      <c r="M15" s="17">
        <v>93.2</v>
      </c>
      <c r="N15" s="21">
        <f t="shared" si="3"/>
        <v>-93.2</v>
      </c>
      <c r="O15" s="17">
        <f t="shared" si="4"/>
        <v>0</v>
      </c>
      <c r="P15" s="20"/>
    </row>
    <row r="16" spans="1:16" ht="21" x14ac:dyDescent="0.5">
      <c r="A16" s="17"/>
      <c r="B16" s="18">
        <v>46258</v>
      </c>
      <c r="C16" s="17" t="str">
        <f t="shared" si="0"/>
        <v>3.0 - day 1</v>
      </c>
      <c r="D16" s="17"/>
      <c r="E16" s="17">
        <f t="shared" si="5"/>
        <v>13658</v>
      </c>
      <c r="F16" s="17"/>
      <c r="G16" s="17"/>
      <c r="H16" s="17">
        <f t="shared" si="1"/>
        <v>13658</v>
      </c>
      <c r="I16" s="17"/>
      <c r="J16" s="17"/>
      <c r="K16" s="17"/>
      <c r="L16" s="17">
        <f t="shared" si="2"/>
        <v>0</v>
      </c>
      <c r="M16" s="17">
        <v>93.2</v>
      </c>
      <c r="N16" s="21">
        <f t="shared" si="3"/>
        <v>-93.2</v>
      </c>
      <c r="O16" s="17">
        <f t="shared" si="4"/>
        <v>0</v>
      </c>
      <c r="P16" s="20"/>
    </row>
    <row r="17" spans="1:16" ht="21" x14ac:dyDescent="0.5">
      <c r="A17" s="17"/>
      <c r="B17" s="18">
        <v>46259</v>
      </c>
      <c r="C17" s="17" t="str">
        <f t="shared" si="0"/>
        <v>3.1 - day 2</v>
      </c>
      <c r="D17" s="17"/>
      <c r="E17" s="17">
        <f t="shared" si="5"/>
        <v>13658</v>
      </c>
      <c r="F17" s="17"/>
      <c r="G17" s="17"/>
      <c r="H17" s="17">
        <f t="shared" si="1"/>
        <v>13658</v>
      </c>
      <c r="I17" s="17"/>
      <c r="J17" s="17"/>
      <c r="K17" s="17"/>
      <c r="L17" s="17">
        <f t="shared" si="2"/>
        <v>0</v>
      </c>
      <c r="M17" s="17">
        <v>93.2</v>
      </c>
      <c r="N17" s="21">
        <f t="shared" si="3"/>
        <v>-93.2</v>
      </c>
      <c r="O17" s="17">
        <f t="shared" si="4"/>
        <v>0</v>
      </c>
      <c r="P17" s="20"/>
    </row>
    <row r="18" spans="1:16" ht="21" x14ac:dyDescent="0.5">
      <c r="A18" s="17"/>
      <c r="B18" s="18">
        <v>46260</v>
      </c>
      <c r="C18" s="17" t="str">
        <f t="shared" si="0"/>
        <v>3.2 - day 3</v>
      </c>
      <c r="D18" s="17"/>
      <c r="E18" s="17">
        <f t="shared" si="5"/>
        <v>13658</v>
      </c>
      <c r="F18" s="17"/>
      <c r="G18" s="17"/>
      <c r="H18" s="17">
        <f t="shared" si="1"/>
        <v>13658</v>
      </c>
      <c r="I18" s="17"/>
      <c r="J18" s="17"/>
      <c r="K18" s="17"/>
      <c r="L18" s="17">
        <f t="shared" si="2"/>
        <v>0</v>
      </c>
      <c r="M18" s="17">
        <v>93.2</v>
      </c>
      <c r="N18" s="21">
        <f t="shared" si="3"/>
        <v>-93.2</v>
      </c>
      <c r="O18" s="17">
        <f t="shared" si="4"/>
        <v>0</v>
      </c>
      <c r="P18" s="20"/>
    </row>
    <row r="19" spans="1:16" ht="21" x14ac:dyDescent="0.5">
      <c r="A19" s="17"/>
      <c r="B19" s="18">
        <v>46261</v>
      </c>
      <c r="C19" s="17" t="str">
        <f t="shared" si="0"/>
        <v>3.3 - day 4</v>
      </c>
      <c r="D19" s="17"/>
      <c r="E19" s="17">
        <f t="shared" si="5"/>
        <v>13658</v>
      </c>
      <c r="F19" s="17"/>
      <c r="G19" s="17"/>
      <c r="H19" s="17">
        <f t="shared" si="1"/>
        <v>13658</v>
      </c>
      <c r="I19" s="17"/>
      <c r="J19" s="17"/>
      <c r="K19" s="17"/>
      <c r="L19" s="17">
        <f t="shared" si="2"/>
        <v>0</v>
      </c>
      <c r="M19" s="17">
        <v>93.2</v>
      </c>
      <c r="N19" s="21">
        <f t="shared" si="3"/>
        <v>-93.2</v>
      </c>
      <c r="O19" s="17">
        <f t="shared" si="4"/>
        <v>0</v>
      </c>
      <c r="P19" s="20"/>
    </row>
    <row r="20" spans="1:16" ht="21" x14ac:dyDescent="0.5">
      <c r="A20" s="17"/>
      <c r="B20" s="18">
        <v>46262</v>
      </c>
      <c r="C20" s="17" t="str">
        <f t="shared" si="0"/>
        <v>3.4 - day 5</v>
      </c>
      <c r="D20" s="17"/>
      <c r="E20" s="17">
        <f t="shared" si="5"/>
        <v>13658</v>
      </c>
      <c r="F20" s="17"/>
      <c r="G20" s="17"/>
      <c r="H20" s="17">
        <f t="shared" si="1"/>
        <v>13658</v>
      </c>
      <c r="I20" s="17"/>
      <c r="J20" s="17"/>
      <c r="K20" s="17"/>
      <c r="L20" s="17">
        <f t="shared" si="2"/>
        <v>0</v>
      </c>
      <c r="M20" s="17">
        <v>93.2</v>
      </c>
      <c r="N20" s="21">
        <f t="shared" si="3"/>
        <v>-93.2</v>
      </c>
      <c r="O20" s="17">
        <f t="shared" si="4"/>
        <v>0</v>
      </c>
      <c r="P20" s="20"/>
    </row>
    <row r="21" spans="1:16" ht="21" x14ac:dyDescent="0.5">
      <c r="A21" s="17"/>
      <c r="B21" s="18">
        <v>46263</v>
      </c>
      <c r="C21" s="17" t="str">
        <f t="shared" si="0"/>
        <v>3.5 - day 6</v>
      </c>
      <c r="D21" s="17"/>
      <c r="E21" s="17">
        <f t="shared" si="5"/>
        <v>13658</v>
      </c>
      <c r="F21" s="17"/>
      <c r="G21" s="17"/>
      <c r="H21" s="17">
        <f t="shared" si="1"/>
        <v>13658</v>
      </c>
      <c r="I21" s="17"/>
      <c r="J21" s="17"/>
      <c r="K21" s="17"/>
      <c r="L21" s="17">
        <f t="shared" si="2"/>
        <v>0</v>
      </c>
      <c r="M21" s="17"/>
      <c r="N21" s="21">
        <f t="shared" ref="N21:N84" si="6">SUM(L21-M21)</f>
        <v>0</v>
      </c>
      <c r="O21" s="17">
        <f t="shared" ref="O21:O84" si="7">SUM(I21/H21)*1000</f>
        <v>0</v>
      </c>
      <c r="P21" s="20"/>
    </row>
    <row r="22" spans="1:16" ht="21" x14ac:dyDescent="0.5">
      <c r="A22" s="17"/>
      <c r="B22" s="18">
        <v>46264</v>
      </c>
      <c r="C22" s="17" t="str">
        <f t="shared" si="0"/>
        <v>3.6 - day 7</v>
      </c>
      <c r="D22" s="17"/>
      <c r="E22" s="17">
        <f t="shared" si="5"/>
        <v>13658</v>
      </c>
      <c r="F22" s="17"/>
      <c r="G22" s="17"/>
      <c r="H22" s="17">
        <f t="shared" si="1"/>
        <v>13658</v>
      </c>
      <c r="I22" s="17"/>
      <c r="J22" s="17"/>
      <c r="K22" s="17"/>
      <c r="L22" s="17">
        <f t="shared" si="2"/>
        <v>0</v>
      </c>
      <c r="M22" s="17"/>
      <c r="N22" s="21">
        <f t="shared" si="6"/>
        <v>0</v>
      </c>
      <c r="O22" s="17">
        <f t="shared" si="7"/>
        <v>0</v>
      </c>
      <c r="P22" s="20"/>
    </row>
    <row r="23" spans="1:16" ht="21" x14ac:dyDescent="0.5">
      <c r="A23" s="17"/>
      <c r="B23" s="18">
        <v>46265</v>
      </c>
      <c r="C23" s="17" t="str">
        <f t="shared" si="0"/>
        <v>4.0 - day 1</v>
      </c>
      <c r="D23" s="17"/>
      <c r="E23" s="17">
        <f t="shared" si="5"/>
        <v>13658</v>
      </c>
      <c r="F23" s="17"/>
      <c r="G23" s="17"/>
      <c r="H23" s="17">
        <f t="shared" si="1"/>
        <v>13658</v>
      </c>
      <c r="I23" s="17"/>
      <c r="J23" s="17"/>
      <c r="K23" s="17"/>
      <c r="L23" s="17">
        <f t="shared" si="2"/>
        <v>0</v>
      </c>
      <c r="M23" s="17"/>
      <c r="N23" s="21">
        <f t="shared" si="6"/>
        <v>0</v>
      </c>
      <c r="O23" s="17">
        <f t="shared" si="7"/>
        <v>0</v>
      </c>
      <c r="P23" s="20"/>
    </row>
    <row r="24" spans="1:16" ht="21" x14ac:dyDescent="0.5">
      <c r="A24" s="17"/>
      <c r="B24" s="18">
        <v>46266</v>
      </c>
      <c r="C24" s="17" t="str">
        <f t="shared" si="0"/>
        <v>4.1 - day 2</v>
      </c>
      <c r="D24" s="17"/>
      <c r="E24" s="17">
        <f t="shared" si="5"/>
        <v>13658</v>
      </c>
      <c r="F24" s="17"/>
      <c r="G24" s="17"/>
      <c r="H24" s="17">
        <f t="shared" si="1"/>
        <v>13658</v>
      </c>
      <c r="I24" s="17"/>
      <c r="J24" s="17"/>
      <c r="K24" s="17"/>
      <c r="L24" s="17">
        <f t="shared" si="2"/>
        <v>0</v>
      </c>
      <c r="M24" s="17"/>
      <c r="N24" s="21">
        <f t="shared" si="6"/>
        <v>0</v>
      </c>
      <c r="O24" s="17">
        <f t="shared" si="7"/>
        <v>0</v>
      </c>
      <c r="P24" s="20"/>
    </row>
    <row r="25" spans="1:16" ht="21" x14ac:dyDescent="0.5">
      <c r="A25" s="17"/>
      <c r="B25" s="18">
        <v>46267</v>
      </c>
      <c r="C25" s="17" t="str">
        <f t="shared" si="0"/>
        <v>4.2 - day 3</v>
      </c>
      <c r="D25" s="17"/>
      <c r="E25" s="17">
        <f t="shared" si="5"/>
        <v>13658</v>
      </c>
      <c r="F25" s="17"/>
      <c r="G25" s="17"/>
      <c r="H25" s="17">
        <f t="shared" si="1"/>
        <v>13658</v>
      </c>
      <c r="I25" s="17"/>
      <c r="J25" s="17"/>
      <c r="K25" s="17"/>
      <c r="L25" s="17">
        <f t="shared" si="2"/>
        <v>0</v>
      </c>
      <c r="M25" s="17"/>
      <c r="N25" s="21">
        <f t="shared" si="6"/>
        <v>0</v>
      </c>
      <c r="O25" s="17">
        <f t="shared" si="7"/>
        <v>0</v>
      </c>
      <c r="P25" s="20"/>
    </row>
    <row r="26" spans="1:16" ht="21" x14ac:dyDescent="0.5">
      <c r="A26" s="17"/>
      <c r="B26" s="18">
        <v>46268</v>
      </c>
      <c r="C26" s="17" t="str">
        <f t="shared" si="0"/>
        <v>4.3 - day 4</v>
      </c>
      <c r="D26" s="17"/>
      <c r="E26" s="17">
        <f t="shared" si="5"/>
        <v>13658</v>
      </c>
      <c r="F26" s="17"/>
      <c r="G26" s="17"/>
      <c r="H26" s="17">
        <f t="shared" si="1"/>
        <v>13658</v>
      </c>
      <c r="I26" s="17"/>
      <c r="J26" s="17"/>
      <c r="K26" s="17"/>
      <c r="L26" s="17">
        <f t="shared" si="2"/>
        <v>0</v>
      </c>
      <c r="M26" s="17"/>
      <c r="N26" s="21">
        <f t="shared" si="6"/>
        <v>0</v>
      </c>
      <c r="O26" s="17">
        <f t="shared" si="7"/>
        <v>0</v>
      </c>
      <c r="P26" s="20"/>
    </row>
    <row r="27" spans="1:16" ht="21" x14ac:dyDescent="0.5">
      <c r="A27" s="17"/>
      <c r="B27" s="18">
        <v>46269</v>
      </c>
      <c r="C27" s="17" t="str">
        <f t="shared" si="0"/>
        <v>4.4 - day 5</v>
      </c>
      <c r="D27" s="17"/>
      <c r="E27" s="17">
        <f t="shared" si="5"/>
        <v>13658</v>
      </c>
      <c r="F27" s="17"/>
      <c r="G27" s="17"/>
      <c r="H27" s="17">
        <f t="shared" si="1"/>
        <v>13658</v>
      </c>
      <c r="I27" s="17"/>
      <c r="J27" s="17"/>
      <c r="K27" s="17"/>
      <c r="L27" s="17">
        <f t="shared" si="2"/>
        <v>0</v>
      </c>
      <c r="M27" s="17"/>
      <c r="N27" s="21">
        <f t="shared" si="6"/>
        <v>0</v>
      </c>
      <c r="O27" s="17">
        <f t="shared" si="7"/>
        <v>0</v>
      </c>
      <c r="P27" s="20"/>
    </row>
    <row r="28" spans="1:16" ht="21" x14ac:dyDescent="0.5">
      <c r="A28" s="17"/>
      <c r="B28" s="18">
        <v>46270</v>
      </c>
      <c r="C28" s="17" t="str">
        <f t="shared" si="0"/>
        <v>4.5 - day 6</v>
      </c>
      <c r="D28" s="17"/>
      <c r="E28" s="17">
        <f t="shared" si="5"/>
        <v>13658</v>
      </c>
      <c r="F28" s="17"/>
      <c r="G28" s="17"/>
      <c r="H28" s="17">
        <f t="shared" si="1"/>
        <v>13658</v>
      </c>
      <c r="I28" s="17"/>
      <c r="J28" s="17"/>
      <c r="K28" s="17"/>
      <c r="L28" s="17">
        <f t="shared" si="2"/>
        <v>0</v>
      </c>
      <c r="M28" s="17"/>
      <c r="N28" s="21">
        <f t="shared" si="6"/>
        <v>0</v>
      </c>
      <c r="O28" s="17">
        <f t="shared" si="7"/>
        <v>0</v>
      </c>
      <c r="P28" s="20"/>
    </row>
    <row r="29" spans="1:16" ht="21" x14ac:dyDescent="0.5">
      <c r="A29" s="17"/>
      <c r="B29" s="18">
        <v>46271</v>
      </c>
      <c r="C29" s="17" t="str">
        <f t="shared" si="0"/>
        <v>4.6 - day 7</v>
      </c>
      <c r="D29" s="17"/>
      <c r="E29" s="17">
        <f t="shared" si="5"/>
        <v>13658</v>
      </c>
      <c r="F29" s="17"/>
      <c r="G29" s="17"/>
      <c r="H29" s="17">
        <f t="shared" si="1"/>
        <v>13658</v>
      </c>
      <c r="I29" s="17"/>
      <c r="J29" s="17"/>
      <c r="K29" s="17"/>
      <c r="L29" s="17">
        <f t="shared" si="2"/>
        <v>0</v>
      </c>
      <c r="M29" s="17"/>
      <c r="N29" s="21">
        <f t="shared" si="6"/>
        <v>0</v>
      </c>
      <c r="O29" s="17">
        <f t="shared" si="7"/>
        <v>0</v>
      </c>
      <c r="P29" s="20"/>
    </row>
    <row r="30" spans="1:16" ht="21" x14ac:dyDescent="0.5">
      <c r="A30" s="17"/>
      <c r="B30" s="18">
        <v>46272</v>
      </c>
      <c r="C30" s="17" t="str">
        <f t="shared" si="0"/>
        <v>5.0 - day 1</v>
      </c>
      <c r="D30" s="17"/>
      <c r="E30" s="17">
        <f t="shared" si="5"/>
        <v>13658</v>
      </c>
      <c r="F30" s="17"/>
      <c r="G30" s="17"/>
      <c r="H30" s="17">
        <f t="shared" si="1"/>
        <v>13658</v>
      </c>
      <c r="I30" s="17"/>
      <c r="J30" s="17"/>
      <c r="K30" s="17"/>
      <c r="L30" s="17">
        <f t="shared" si="2"/>
        <v>0</v>
      </c>
      <c r="M30" s="17"/>
      <c r="N30" s="21">
        <f t="shared" si="6"/>
        <v>0</v>
      </c>
      <c r="O30" s="17">
        <f t="shared" si="7"/>
        <v>0</v>
      </c>
      <c r="P30" s="20"/>
    </row>
    <row r="31" spans="1:16" ht="21" x14ac:dyDescent="0.5">
      <c r="A31" s="17"/>
      <c r="B31" s="18">
        <v>46273</v>
      </c>
      <c r="C31" s="17" t="str">
        <f t="shared" si="0"/>
        <v>5.1 - day 2</v>
      </c>
      <c r="D31" s="17"/>
      <c r="E31" s="17">
        <f t="shared" si="5"/>
        <v>13658</v>
      </c>
      <c r="F31" s="17"/>
      <c r="G31" s="17"/>
      <c r="H31" s="17">
        <f t="shared" si="1"/>
        <v>13658</v>
      </c>
      <c r="I31" s="17"/>
      <c r="J31" s="17"/>
      <c r="K31" s="17"/>
      <c r="L31" s="17">
        <f t="shared" si="2"/>
        <v>0</v>
      </c>
      <c r="M31" s="17"/>
      <c r="N31" s="21">
        <f t="shared" si="6"/>
        <v>0</v>
      </c>
      <c r="O31" s="17">
        <f t="shared" si="7"/>
        <v>0</v>
      </c>
      <c r="P31" s="20"/>
    </row>
    <row r="32" spans="1:16" ht="21" x14ac:dyDescent="0.5">
      <c r="A32" s="17"/>
      <c r="B32" s="18">
        <v>46274</v>
      </c>
      <c r="C32" s="17" t="str">
        <f t="shared" si="0"/>
        <v>5.2 - day 3</v>
      </c>
      <c r="D32" s="17"/>
      <c r="E32" s="17">
        <f t="shared" si="5"/>
        <v>13658</v>
      </c>
      <c r="F32" s="17"/>
      <c r="G32" s="17"/>
      <c r="H32" s="17">
        <f t="shared" si="1"/>
        <v>13658</v>
      </c>
      <c r="I32" s="17"/>
      <c r="J32" s="17"/>
      <c r="K32" s="17"/>
      <c r="L32" s="17">
        <f t="shared" si="2"/>
        <v>0</v>
      </c>
      <c r="M32" s="17"/>
      <c r="N32" s="21">
        <f t="shared" si="6"/>
        <v>0</v>
      </c>
      <c r="O32" s="17">
        <f t="shared" si="7"/>
        <v>0</v>
      </c>
      <c r="P32" s="20"/>
    </row>
    <row r="33" spans="1:16" ht="21" x14ac:dyDescent="0.5">
      <c r="A33" s="17"/>
      <c r="B33" s="18">
        <v>46275</v>
      </c>
      <c r="C33" s="17" t="str">
        <f t="shared" si="0"/>
        <v>5.3 - day 4</v>
      </c>
      <c r="D33" s="17"/>
      <c r="E33" s="17">
        <f t="shared" si="5"/>
        <v>13658</v>
      </c>
      <c r="F33" s="17"/>
      <c r="G33" s="17"/>
      <c r="H33" s="17">
        <f t="shared" si="1"/>
        <v>13658</v>
      </c>
      <c r="I33" s="17"/>
      <c r="J33" s="17"/>
      <c r="K33" s="17"/>
      <c r="L33" s="17">
        <f t="shared" si="2"/>
        <v>0</v>
      </c>
      <c r="M33" s="17"/>
      <c r="N33" s="21">
        <f t="shared" si="6"/>
        <v>0</v>
      </c>
      <c r="O33" s="17">
        <f t="shared" si="7"/>
        <v>0</v>
      </c>
      <c r="P33" s="20"/>
    </row>
    <row r="34" spans="1:16" ht="21" x14ac:dyDescent="0.5">
      <c r="A34" s="17"/>
      <c r="B34" s="18">
        <v>46276</v>
      </c>
      <c r="C34" s="17" t="str">
        <f t="shared" si="0"/>
        <v>5.4 - day 5</v>
      </c>
      <c r="D34" s="17"/>
      <c r="E34" s="17">
        <f t="shared" si="5"/>
        <v>13658</v>
      </c>
      <c r="F34" s="17"/>
      <c r="G34" s="17"/>
      <c r="H34" s="17">
        <f t="shared" si="1"/>
        <v>13658</v>
      </c>
      <c r="I34" s="17"/>
      <c r="J34" s="17"/>
      <c r="K34" s="17"/>
      <c r="L34" s="17">
        <f t="shared" si="2"/>
        <v>0</v>
      </c>
      <c r="M34" s="17"/>
      <c r="N34" s="21">
        <f t="shared" si="6"/>
        <v>0</v>
      </c>
      <c r="O34" s="17">
        <f t="shared" si="7"/>
        <v>0</v>
      </c>
      <c r="P34" s="20"/>
    </row>
    <row r="35" spans="1:16" ht="21" x14ac:dyDescent="0.5">
      <c r="A35" s="17"/>
      <c r="B35" s="18">
        <v>46277</v>
      </c>
      <c r="C35" s="17" t="str">
        <f t="shared" si="0"/>
        <v>5.5 - day 6</v>
      </c>
      <c r="D35" s="17"/>
      <c r="E35" s="17">
        <f t="shared" si="5"/>
        <v>13658</v>
      </c>
      <c r="F35" s="17"/>
      <c r="G35" s="17"/>
      <c r="H35" s="17">
        <f t="shared" si="1"/>
        <v>13658</v>
      </c>
      <c r="I35" s="17"/>
      <c r="J35" s="17"/>
      <c r="K35" s="17"/>
      <c r="L35" s="17">
        <f t="shared" si="2"/>
        <v>0</v>
      </c>
      <c r="M35" s="17"/>
      <c r="N35" s="21">
        <f t="shared" si="6"/>
        <v>0</v>
      </c>
      <c r="O35" s="17">
        <f t="shared" si="7"/>
        <v>0</v>
      </c>
      <c r="P35" s="20"/>
    </row>
    <row r="36" spans="1:16" ht="21" x14ac:dyDescent="0.5">
      <c r="A36" s="17"/>
      <c r="B36" s="18">
        <v>46278</v>
      </c>
      <c r="C36" s="17" t="str">
        <f t="shared" si="0"/>
        <v>5.6 - day 7</v>
      </c>
      <c r="D36" s="17"/>
      <c r="E36" s="17">
        <f t="shared" si="5"/>
        <v>13658</v>
      </c>
      <c r="F36" s="17"/>
      <c r="G36" s="17"/>
      <c r="H36" s="17">
        <f t="shared" si="1"/>
        <v>13658</v>
      </c>
      <c r="I36" s="17"/>
      <c r="J36" s="17"/>
      <c r="K36" s="17"/>
      <c r="L36" s="17">
        <f t="shared" si="2"/>
        <v>0</v>
      </c>
      <c r="M36" s="17"/>
      <c r="N36" s="21">
        <f t="shared" si="6"/>
        <v>0</v>
      </c>
      <c r="O36" s="17">
        <f t="shared" si="7"/>
        <v>0</v>
      </c>
      <c r="P36" s="20"/>
    </row>
    <row r="37" spans="1:16" ht="21" x14ac:dyDescent="0.5">
      <c r="A37" s="17"/>
      <c r="B37" s="18">
        <v>46279</v>
      </c>
      <c r="C37" s="17" t="str">
        <f t="shared" si="0"/>
        <v>6.0 - day 1</v>
      </c>
      <c r="D37" s="17"/>
      <c r="E37" s="17">
        <f t="shared" si="5"/>
        <v>13658</v>
      </c>
      <c r="F37" s="17"/>
      <c r="G37" s="17"/>
      <c r="H37" s="17">
        <f t="shared" si="1"/>
        <v>13658</v>
      </c>
      <c r="I37" s="17"/>
      <c r="J37" s="17"/>
      <c r="K37" s="17"/>
      <c r="L37" s="17">
        <f t="shared" si="2"/>
        <v>0</v>
      </c>
      <c r="M37" s="17"/>
      <c r="N37" s="21">
        <f t="shared" si="6"/>
        <v>0</v>
      </c>
      <c r="O37" s="17">
        <f t="shared" si="7"/>
        <v>0</v>
      </c>
      <c r="P37" s="20"/>
    </row>
    <row r="38" spans="1:16" ht="21" x14ac:dyDescent="0.5">
      <c r="A38" s="17"/>
      <c r="B38" s="18">
        <v>46280</v>
      </c>
      <c r="C38" s="17" t="str">
        <f t="shared" si="0"/>
        <v>6.1 - day 2</v>
      </c>
      <c r="D38" s="17"/>
      <c r="E38" s="17">
        <f t="shared" si="5"/>
        <v>13658</v>
      </c>
      <c r="F38" s="17"/>
      <c r="G38" s="17"/>
      <c r="H38" s="17">
        <f t="shared" si="1"/>
        <v>13658</v>
      </c>
      <c r="I38" s="17"/>
      <c r="J38" s="17"/>
      <c r="K38" s="17"/>
      <c r="L38" s="17">
        <f t="shared" si="2"/>
        <v>0</v>
      </c>
      <c r="M38" s="17"/>
      <c r="N38" s="21">
        <f t="shared" si="6"/>
        <v>0</v>
      </c>
      <c r="O38" s="17">
        <f t="shared" si="7"/>
        <v>0</v>
      </c>
      <c r="P38" s="20"/>
    </row>
    <row r="39" spans="1:16" ht="21" x14ac:dyDescent="0.5">
      <c r="A39" s="17"/>
      <c r="B39" s="18">
        <v>46281</v>
      </c>
      <c r="C39" s="17" t="str">
        <f t="shared" si="0"/>
        <v>6.2 - day 3</v>
      </c>
      <c r="D39" s="17"/>
      <c r="E39" s="17">
        <f t="shared" si="5"/>
        <v>13658</v>
      </c>
      <c r="F39" s="17"/>
      <c r="G39" s="17"/>
      <c r="H39" s="17">
        <f t="shared" si="1"/>
        <v>13658</v>
      </c>
      <c r="I39" s="17"/>
      <c r="J39" s="17"/>
      <c r="K39" s="17"/>
      <c r="L39" s="17">
        <f t="shared" si="2"/>
        <v>0</v>
      </c>
      <c r="M39" s="17"/>
      <c r="N39" s="21">
        <f t="shared" si="6"/>
        <v>0</v>
      </c>
      <c r="O39" s="17">
        <f t="shared" si="7"/>
        <v>0</v>
      </c>
      <c r="P39" s="20"/>
    </row>
    <row r="40" spans="1:16" ht="21" x14ac:dyDescent="0.5">
      <c r="A40" s="17"/>
      <c r="B40" s="18">
        <v>46282</v>
      </c>
      <c r="C40" s="17" t="str">
        <f t="shared" si="0"/>
        <v>6.3 - day 4</v>
      </c>
      <c r="D40" s="17"/>
      <c r="E40" s="17">
        <f t="shared" si="5"/>
        <v>13658</v>
      </c>
      <c r="F40" s="17"/>
      <c r="G40" s="17"/>
      <c r="H40" s="17">
        <f t="shared" si="1"/>
        <v>13658</v>
      </c>
      <c r="I40" s="17"/>
      <c r="J40" s="17"/>
      <c r="K40" s="17"/>
      <c r="L40" s="17">
        <f t="shared" si="2"/>
        <v>0</v>
      </c>
      <c r="M40" s="17"/>
      <c r="N40" s="21">
        <f t="shared" si="6"/>
        <v>0</v>
      </c>
      <c r="O40" s="17">
        <f t="shared" si="7"/>
        <v>0</v>
      </c>
      <c r="P40" s="20"/>
    </row>
    <row r="41" spans="1:16" ht="21" x14ac:dyDescent="0.5">
      <c r="A41" s="17"/>
      <c r="B41" s="18">
        <v>46283</v>
      </c>
      <c r="C41" s="17" t="str">
        <f t="shared" si="0"/>
        <v>6.4 - day 5</v>
      </c>
      <c r="D41" s="17"/>
      <c r="E41" s="17">
        <f t="shared" si="5"/>
        <v>13658</v>
      </c>
      <c r="F41" s="17"/>
      <c r="G41" s="17"/>
      <c r="H41" s="17">
        <f t="shared" si="1"/>
        <v>13658</v>
      </c>
      <c r="I41" s="17"/>
      <c r="J41" s="17"/>
      <c r="K41" s="17"/>
      <c r="L41" s="17">
        <f t="shared" si="2"/>
        <v>0</v>
      </c>
      <c r="M41" s="17"/>
      <c r="N41" s="21">
        <f t="shared" si="6"/>
        <v>0</v>
      </c>
      <c r="O41" s="17">
        <f t="shared" si="7"/>
        <v>0</v>
      </c>
      <c r="P41" s="20"/>
    </row>
    <row r="42" spans="1:16" ht="21" x14ac:dyDescent="0.5">
      <c r="A42" s="17"/>
      <c r="B42" s="18">
        <v>46284</v>
      </c>
      <c r="C42" s="17" t="str">
        <f t="shared" si="0"/>
        <v>6.5 - day 6</v>
      </c>
      <c r="D42" s="17"/>
      <c r="E42" s="17">
        <f t="shared" si="5"/>
        <v>13658</v>
      </c>
      <c r="F42" s="17"/>
      <c r="G42" s="17"/>
      <c r="H42" s="17">
        <f t="shared" si="1"/>
        <v>13658</v>
      </c>
      <c r="I42" s="17"/>
      <c r="J42" s="17"/>
      <c r="K42" s="17"/>
      <c r="L42" s="17">
        <f t="shared" si="2"/>
        <v>0</v>
      </c>
      <c r="M42" s="17"/>
      <c r="N42" s="21">
        <f t="shared" si="6"/>
        <v>0</v>
      </c>
      <c r="O42" s="17">
        <f t="shared" si="7"/>
        <v>0</v>
      </c>
      <c r="P42" s="20"/>
    </row>
    <row r="43" spans="1:16" ht="21" x14ac:dyDescent="0.5">
      <c r="A43" s="17"/>
      <c r="B43" s="18">
        <v>46285</v>
      </c>
      <c r="C43" s="17" t="str">
        <f t="shared" si="0"/>
        <v>6.6 - day 7</v>
      </c>
      <c r="D43" s="17"/>
      <c r="E43" s="17">
        <f t="shared" si="5"/>
        <v>13658</v>
      </c>
      <c r="F43" s="17"/>
      <c r="G43" s="17"/>
      <c r="H43" s="17">
        <f t="shared" si="1"/>
        <v>13658</v>
      </c>
      <c r="I43" s="17"/>
      <c r="J43" s="17"/>
      <c r="K43" s="17"/>
      <c r="L43" s="17">
        <f t="shared" si="2"/>
        <v>0</v>
      </c>
      <c r="M43" s="17"/>
      <c r="N43" s="21">
        <f t="shared" si="6"/>
        <v>0</v>
      </c>
      <c r="O43" s="17">
        <f t="shared" si="7"/>
        <v>0</v>
      </c>
      <c r="P43" s="20"/>
    </row>
    <row r="44" spans="1:16" ht="21" x14ac:dyDescent="0.5">
      <c r="A44" s="17"/>
      <c r="B44" s="18">
        <v>46286</v>
      </c>
      <c r="C44" s="17" t="str">
        <f t="shared" si="0"/>
        <v>7.0 - day 1</v>
      </c>
      <c r="D44" s="17"/>
      <c r="E44" s="17">
        <f t="shared" si="5"/>
        <v>13658</v>
      </c>
      <c r="F44" s="17"/>
      <c r="G44" s="17"/>
      <c r="H44" s="17">
        <f t="shared" si="1"/>
        <v>13658</v>
      </c>
      <c r="I44" s="17"/>
      <c r="J44" s="17"/>
      <c r="K44" s="17"/>
      <c r="L44" s="17">
        <f t="shared" si="2"/>
        <v>0</v>
      </c>
      <c r="M44" s="17"/>
      <c r="N44" s="21">
        <f t="shared" si="6"/>
        <v>0</v>
      </c>
      <c r="O44" s="17">
        <f t="shared" si="7"/>
        <v>0</v>
      </c>
      <c r="P44" s="20"/>
    </row>
    <row r="45" spans="1:16" ht="21" x14ac:dyDescent="0.5">
      <c r="A45" s="17"/>
      <c r="B45" s="18">
        <v>46287</v>
      </c>
      <c r="C45" s="17" t="str">
        <f t="shared" si="0"/>
        <v>7.1 - day 2</v>
      </c>
      <c r="D45" s="17"/>
      <c r="E45" s="17">
        <f t="shared" si="5"/>
        <v>13658</v>
      </c>
      <c r="F45" s="17"/>
      <c r="G45" s="17"/>
      <c r="H45" s="17">
        <f t="shared" si="1"/>
        <v>13658</v>
      </c>
      <c r="I45" s="17"/>
      <c r="J45" s="17"/>
      <c r="K45" s="17"/>
      <c r="L45" s="17">
        <f t="shared" si="2"/>
        <v>0</v>
      </c>
      <c r="M45" s="17"/>
      <c r="N45" s="21">
        <f t="shared" si="6"/>
        <v>0</v>
      </c>
      <c r="O45" s="17">
        <f t="shared" si="7"/>
        <v>0</v>
      </c>
      <c r="P45" s="20"/>
    </row>
    <row r="46" spans="1:16" ht="21" x14ac:dyDescent="0.5">
      <c r="A46" s="17"/>
      <c r="B46" s="18">
        <v>46288</v>
      </c>
      <c r="C46" s="17" t="str">
        <f t="shared" si="0"/>
        <v>7.2 - day 3</v>
      </c>
      <c r="D46" s="17"/>
      <c r="E46" s="17">
        <f t="shared" si="5"/>
        <v>13658</v>
      </c>
      <c r="F46" s="17"/>
      <c r="G46" s="17"/>
      <c r="H46" s="17">
        <f t="shared" si="1"/>
        <v>13658</v>
      </c>
      <c r="I46" s="17"/>
      <c r="J46" s="17"/>
      <c r="K46" s="17"/>
      <c r="L46" s="17">
        <f t="shared" si="2"/>
        <v>0</v>
      </c>
      <c r="M46" s="17"/>
      <c r="N46" s="21">
        <f t="shared" si="6"/>
        <v>0</v>
      </c>
      <c r="O46" s="17">
        <f t="shared" si="7"/>
        <v>0</v>
      </c>
      <c r="P46" s="20"/>
    </row>
    <row r="47" spans="1:16" ht="21" x14ac:dyDescent="0.5">
      <c r="A47" s="17"/>
      <c r="B47" s="18">
        <v>46289</v>
      </c>
      <c r="C47" s="17" t="str">
        <f t="shared" si="0"/>
        <v>7.3 - day 4</v>
      </c>
      <c r="D47" s="17"/>
      <c r="E47" s="17">
        <f t="shared" si="5"/>
        <v>13658</v>
      </c>
      <c r="F47" s="17"/>
      <c r="G47" s="17"/>
      <c r="H47" s="17">
        <f t="shared" si="1"/>
        <v>13658</v>
      </c>
      <c r="I47" s="17"/>
      <c r="J47" s="17"/>
      <c r="K47" s="17"/>
      <c r="L47" s="17">
        <f t="shared" si="2"/>
        <v>0</v>
      </c>
      <c r="M47" s="17"/>
      <c r="N47" s="21">
        <f t="shared" si="6"/>
        <v>0</v>
      </c>
      <c r="O47" s="17">
        <f t="shared" si="7"/>
        <v>0</v>
      </c>
      <c r="P47" s="20"/>
    </row>
    <row r="48" spans="1:16" ht="21" x14ac:dyDescent="0.5">
      <c r="A48" s="17"/>
      <c r="B48" s="18">
        <v>46290</v>
      </c>
      <c r="C48" s="17" t="str">
        <f t="shared" si="0"/>
        <v>7.4 - day 5</v>
      </c>
      <c r="D48" s="17"/>
      <c r="E48" s="17">
        <f t="shared" si="5"/>
        <v>13658</v>
      </c>
      <c r="F48" s="17"/>
      <c r="G48" s="17"/>
      <c r="H48" s="17">
        <f t="shared" si="1"/>
        <v>13658</v>
      </c>
      <c r="I48" s="17"/>
      <c r="J48" s="17"/>
      <c r="K48" s="17"/>
      <c r="L48" s="17">
        <f t="shared" si="2"/>
        <v>0</v>
      </c>
      <c r="M48" s="17"/>
      <c r="N48" s="21">
        <f t="shared" si="6"/>
        <v>0</v>
      </c>
      <c r="O48" s="17">
        <f t="shared" si="7"/>
        <v>0</v>
      </c>
      <c r="P48" s="20"/>
    </row>
    <row r="49" spans="1:16" ht="21" x14ac:dyDescent="0.5">
      <c r="A49" s="17"/>
      <c r="B49" s="18">
        <v>46291</v>
      </c>
      <c r="C49" s="17" t="str">
        <f t="shared" si="0"/>
        <v>7.5 - day 6</v>
      </c>
      <c r="D49" s="17"/>
      <c r="E49" s="17">
        <f t="shared" si="5"/>
        <v>13658</v>
      </c>
      <c r="F49" s="17"/>
      <c r="G49" s="17"/>
      <c r="H49" s="17">
        <f t="shared" si="1"/>
        <v>13658</v>
      </c>
      <c r="I49" s="17"/>
      <c r="J49" s="17"/>
      <c r="K49" s="17"/>
      <c r="L49" s="17">
        <f t="shared" si="2"/>
        <v>0</v>
      </c>
      <c r="M49" s="17"/>
      <c r="N49" s="21">
        <f t="shared" si="6"/>
        <v>0</v>
      </c>
      <c r="O49" s="17">
        <f t="shared" si="7"/>
        <v>0</v>
      </c>
      <c r="P49" s="20"/>
    </row>
    <row r="50" spans="1:16" ht="21" x14ac:dyDescent="0.5">
      <c r="A50" s="17"/>
      <c r="B50" s="18">
        <v>46292</v>
      </c>
      <c r="C50" s="17" t="str">
        <f t="shared" si="0"/>
        <v>7.6 - day 7</v>
      </c>
      <c r="D50" s="17"/>
      <c r="E50" s="17">
        <f t="shared" si="5"/>
        <v>13658</v>
      </c>
      <c r="F50" s="17"/>
      <c r="G50" s="17"/>
      <c r="H50" s="17">
        <f t="shared" si="1"/>
        <v>13658</v>
      </c>
      <c r="I50" s="17"/>
      <c r="J50" s="17"/>
      <c r="K50" s="17"/>
      <c r="L50" s="17">
        <f t="shared" si="2"/>
        <v>0</v>
      </c>
      <c r="M50" s="17"/>
      <c r="N50" s="21">
        <f t="shared" si="6"/>
        <v>0</v>
      </c>
      <c r="O50" s="17">
        <f t="shared" si="7"/>
        <v>0</v>
      </c>
      <c r="P50" s="20"/>
    </row>
    <row r="51" spans="1:16" ht="21" x14ac:dyDescent="0.5">
      <c r="A51" s="17"/>
      <c r="B51" s="18">
        <v>46293</v>
      </c>
      <c r="C51" s="17" t="str">
        <f t="shared" si="0"/>
        <v>8.0 - day 1</v>
      </c>
      <c r="D51" s="17"/>
      <c r="E51" s="17">
        <f t="shared" si="5"/>
        <v>13658</v>
      </c>
      <c r="F51" s="17"/>
      <c r="G51" s="17"/>
      <c r="H51" s="17">
        <f t="shared" si="1"/>
        <v>13658</v>
      </c>
      <c r="I51" s="17"/>
      <c r="J51" s="17"/>
      <c r="K51" s="17"/>
      <c r="L51" s="17">
        <f t="shared" si="2"/>
        <v>0</v>
      </c>
      <c r="M51" s="17"/>
      <c r="N51" s="21">
        <f t="shared" si="6"/>
        <v>0</v>
      </c>
      <c r="O51" s="17">
        <f t="shared" si="7"/>
        <v>0</v>
      </c>
      <c r="P51" s="20"/>
    </row>
    <row r="52" spans="1:16" ht="21" x14ac:dyDescent="0.5">
      <c r="A52" s="17"/>
      <c r="B52" s="18">
        <v>46294</v>
      </c>
      <c r="C52" s="17" t="str">
        <f t="shared" si="0"/>
        <v>8.1 - day 2</v>
      </c>
      <c r="D52" s="17"/>
      <c r="E52" s="17">
        <f t="shared" si="5"/>
        <v>13658</v>
      </c>
      <c r="F52" s="17"/>
      <c r="G52" s="17"/>
      <c r="H52" s="17">
        <f t="shared" si="1"/>
        <v>13658</v>
      </c>
      <c r="I52" s="17"/>
      <c r="J52" s="17"/>
      <c r="K52" s="17"/>
      <c r="L52" s="17">
        <f t="shared" si="2"/>
        <v>0</v>
      </c>
      <c r="M52" s="17"/>
      <c r="N52" s="21">
        <f t="shared" si="6"/>
        <v>0</v>
      </c>
      <c r="O52" s="17">
        <f t="shared" si="7"/>
        <v>0</v>
      </c>
      <c r="P52" s="20"/>
    </row>
    <row r="53" spans="1:16" ht="21" x14ac:dyDescent="0.5">
      <c r="A53" s="17"/>
      <c r="B53" s="18">
        <v>46295</v>
      </c>
      <c r="C53" s="17" t="str">
        <f t="shared" si="0"/>
        <v>8.2 - day 3</v>
      </c>
      <c r="D53" s="17"/>
      <c r="E53" s="17">
        <f t="shared" si="5"/>
        <v>13658</v>
      </c>
      <c r="F53" s="17"/>
      <c r="G53" s="17"/>
      <c r="H53" s="17">
        <f t="shared" si="1"/>
        <v>13658</v>
      </c>
      <c r="I53" s="17"/>
      <c r="J53" s="17"/>
      <c r="K53" s="17"/>
      <c r="L53" s="17">
        <f t="shared" si="2"/>
        <v>0</v>
      </c>
      <c r="M53" s="17"/>
      <c r="N53" s="21">
        <f t="shared" si="6"/>
        <v>0</v>
      </c>
      <c r="O53" s="17">
        <f t="shared" si="7"/>
        <v>0</v>
      </c>
      <c r="P53" s="20"/>
    </row>
    <row r="54" spans="1:16" ht="21" x14ac:dyDescent="0.5">
      <c r="A54" s="17"/>
      <c r="B54" s="18">
        <v>46296</v>
      </c>
      <c r="C54" s="17" t="str">
        <f t="shared" si="0"/>
        <v>8.3 - day 4</v>
      </c>
      <c r="D54" s="17"/>
      <c r="E54" s="17">
        <f t="shared" si="5"/>
        <v>13658</v>
      </c>
      <c r="F54" s="17"/>
      <c r="G54" s="17"/>
      <c r="H54" s="17">
        <f t="shared" si="1"/>
        <v>13658</v>
      </c>
      <c r="I54" s="17"/>
      <c r="J54" s="17"/>
      <c r="K54" s="17"/>
      <c r="L54" s="17">
        <f t="shared" si="2"/>
        <v>0</v>
      </c>
      <c r="M54" s="17"/>
      <c r="N54" s="21">
        <f t="shared" si="6"/>
        <v>0</v>
      </c>
      <c r="O54" s="17">
        <f t="shared" si="7"/>
        <v>0</v>
      </c>
      <c r="P54" s="20"/>
    </row>
    <row r="55" spans="1:16" ht="21" x14ac:dyDescent="0.5">
      <c r="A55" s="17"/>
      <c r="B55" s="18">
        <v>46297</v>
      </c>
      <c r="C55" s="17" t="str">
        <f t="shared" si="0"/>
        <v>8.4 - day 5</v>
      </c>
      <c r="D55" s="17"/>
      <c r="E55" s="17">
        <f t="shared" si="5"/>
        <v>13658</v>
      </c>
      <c r="F55" s="17"/>
      <c r="G55" s="17"/>
      <c r="H55" s="17">
        <f t="shared" si="1"/>
        <v>13658</v>
      </c>
      <c r="I55" s="17"/>
      <c r="J55" s="17"/>
      <c r="K55" s="17"/>
      <c r="L55" s="17">
        <f t="shared" si="2"/>
        <v>0</v>
      </c>
      <c r="M55" s="17"/>
      <c r="N55" s="21">
        <f t="shared" si="6"/>
        <v>0</v>
      </c>
      <c r="O55" s="17">
        <f t="shared" si="7"/>
        <v>0</v>
      </c>
      <c r="P55" s="20"/>
    </row>
    <row r="56" spans="1:16" ht="21" x14ac:dyDescent="0.5">
      <c r="A56" s="17"/>
      <c r="B56" s="18">
        <v>46298</v>
      </c>
      <c r="C56" s="17" t="str">
        <f t="shared" si="0"/>
        <v>8.5 - day 6</v>
      </c>
      <c r="D56" s="17"/>
      <c r="E56" s="17">
        <f t="shared" si="5"/>
        <v>13658</v>
      </c>
      <c r="F56" s="17"/>
      <c r="G56" s="17"/>
      <c r="H56" s="17">
        <f t="shared" si="1"/>
        <v>13658</v>
      </c>
      <c r="I56" s="17"/>
      <c r="J56" s="17"/>
      <c r="K56" s="17"/>
      <c r="L56" s="17">
        <f t="shared" si="2"/>
        <v>0</v>
      </c>
      <c r="M56" s="17"/>
      <c r="N56" s="21">
        <f t="shared" si="6"/>
        <v>0</v>
      </c>
      <c r="O56" s="17">
        <f t="shared" si="7"/>
        <v>0</v>
      </c>
      <c r="P56" s="20"/>
    </row>
    <row r="57" spans="1:16" ht="21" x14ac:dyDescent="0.5">
      <c r="A57" s="17"/>
      <c r="B57" s="18">
        <v>46299</v>
      </c>
      <c r="C57" s="17" t="str">
        <f t="shared" si="0"/>
        <v>8.6 - day 7</v>
      </c>
      <c r="D57" s="17"/>
      <c r="E57" s="17">
        <f t="shared" si="5"/>
        <v>13658</v>
      </c>
      <c r="F57" s="17"/>
      <c r="G57" s="17"/>
      <c r="H57" s="17">
        <f t="shared" si="1"/>
        <v>13658</v>
      </c>
      <c r="I57" s="17"/>
      <c r="J57" s="17"/>
      <c r="K57" s="17"/>
      <c r="L57" s="17">
        <f t="shared" si="2"/>
        <v>0</v>
      </c>
      <c r="M57" s="17"/>
      <c r="N57" s="21">
        <f t="shared" si="6"/>
        <v>0</v>
      </c>
      <c r="O57" s="17">
        <f t="shared" si="7"/>
        <v>0</v>
      </c>
      <c r="P57" s="20"/>
    </row>
    <row r="58" spans="1:16" ht="21" x14ac:dyDescent="0.5">
      <c r="A58" s="17"/>
      <c r="B58" s="18">
        <v>46300</v>
      </c>
      <c r="C58" s="17" t="str">
        <f t="shared" si="0"/>
        <v>9.0 - day 1</v>
      </c>
      <c r="D58" s="17"/>
      <c r="E58" s="17">
        <f t="shared" si="5"/>
        <v>13658</v>
      </c>
      <c r="F58" s="17"/>
      <c r="G58" s="17"/>
      <c r="H58" s="17">
        <f t="shared" si="1"/>
        <v>13658</v>
      </c>
      <c r="I58" s="17"/>
      <c r="J58" s="17"/>
      <c r="K58" s="17"/>
      <c r="L58" s="17">
        <f t="shared" si="2"/>
        <v>0</v>
      </c>
      <c r="M58" s="17"/>
      <c r="N58" s="21">
        <f t="shared" si="6"/>
        <v>0</v>
      </c>
      <c r="O58" s="17">
        <f t="shared" si="7"/>
        <v>0</v>
      </c>
      <c r="P58" s="20"/>
    </row>
    <row r="59" spans="1:16" ht="21" x14ac:dyDescent="0.5">
      <c r="A59" s="17"/>
      <c r="B59" s="18">
        <v>46301</v>
      </c>
      <c r="C59" s="17" t="str">
        <f t="shared" si="0"/>
        <v>9.1 - day 2</v>
      </c>
      <c r="D59" s="17"/>
      <c r="E59" s="17">
        <f t="shared" si="5"/>
        <v>13658</v>
      </c>
      <c r="F59" s="17"/>
      <c r="G59" s="17"/>
      <c r="H59" s="17">
        <f t="shared" si="1"/>
        <v>13658</v>
      </c>
      <c r="I59" s="17"/>
      <c r="J59" s="17"/>
      <c r="K59" s="17"/>
      <c r="L59" s="17">
        <f t="shared" si="2"/>
        <v>0</v>
      </c>
      <c r="M59" s="17"/>
      <c r="N59" s="21">
        <f t="shared" si="6"/>
        <v>0</v>
      </c>
      <c r="O59" s="17">
        <f t="shared" si="7"/>
        <v>0</v>
      </c>
      <c r="P59" s="20"/>
    </row>
    <row r="60" spans="1:16" ht="21" x14ac:dyDescent="0.5">
      <c r="A60" s="17"/>
      <c r="B60" s="18">
        <v>46302</v>
      </c>
      <c r="C60" s="17" t="str">
        <f t="shared" si="0"/>
        <v>9.2 - day 3</v>
      </c>
      <c r="D60" s="17"/>
      <c r="E60" s="17">
        <f t="shared" si="5"/>
        <v>13658</v>
      </c>
      <c r="F60" s="17"/>
      <c r="G60" s="17"/>
      <c r="H60" s="17">
        <f t="shared" si="1"/>
        <v>13658</v>
      </c>
      <c r="I60" s="17"/>
      <c r="J60" s="17"/>
      <c r="K60" s="17"/>
      <c r="L60" s="17">
        <f t="shared" si="2"/>
        <v>0</v>
      </c>
      <c r="M60" s="17"/>
      <c r="N60" s="21">
        <f t="shared" si="6"/>
        <v>0</v>
      </c>
      <c r="O60" s="17">
        <f t="shared" si="7"/>
        <v>0</v>
      </c>
      <c r="P60" s="20"/>
    </row>
    <row r="61" spans="1:16" ht="21" x14ac:dyDescent="0.5">
      <c r="A61" s="17"/>
      <c r="B61" s="18">
        <v>46303</v>
      </c>
      <c r="C61" s="17" t="str">
        <f t="shared" si="0"/>
        <v>9.3 - day 4</v>
      </c>
      <c r="D61" s="17"/>
      <c r="E61" s="17">
        <f t="shared" si="5"/>
        <v>13658</v>
      </c>
      <c r="F61" s="17"/>
      <c r="G61" s="17"/>
      <c r="H61" s="17">
        <f t="shared" si="1"/>
        <v>13658</v>
      </c>
      <c r="I61" s="17"/>
      <c r="J61" s="17"/>
      <c r="K61" s="17"/>
      <c r="L61" s="17">
        <f t="shared" si="2"/>
        <v>0</v>
      </c>
      <c r="M61" s="17"/>
      <c r="N61" s="21">
        <f t="shared" si="6"/>
        <v>0</v>
      </c>
      <c r="O61" s="17">
        <f t="shared" si="7"/>
        <v>0</v>
      </c>
      <c r="P61" s="20"/>
    </row>
    <row r="62" spans="1:16" ht="21" x14ac:dyDescent="0.5">
      <c r="A62" s="17"/>
      <c r="B62" s="18">
        <v>46304</v>
      </c>
      <c r="C62" s="17" t="str">
        <f t="shared" si="0"/>
        <v>9.4 - day 5</v>
      </c>
      <c r="D62" s="17"/>
      <c r="E62" s="17">
        <f t="shared" si="5"/>
        <v>13658</v>
      </c>
      <c r="F62" s="17"/>
      <c r="G62" s="17"/>
      <c r="H62" s="17">
        <f t="shared" si="1"/>
        <v>13658</v>
      </c>
      <c r="I62" s="17"/>
      <c r="J62" s="17"/>
      <c r="K62" s="17"/>
      <c r="L62" s="17">
        <f t="shared" si="2"/>
        <v>0</v>
      </c>
      <c r="M62" s="17"/>
      <c r="N62" s="21">
        <f t="shared" si="6"/>
        <v>0</v>
      </c>
      <c r="O62" s="17">
        <f t="shared" si="7"/>
        <v>0</v>
      </c>
      <c r="P62" s="20"/>
    </row>
    <row r="63" spans="1:16" ht="21" x14ac:dyDescent="0.5">
      <c r="A63" s="17"/>
      <c r="B63" s="18">
        <v>46305</v>
      </c>
      <c r="C63" s="17" t="str">
        <f t="shared" si="0"/>
        <v>9.5 - day 6</v>
      </c>
      <c r="D63" s="17"/>
      <c r="E63" s="17">
        <f t="shared" si="5"/>
        <v>13658</v>
      </c>
      <c r="F63" s="17"/>
      <c r="G63" s="17"/>
      <c r="H63" s="17">
        <f t="shared" si="1"/>
        <v>13658</v>
      </c>
      <c r="I63" s="17"/>
      <c r="J63" s="17"/>
      <c r="K63" s="17"/>
      <c r="L63" s="17">
        <f t="shared" si="2"/>
        <v>0</v>
      </c>
      <c r="M63" s="17"/>
      <c r="N63" s="21">
        <f t="shared" si="6"/>
        <v>0</v>
      </c>
      <c r="O63" s="17">
        <f t="shared" si="7"/>
        <v>0</v>
      </c>
      <c r="P63" s="20"/>
    </row>
    <row r="64" spans="1:16" ht="21" x14ac:dyDescent="0.5">
      <c r="A64" s="17"/>
      <c r="B64" s="18">
        <v>46306</v>
      </c>
      <c r="C64" s="17" t="str">
        <f t="shared" si="0"/>
        <v>9.6 - day 7</v>
      </c>
      <c r="D64" s="17"/>
      <c r="E64" s="17">
        <f t="shared" si="5"/>
        <v>13658</v>
      </c>
      <c r="F64" s="17"/>
      <c r="G64" s="17"/>
      <c r="H64" s="17">
        <f t="shared" si="1"/>
        <v>13658</v>
      </c>
      <c r="I64" s="17"/>
      <c r="J64" s="17"/>
      <c r="K64" s="17"/>
      <c r="L64" s="17">
        <f t="shared" si="2"/>
        <v>0</v>
      </c>
      <c r="M64" s="17"/>
      <c r="N64" s="21">
        <f t="shared" si="6"/>
        <v>0</v>
      </c>
      <c r="O64" s="17">
        <f t="shared" si="7"/>
        <v>0</v>
      </c>
      <c r="P64" s="20"/>
    </row>
    <row r="65" spans="1:16" ht="21" x14ac:dyDescent="0.5">
      <c r="A65" s="17"/>
      <c r="B65" s="18">
        <v>46307</v>
      </c>
      <c r="C65" s="17" t="str">
        <f t="shared" si="0"/>
        <v>10.0 - day 1</v>
      </c>
      <c r="D65" s="17"/>
      <c r="E65" s="17">
        <f t="shared" si="5"/>
        <v>13658</v>
      </c>
      <c r="F65" s="17"/>
      <c r="G65" s="17"/>
      <c r="H65" s="17">
        <f t="shared" si="1"/>
        <v>13658</v>
      </c>
      <c r="I65" s="17"/>
      <c r="J65" s="17"/>
      <c r="K65" s="17"/>
      <c r="L65" s="17">
        <f t="shared" si="2"/>
        <v>0</v>
      </c>
      <c r="M65" s="17"/>
      <c r="N65" s="21">
        <f t="shared" si="6"/>
        <v>0</v>
      </c>
      <c r="O65" s="17">
        <f t="shared" si="7"/>
        <v>0</v>
      </c>
      <c r="P65" s="20"/>
    </row>
    <row r="66" spans="1:16" ht="21" x14ac:dyDescent="0.5">
      <c r="A66" s="17"/>
      <c r="B66" s="18">
        <v>46308</v>
      </c>
      <c r="C66" s="17" t="str">
        <f t="shared" si="0"/>
        <v>10.1 - day 2</v>
      </c>
      <c r="D66" s="17"/>
      <c r="E66" s="17">
        <f t="shared" si="5"/>
        <v>13658</v>
      </c>
      <c r="F66" s="17"/>
      <c r="G66" s="17"/>
      <c r="H66" s="17">
        <f t="shared" si="1"/>
        <v>13658</v>
      </c>
      <c r="I66" s="17"/>
      <c r="J66" s="17"/>
      <c r="K66" s="17"/>
      <c r="L66" s="17">
        <f t="shared" si="2"/>
        <v>0</v>
      </c>
      <c r="M66" s="17"/>
      <c r="N66" s="21">
        <f t="shared" si="6"/>
        <v>0</v>
      </c>
      <c r="O66" s="17">
        <f t="shared" si="7"/>
        <v>0</v>
      </c>
      <c r="P66" s="20"/>
    </row>
    <row r="67" spans="1:16" ht="21" x14ac:dyDescent="0.5">
      <c r="A67" s="17"/>
      <c r="B67" s="18">
        <v>46309</v>
      </c>
      <c r="C67" s="17" t="str">
        <f t="shared" si="0"/>
        <v>10.2 - day 3</v>
      </c>
      <c r="D67" s="17"/>
      <c r="E67" s="17">
        <f t="shared" si="5"/>
        <v>13658</v>
      </c>
      <c r="F67" s="17"/>
      <c r="G67" s="17"/>
      <c r="H67" s="17">
        <f t="shared" si="1"/>
        <v>13658</v>
      </c>
      <c r="I67" s="17"/>
      <c r="J67" s="17"/>
      <c r="K67" s="17"/>
      <c r="L67" s="17">
        <f t="shared" si="2"/>
        <v>0</v>
      </c>
      <c r="M67" s="17"/>
      <c r="N67" s="21">
        <f t="shared" si="6"/>
        <v>0</v>
      </c>
      <c r="O67" s="17">
        <f t="shared" si="7"/>
        <v>0</v>
      </c>
      <c r="P67" s="20"/>
    </row>
    <row r="68" spans="1:16" ht="21" x14ac:dyDescent="0.5">
      <c r="A68" s="17"/>
      <c r="B68" s="18">
        <v>46310</v>
      </c>
      <c r="C68" s="17" t="str">
        <f t="shared" ref="C68:C131" si="8">(QUOTIENT(ROW()-2,7)+1)&amp;"."&amp;MOD(ROW()-2,7)&amp;" - day "&amp;(MOD(ROW()-2,7)+1)</f>
        <v>10.3 - day 4</v>
      </c>
      <c r="D68" s="17"/>
      <c r="E68" s="17">
        <f t="shared" si="5"/>
        <v>13658</v>
      </c>
      <c r="F68" s="17"/>
      <c r="G68" s="17"/>
      <c r="H68" s="17">
        <f t="shared" ref="H68:H131" si="9">SUM(E68-F68-G68)</f>
        <v>13658</v>
      </c>
      <c r="I68" s="17"/>
      <c r="J68" s="17"/>
      <c r="K68" s="17"/>
      <c r="L68" s="17">
        <f t="shared" ref="L68:L131" si="10">SUM(J68+K68)/H68*100</f>
        <v>0</v>
      </c>
      <c r="M68" s="17"/>
      <c r="N68" s="21">
        <f t="shared" si="6"/>
        <v>0</v>
      </c>
      <c r="O68" s="17">
        <f t="shared" si="7"/>
        <v>0</v>
      </c>
      <c r="P68" s="20"/>
    </row>
    <row r="69" spans="1:16" ht="21" x14ac:dyDescent="0.5">
      <c r="A69" s="17"/>
      <c r="B69" s="18">
        <v>46311</v>
      </c>
      <c r="C69" s="17" t="str">
        <f t="shared" si="8"/>
        <v>10.4 - day 5</v>
      </c>
      <c r="D69" s="17"/>
      <c r="E69" s="17">
        <f t="shared" si="5"/>
        <v>13658</v>
      </c>
      <c r="F69" s="17"/>
      <c r="G69" s="17"/>
      <c r="H69" s="17">
        <f t="shared" si="9"/>
        <v>13658</v>
      </c>
      <c r="I69" s="17"/>
      <c r="J69" s="17"/>
      <c r="K69" s="17"/>
      <c r="L69" s="17">
        <f t="shared" si="10"/>
        <v>0</v>
      </c>
      <c r="M69" s="17"/>
      <c r="N69" s="21">
        <f t="shared" si="6"/>
        <v>0</v>
      </c>
      <c r="O69" s="17">
        <f t="shared" si="7"/>
        <v>0</v>
      </c>
      <c r="P69" s="20"/>
    </row>
    <row r="70" spans="1:16" ht="21" x14ac:dyDescent="0.5">
      <c r="A70" s="17"/>
      <c r="B70" s="18">
        <v>46312</v>
      </c>
      <c r="C70" s="17" t="str">
        <f t="shared" si="8"/>
        <v>10.5 - day 6</v>
      </c>
      <c r="D70" s="17"/>
      <c r="E70" s="17">
        <f t="shared" ref="E70:E133" si="11">H69</f>
        <v>13658</v>
      </c>
      <c r="F70" s="17"/>
      <c r="G70" s="17"/>
      <c r="H70" s="17">
        <f t="shared" si="9"/>
        <v>13658</v>
      </c>
      <c r="I70" s="17"/>
      <c r="J70" s="17"/>
      <c r="K70" s="17"/>
      <c r="L70" s="17">
        <f t="shared" si="10"/>
        <v>0</v>
      </c>
      <c r="M70" s="17"/>
      <c r="N70" s="21">
        <f t="shared" si="6"/>
        <v>0</v>
      </c>
      <c r="O70" s="17">
        <f t="shared" si="7"/>
        <v>0</v>
      </c>
      <c r="P70" s="20"/>
    </row>
    <row r="71" spans="1:16" ht="21" x14ac:dyDescent="0.5">
      <c r="A71" s="17"/>
      <c r="B71" s="18">
        <v>46313</v>
      </c>
      <c r="C71" s="17" t="str">
        <f t="shared" si="8"/>
        <v>10.6 - day 7</v>
      </c>
      <c r="D71" s="17"/>
      <c r="E71" s="17">
        <f t="shared" si="11"/>
        <v>13658</v>
      </c>
      <c r="F71" s="17"/>
      <c r="G71" s="17"/>
      <c r="H71" s="17">
        <f t="shared" si="9"/>
        <v>13658</v>
      </c>
      <c r="I71" s="17"/>
      <c r="J71" s="17"/>
      <c r="K71" s="17"/>
      <c r="L71" s="17">
        <f t="shared" si="10"/>
        <v>0</v>
      </c>
      <c r="M71" s="17"/>
      <c r="N71" s="21">
        <f t="shared" si="6"/>
        <v>0</v>
      </c>
      <c r="O71" s="17">
        <f t="shared" si="7"/>
        <v>0</v>
      </c>
      <c r="P71" s="20"/>
    </row>
    <row r="72" spans="1:16" ht="21" x14ac:dyDescent="0.5">
      <c r="A72" s="17"/>
      <c r="B72" s="18">
        <v>46314</v>
      </c>
      <c r="C72" s="17" t="str">
        <f t="shared" si="8"/>
        <v>11.0 - day 1</v>
      </c>
      <c r="D72" s="17"/>
      <c r="E72" s="17">
        <f t="shared" si="11"/>
        <v>13658</v>
      </c>
      <c r="F72" s="17"/>
      <c r="G72" s="17"/>
      <c r="H72" s="17">
        <f t="shared" si="9"/>
        <v>13658</v>
      </c>
      <c r="I72" s="17"/>
      <c r="J72" s="17"/>
      <c r="K72" s="17"/>
      <c r="L72" s="17">
        <f t="shared" si="10"/>
        <v>0</v>
      </c>
      <c r="M72" s="17"/>
      <c r="N72" s="21">
        <f t="shared" si="6"/>
        <v>0</v>
      </c>
      <c r="O72" s="17">
        <f t="shared" si="7"/>
        <v>0</v>
      </c>
      <c r="P72" s="20"/>
    </row>
    <row r="73" spans="1:16" ht="21" x14ac:dyDescent="0.5">
      <c r="A73" s="17"/>
      <c r="B73" s="18">
        <v>46315</v>
      </c>
      <c r="C73" s="17" t="str">
        <f t="shared" si="8"/>
        <v>11.1 - day 2</v>
      </c>
      <c r="D73" s="17"/>
      <c r="E73" s="17">
        <f t="shared" si="11"/>
        <v>13658</v>
      </c>
      <c r="F73" s="17"/>
      <c r="G73" s="17"/>
      <c r="H73" s="17">
        <f t="shared" si="9"/>
        <v>13658</v>
      </c>
      <c r="I73" s="17"/>
      <c r="J73" s="17"/>
      <c r="K73" s="17"/>
      <c r="L73" s="17">
        <f t="shared" si="10"/>
        <v>0</v>
      </c>
      <c r="M73" s="17"/>
      <c r="N73" s="21">
        <f t="shared" si="6"/>
        <v>0</v>
      </c>
      <c r="O73" s="17">
        <f t="shared" si="7"/>
        <v>0</v>
      </c>
      <c r="P73" s="20"/>
    </row>
    <row r="74" spans="1:16" ht="21" x14ac:dyDescent="0.5">
      <c r="A74" s="17"/>
      <c r="B74" s="18">
        <v>46316</v>
      </c>
      <c r="C74" s="17" t="str">
        <f t="shared" si="8"/>
        <v>11.2 - day 3</v>
      </c>
      <c r="D74" s="17"/>
      <c r="E74" s="17">
        <f t="shared" si="11"/>
        <v>13658</v>
      </c>
      <c r="F74" s="17"/>
      <c r="G74" s="17"/>
      <c r="H74" s="17">
        <f t="shared" si="9"/>
        <v>13658</v>
      </c>
      <c r="I74" s="17"/>
      <c r="J74" s="17"/>
      <c r="K74" s="17"/>
      <c r="L74" s="17">
        <f t="shared" si="10"/>
        <v>0</v>
      </c>
      <c r="M74" s="17"/>
      <c r="N74" s="21">
        <f t="shared" si="6"/>
        <v>0</v>
      </c>
      <c r="O74" s="17">
        <f t="shared" si="7"/>
        <v>0</v>
      </c>
      <c r="P74" s="20"/>
    </row>
    <row r="75" spans="1:16" ht="21" x14ac:dyDescent="0.5">
      <c r="A75" s="17"/>
      <c r="B75" s="18">
        <v>46317</v>
      </c>
      <c r="C75" s="17" t="str">
        <f t="shared" si="8"/>
        <v>11.3 - day 4</v>
      </c>
      <c r="D75" s="17"/>
      <c r="E75" s="17">
        <f t="shared" si="11"/>
        <v>13658</v>
      </c>
      <c r="F75" s="17"/>
      <c r="G75" s="17"/>
      <c r="H75" s="17">
        <f t="shared" si="9"/>
        <v>13658</v>
      </c>
      <c r="I75" s="17"/>
      <c r="J75" s="17"/>
      <c r="K75" s="17"/>
      <c r="L75" s="17">
        <f t="shared" si="10"/>
        <v>0</v>
      </c>
      <c r="M75" s="17"/>
      <c r="N75" s="21">
        <f t="shared" si="6"/>
        <v>0</v>
      </c>
      <c r="O75" s="17">
        <f t="shared" si="7"/>
        <v>0</v>
      </c>
      <c r="P75" s="20"/>
    </row>
    <row r="76" spans="1:16" ht="21" x14ac:dyDescent="0.5">
      <c r="A76" s="17"/>
      <c r="B76" s="18">
        <v>46318</v>
      </c>
      <c r="C76" s="17" t="str">
        <f t="shared" si="8"/>
        <v>11.4 - day 5</v>
      </c>
      <c r="D76" s="17"/>
      <c r="E76" s="17">
        <f t="shared" si="11"/>
        <v>13658</v>
      </c>
      <c r="F76" s="17"/>
      <c r="G76" s="17"/>
      <c r="H76" s="17">
        <f t="shared" si="9"/>
        <v>13658</v>
      </c>
      <c r="I76" s="17"/>
      <c r="J76" s="17"/>
      <c r="K76" s="17"/>
      <c r="L76" s="17">
        <f t="shared" si="10"/>
        <v>0</v>
      </c>
      <c r="M76" s="17"/>
      <c r="N76" s="21">
        <f t="shared" si="6"/>
        <v>0</v>
      </c>
      <c r="O76" s="17">
        <f t="shared" si="7"/>
        <v>0</v>
      </c>
      <c r="P76" s="20"/>
    </row>
    <row r="77" spans="1:16" ht="21" x14ac:dyDescent="0.5">
      <c r="A77" s="17"/>
      <c r="B77" s="18">
        <v>46319</v>
      </c>
      <c r="C77" s="17" t="str">
        <f t="shared" si="8"/>
        <v>11.5 - day 6</v>
      </c>
      <c r="D77" s="17"/>
      <c r="E77" s="17">
        <f t="shared" si="11"/>
        <v>13658</v>
      </c>
      <c r="F77" s="17"/>
      <c r="G77" s="17"/>
      <c r="H77" s="17">
        <f t="shared" si="9"/>
        <v>13658</v>
      </c>
      <c r="I77" s="17"/>
      <c r="J77" s="17"/>
      <c r="K77" s="17"/>
      <c r="L77" s="17">
        <f t="shared" si="10"/>
        <v>0</v>
      </c>
      <c r="M77" s="17"/>
      <c r="N77" s="21">
        <f t="shared" si="6"/>
        <v>0</v>
      </c>
      <c r="O77" s="17">
        <f t="shared" si="7"/>
        <v>0</v>
      </c>
      <c r="P77" s="20"/>
    </row>
    <row r="78" spans="1:16" ht="21" x14ac:dyDescent="0.5">
      <c r="A78" s="17"/>
      <c r="B78" s="18">
        <v>46320</v>
      </c>
      <c r="C78" s="17" t="str">
        <f t="shared" si="8"/>
        <v>11.6 - day 7</v>
      </c>
      <c r="D78" s="17"/>
      <c r="E78" s="17">
        <f t="shared" si="11"/>
        <v>13658</v>
      </c>
      <c r="F78" s="17"/>
      <c r="G78" s="17"/>
      <c r="H78" s="17">
        <f t="shared" si="9"/>
        <v>13658</v>
      </c>
      <c r="I78" s="17"/>
      <c r="J78" s="17"/>
      <c r="K78" s="17"/>
      <c r="L78" s="17">
        <f t="shared" si="10"/>
        <v>0</v>
      </c>
      <c r="M78" s="17"/>
      <c r="N78" s="21">
        <f t="shared" si="6"/>
        <v>0</v>
      </c>
      <c r="O78" s="17">
        <f t="shared" si="7"/>
        <v>0</v>
      </c>
      <c r="P78" s="20"/>
    </row>
    <row r="79" spans="1:16" ht="21" x14ac:dyDescent="0.5">
      <c r="A79" s="17"/>
      <c r="B79" s="18">
        <v>46321</v>
      </c>
      <c r="C79" s="17" t="str">
        <f t="shared" si="8"/>
        <v>12.0 - day 1</v>
      </c>
      <c r="D79" s="17"/>
      <c r="E79" s="17">
        <f t="shared" si="11"/>
        <v>13658</v>
      </c>
      <c r="F79" s="17"/>
      <c r="G79" s="17"/>
      <c r="H79" s="17">
        <f t="shared" si="9"/>
        <v>13658</v>
      </c>
      <c r="I79" s="17"/>
      <c r="J79" s="17"/>
      <c r="K79" s="17"/>
      <c r="L79" s="17">
        <f t="shared" si="10"/>
        <v>0</v>
      </c>
      <c r="M79" s="17"/>
      <c r="N79" s="21">
        <f t="shared" si="6"/>
        <v>0</v>
      </c>
      <c r="O79" s="17">
        <f t="shared" si="7"/>
        <v>0</v>
      </c>
      <c r="P79" s="20"/>
    </row>
    <row r="80" spans="1:16" ht="21" x14ac:dyDescent="0.5">
      <c r="A80" s="17"/>
      <c r="B80" s="18">
        <v>46322</v>
      </c>
      <c r="C80" s="17" t="str">
        <f t="shared" si="8"/>
        <v>12.1 - day 2</v>
      </c>
      <c r="D80" s="17"/>
      <c r="E80" s="17">
        <f t="shared" si="11"/>
        <v>13658</v>
      </c>
      <c r="F80" s="17"/>
      <c r="G80" s="17"/>
      <c r="H80" s="17">
        <f t="shared" si="9"/>
        <v>13658</v>
      </c>
      <c r="I80" s="17"/>
      <c r="J80" s="17"/>
      <c r="K80" s="17"/>
      <c r="L80" s="17">
        <f t="shared" si="10"/>
        <v>0</v>
      </c>
      <c r="M80" s="17"/>
      <c r="N80" s="21">
        <f t="shared" si="6"/>
        <v>0</v>
      </c>
      <c r="O80" s="17">
        <f t="shared" si="7"/>
        <v>0</v>
      </c>
      <c r="P80" s="20"/>
    </row>
    <row r="81" spans="1:16" ht="21" x14ac:dyDescent="0.5">
      <c r="A81" s="17"/>
      <c r="B81" s="18">
        <v>46323</v>
      </c>
      <c r="C81" s="17" t="str">
        <f t="shared" si="8"/>
        <v>12.2 - day 3</v>
      </c>
      <c r="D81" s="17"/>
      <c r="E81" s="17">
        <f t="shared" si="11"/>
        <v>13658</v>
      </c>
      <c r="F81" s="17"/>
      <c r="G81" s="17"/>
      <c r="H81" s="17">
        <f t="shared" si="9"/>
        <v>13658</v>
      </c>
      <c r="I81" s="17"/>
      <c r="J81" s="17"/>
      <c r="K81" s="17"/>
      <c r="L81" s="17">
        <f t="shared" si="10"/>
        <v>0</v>
      </c>
      <c r="M81" s="17"/>
      <c r="N81" s="21">
        <f t="shared" si="6"/>
        <v>0</v>
      </c>
      <c r="O81" s="17">
        <f t="shared" si="7"/>
        <v>0</v>
      </c>
      <c r="P81" s="20"/>
    </row>
    <row r="82" spans="1:16" ht="21" x14ac:dyDescent="0.5">
      <c r="A82" s="17"/>
      <c r="B82" s="18">
        <v>46324</v>
      </c>
      <c r="C82" s="17" t="str">
        <f t="shared" si="8"/>
        <v>12.3 - day 4</v>
      </c>
      <c r="D82" s="17"/>
      <c r="E82" s="17">
        <f t="shared" si="11"/>
        <v>13658</v>
      </c>
      <c r="F82" s="17"/>
      <c r="G82" s="17"/>
      <c r="H82" s="17">
        <f t="shared" si="9"/>
        <v>13658</v>
      </c>
      <c r="I82" s="17"/>
      <c r="J82" s="17"/>
      <c r="K82" s="17"/>
      <c r="L82" s="17">
        <f t="shared" si="10"/>
        <v>0</v>
      </c>
      <c r="M82" s="17"/>
      <c r="N82" s="21">
        <f t="shared" si="6"/>
        <v>0</v>
      </c>
      <c r="O82" s="17">
        <f t="shared" si="7"/>
        <v>0</v>
      </c>
      <c r="P82" s="20"/>
    </row>
    <row r="83" spans="1:16" ht="21" x14ac:dyDescent="0.5">
      <c r="A83" s="17"/>
      <c r="B83" s="18">
        <v>46325</v>
      </c>
      <c r="C83" s="17" t="str">
        <f t="shared" si="8"/>
        <v>12.4 - day 5</v>
      </c>
      <c r="D83" s="17"/>
      <c r="E83" s="17">
        <f t="shared" si="11"/>
        <v>13658</v>
      </c>
      <c r="F83" s="17"/>
      <c r="G83" s="17"/>
      <c r="H83" s="17">
        <f t="shared" si="9"/>
        <v>13658</v>
      </c>
      <c r="I83" s="17"/>
      <c r="J83" s="17"/>
      <c r="K83" s="17"/>
      <c r="L83" s="17">
        <f t="shared" si="10"/>
        <v>0</v>
      </c>
      <c r="M83" s="17"/>
      <c r="N83" s="21">
        <f t="shared" si="6"/>
        <v>0</v>
      </c>
      <c r="O83" s="17">
        <f t="shared" si="7"/>
        <v>0</v>
      </c>
      <c r="P83" s="20"/>
    </row>
    <row r="84" spans="1:16" ht="21" x14ac:dyDescent="0.5">
      <c r="A84" s="17"/>
      <c r="B84" s="18">
        <v>46326</v>
      </c>
      <c r="C84" s="17" t="str">
        <f t="shared" si="8"/>
        <v>12.5 - day 6</v>
      </c>
      <c r="D84" s="17"/>
      <c r="E84" s="17">
        <f t="shared" si="11"/>
        <v>13658</v>
      </c>
      <c r="F84" s="17"/>
      <c r="G84" s="17"/>
      <c r="H84" s="17">
        <f t="shared" si="9"/>
        <v>13658</v>
      </c>
      <c r="I84" s="17"/>
      <c r="J84" s="17"/>
      <c r="K84" s="17"/>
      <c r="L84" s="17">
        <f t="shared" si="10"/>
        <v>0</v>
      </c>
      <c r="M84" s="17"/>
      <c r="N84" s="21">
        <f t="shared" si="6"/>
        <v>0</v>
      </c>
      <c r="O84" s="17">
        <f t="shared" si="7"/>
        <v>0</v>
      </c>
      <c r="P84" s="20"/>
    </row>
    <row r="85" spans="1:16" ht="21" x14ac:dyDescent="0.5">
      <c r="A85" s="17"/>
      <c r="B85" s="18">
        <v>46327</v>
      </c>
      <c r="C85" s="17" t="str">
        <f t="shared" si="8"/>
        <v>12.6 - day 7</v>
      </c>
      <c r="D85" s="17"/>
      <c r="E85" s="17">
        <f t="shared" si="11"/>
        <v>13658</v>
      </c>
      <c r="F85" s="17"/>
      <c r="G85" s="17"/>
      <c r="H85" s="17">
        <f t="shared" si="9"/>
        <v>13658</v>
      </c>
      <c r="I85" s="17"/>
      <c r="J85" s="17"/>
      <c r="K85" s="17"/>
      <c r="L85" s="17">
        <f t="shared" si="10"/>
        <v>0</v>
      </c>
      <c r="M85" s="17"/>
      <c r="N85" s="21">
        <f t="shared" ref="N85:N148" si="12">SUM(L85-M85)</f>
        <v>0</v>
      </c>
      <c r="O85" s="17">
        <f t="shared" ref="O85:O148" si="13">SUM(I85/H85)*1000</f>
        <v>0</v>
      </c>
      <c r="P85" s="20"/>
    </row>
    <row r="86" spans="1:16" ht="21" x14ac:dyDescent="0.5">
      <c r="A86" s="17"/>
      <c r="B86" s="18">
        <v>46328</v>
      </c>
      <c r="C86" s="17" t="str">
        <f t="shared" si="8"/>
        <v>13.0 - day 1</v>
      </c>
      <c r="D86" s="17"/>
      <c r="E86" s="17">
        <f t="shared" si="11"/>
        <v>13658</v>
      </c>
      <c r="F86" s="17"/>
      <c r="G86" s="17"/>
      <c r="H86" s="17">
        <f t="shared" si="9"/>
        <v>13658</v>
      </c>
      <c r="I86" s="17"/>
      <c r="J86" s="17"/>
      <c r="K86" s="17"/>
      <c r="L86" s="17">
        <f t="shared" si="10"/>
        <v>0</v>
      </c>
      <c r="M86" s="17"/>
      <c r="N86" s="21">
        <f t="shared" si="12"/>
        <v>0</v>
      </c>
      <c r="O86" s="17">
        <f t="shared" si="13"/>
        <v>0</v>
      </c>
      <c r="P86" s="20"/>
    </row>
    <row r="87" spans="1:16" ht="21" x14ac:dyDescent="0.5">
      <c r="A87" s="17"/>
      <c r="B87" s="18">
        <v>46329</v>
      </c>
      <c r="C87" s="17" t="str">
        <f t="shared" si="8"/>
        <v>13.1 - day 2</v>
      </c>
      <c r="D87" s="17"/>
      <c r="E87" s="17">
        <f t="shared" si="11"/>
        <v>13658</v>
      </c>
      <c r="F87" s="17"/>
      <c r="G87" s="17"/>
      <c r="H87" s="17">
        <f t="shared" si="9"/>
        <v>13658</v>
      </c>
      <c r="I87" s="17"/>
      <c r="J87" s="17"/>
      <c r="K87" s="17"/>
      <c r="L87" s="17">
        <f t="shared" si="10"/>
        <v>0</v>
      </c>
      <c r="M87" s="17"/>
      <c r="N87" s="21">
        <f t="shared" si="12"/>
        <v>0</v>
      </c>
      <c r="O87" s="17">
        <f t="shared" si="13"/>
        <v>0</v>
      </c>
      <c r="P87" s="20"/>
    </row>
    <row r="88" spans="1:16" ht="21" x14ac:dyDescent="0.5">
      <c r="A88" s="17"/>
      <c r="B88" s="18">
        <v>46330</v>
      </c>
      <c r="C88" s="17" t="str">
        <f t="shared" si="8"/>
        <v>13.2 - day 3</v>
      </c>
      <c r="D88" s="17"/>
      <c r="E88" s="17">
        <f t="shared" si="11"/>
        <v>13658</v>
      </c>
      <c r="F88" s="17"/>
      <c r="G88" s="17"/>
      <c r="H88" s="17">
        <f t="shared" si="9"/>
        <v>13658</v>
      </c>
      <c r="I88" s="17"/>
      <c r="J88" s="17"/>
      <c r="K88" s="17"/>
      <c r="L88" s="17">
        <f t="shared" si="10"/>
        <v>0</v>
      </c>
      <c r="M88" s="17"/>
      <c r="N88" s="21">
        <f t="shared" si="12"/>
        <v>0</v>
      </c>
      <c r="O88" s="17">
        <f t="shared" si="13"/>
        <v>0</v>
      </c>
      <c r="P88" s="20"/>
    </row>
    <row r="89" spans="1:16" ht="21" x14ac:dyDescent="0.5">
      <c r="A89" s="17"/>
      <c r="B89" s="18">
        <v>46331</v>
      </c>
      <c r="C89" s="17" t="str">
        <f t="shared" si="8"/>
        <v>13.3 - day 4</v>
      </c>
      <c r="D89" s="17"/>
      <c r="E89" s="17">
        <f t="shared" si="11"/>
        <v>13658</v>
      </c>
      <c r="F89" s="17"/>
      <c r="G89" s="17"/>
      <c r="H89" s="17">
        <f t="shared" si="9"/>
        <v>13658</v>
      </c>
      <c r="I89" s="17"/>
      <c r="J89" s="17"/>
      <c r="K89" s="17"/>
      <c r="L89" s="17">
        <f t="shared" si="10"/>
        <v>0</v>
      </c>
      <c r="M89" s="17"/>
      <c r="N89" s="21">
        <f t="shared" si="12"/>
        <v>0</v>
      </c>
      <c r="O89" s="17">
        <f t="shared" si="13"/>
        <v>0</v>
      </c>
      <c r="P89" s="20"/>
    </row>
    <row r="90" spans="1:16" ht="21" x14ac:dyDescent="0.5">
      <c r="A90" s="17"/>
      <c r="B90" s="18">
        <v>46332</v>
      </c>
      <c r="C90" s="17" t="str">
        <f t="shared" si="8"/>
        <v>13.4 - day 5</v>
      </c>
      <c r="D90" s="17"/>
      <c r="E90" s="17">
        <f t="shared" si="11"/>
        <v>13658</v>
      </c>
      <c r="F90" s="17"/>
      <c r="G90" s="17"/>
      <c r="H90" s="17">
        <f t="shared" si="9"/>
        <v>13658</v>
      </c>
      <c r="I90" s="17"/>
      <c r="J90" s="17"/>
      <c r="K90" s="17"/>
      <c r="L90" s="17">
        <f t="shared" si="10"/>
        <v>0</v>
      </c>
      <c r="M90" s="17"/>
      <c r="N90" s="21">
        <f t="shared" si="12"/>
        <v>0</v>
      </c>
      <c r="O90" s="17">
        <f t="shared" si="13"/>
        <v>0</v>
      </c>
      <c r="P90" s="20"/>
    </row>
    <row r="91" spans="1:16" ht="21" x14ac:dyDescent="0.5">
      <c r="A91" s="17"/>
      <c r="B91" s="18">
        <v>46333</v>
      </c>
      <c r="C91" s="17" t="str">
        <f t="shared" si="8"/>
        <v>13.5 - day 6</v>
      </c>
      <c r="D91" s="17"/>
      <c r="E91" s="17">
        <f t="shared" si="11"/>
        <v>13658</v>
      </c>
      <c r="F91" s="17"/>
      <c r="G91" s="17"/>
      <c r="H91" s="17">
        <f t="shared" si="9"/>
        <v>13658</v>
      </c>
      <c r="I91" s="17"/>
      <c r="J91" s="17"/>
      <c r="K91" s="17"/>
      <c r="L91" s="17">
        <f t="shared" si="10"/>
        <v>0</v>
      </c>
      <c r="M91" s="17"/>
      <c r="N91" s="21">
        <f t="shared" si="12"/>
        <v>0</v>
      </c>
      <c r="O91" s="17">
        <f t="shared" si="13"/>
        <v>0</v>
      </c>
      <c r="P91" s="20"/>
    </row>
    <row r="92" spans="1:16" ht="21" x14ac:dyDescent="0.5">
      <c r="A92" s="17"/>
      <c r="B92" s="18">
        <v>46334</v>
      </c>
      <c r="C92" s="17" t="str">
        <f t="shared" si="8"/>
        <v>13.6 - day 7</v>
      </c>
      <c r="D92" s="17"/>
      <c r="E92" s="17">
        <f t="shared" si="11"/>
        <v>13658</v>
      </c>
      <c r="F92" s="17"/>
      <c r="G92" s="17"/>
      <c r="H92" s="17">
        <f t="shared" si="9"/>
        <v>13658</v>
      </c>
      <c r="I92" s="17"/>
      <c r="J92" s="17"/>
      <c r="K92" s="17"/>
      <c r="L92" s="17">
        <f t="shared" si="10"/>
        <v>0</v>
      </c>
      <c r="M92" s="17"/>
      <c r="N92" s="21">
        <f t="shared" si="12"/>
        <v>0</v>
      </c>
      <c r="O92" s="17">
        <f t="shared" si="13"/>
        <v>0</v>
      </c>
      <c r="P92" s="20"/>
    </row>
    <row r="93" spans="1:16" ht="21" x14ac:dyDescent="0.5">
      <c r="A93" s="17"/>
      <c r="B93" s="18">
        <v>46335</v>
      </c>
      <c r="C93" s="17" t="str">
        <f t="shared" si="8"/>
        <v>14.0 - day 1</v>
      </c>
      <c r="D93" s="17"/>
      <c r="E93" s="17">
        <f t="shared" si="11"/>
        <v>13658</v>
      </c>
      <c r="F93" s="17"/>
      <c r="G93" s="17"/>
      <c r="H93" s="17">
        <f t="shared" si="9"/>
        <v>13658</v>
      </c>
      <c r="I93" s="17"/>
      <c r="J93" s="17"/>
      <c r="K93" s="17"/>
      <c r="L93" s="17">
        <f t="shared" si="10"/>
        <v>0</v>
      </c>
      <c r="M93" s="17"/>
      <c r="N93" s="21">
        <f t="shared" si="12"/>
        <v>0</v>
      </c>
      <c r="O93" s="17">
        <f t="shared" si="13"/>
        <v>0</v>
      </c>
      <c r="P93" s="20"/>
    </row>
    <row r="94" spans="1:16" ht="21" x14ac:dyDescent="0.5">
      <c r="A94" s="17"/>
      <c r="B94" s="18">
        <v>46336</v>
      </c>
      <c r="C94" s="17" t="str">
        <f t="shared" si="8"/>
        <v>14.1 - day 2</v>
      </c>
      <c r="D94" s="17"/>
      <c r="E94" s="17">
        <f t="shared" si="11"/>
        <v>13658</v>
      </c>
      <c r="F94" s="17"/>
      <c r="G94" s="17"/>
      <c r="H94" s="17">
        <f t="shared" si="9"/>
        <v>13658</v>
      </c>
      <c r="I94" s="17"/>
      <c r="J94" s="17"/>
      <c r="K94" s="17"/>
      <c r="L94" s="17">
        <f t="shared" si="10"/>
        <v>0</v>
      </c>
      <c r="M94" s="17"/>
      <c r="N94" s="21">
        <f t="shared" si="12"/>
        <v>0</v>
      </c>
      <c r="O94" s="17">
        <f t="shared" si="13"/>
        <v>0</v>
      </c>
      <c r="P94" s="20"/>
    </row>
    <row r="95" spans="1:16" ht="21" x14ac:dyDescent="0.5">
      <c r="A95" s="17"/>
      <c r="B95" s="18">
        <v>46337</v>
      </c>
      <c r="C95" s="17" t="str">
        <f t="shared" si="8"/>
        <v>14.2 - day 3</v>
      </c>
      <c r="D95" s="17"/>
      <c r="E95" s="17">
        <f t="shared" si="11"/>
        <v>13658</v>
      </c>
      <c r="F95" s="17"/>
      <c r="G95" s="17"/>
      <c r="H95" s="17">
        <f t="shared" si="9"/>
        <v>13658</v>
      </c>
      <c r="I95" s="17"/>
      <c r="J95" s="17"/>
      <c r="K95" s="17"/>
      <c r="L95" s="17">
        <f t="shared" si="10"/>
        <v>0</v>
      </c>
      <c r="M95" s="17"/>
      <c r="N95" s="21">
        <f t="shared" si="12"/>
        <v>0</v>
      </c>
      <c r="O95" s="17">
        <f t="shared" si="13"/>
        <v>0</v>
      </c>
      <c r="P95" s="20"/>
    </row>
    <row r="96" spans="1:16" ht="21" x14ac:dyDescent="0.5">
      <c r="A96" s="17"/>
      <c r="B96" s="18">
        <v>46338</v>
      </c>
      <c r="C96" s="17" t="str">
        <f t="shared" si="8"/>
        <v>14.3 - day 4</v>
      </c>
      <c r="D96" s="17"/>
      <c r="E96" s="17">
        <f t="shared" si="11"/>
        <v>13658</v>
      </c>
      <c r="F96" s="17"/>
      <c r="G96" s="17"/>
      <c r="H96" s="17">
        <f t="shared" si="9"/>
        <v>13658</v>
      </c>
      <c r="I96" s="17"/>
      <c r="J96" s="17"/>
      <c r="K96" s="17"/>
      <c r="L96" s="17">
        <f t="shared" si="10"/>
        <v>0</v>
      </c>
      <c r="M96" s="17"/>
      <c r="N96" s="21">
        <f t="shared" si="12"/>
        <v>0</v>
      </c>
      <c r="O96" s="17">
        <f t="shared" si="13"/>
        <v>0</v>
      </c>
      <c r="P96" s="20"/>
    </row>
    <row r="97" spans="1:16" ht="21" x14ac:dyDescent="0.5">
      <c r="A97" s="17"/>
      <c r="B97" s="18">
        <v>46339</v>
      </c>
      <c r="C97" s="17" t="str">
        <f t="shared" si="8"/>
        <v>14.4 - day 5</v>
      </c>
      <c r="D97" s="17"/>
      <c r="E97" s="17">
        <f t="shared" si="11"/>
        <v>13658</v>
      </c>
      <c r="F97" s="17"/>
      <c r="G97" s="17"/>
      <c r="H97" s="17">
        <f t="shared" si="9"/>
        <v>13658</v>
      </c>
      <c r="I97" s="17"/>
      <c r="J97" s="17"/>
      <c r="K97" s="17"/>
      <c r="L97" s="17">
        <f t="shared" si="10"/>
        <v>0</v>
      </c>
      <c r="M97" s="17"/>
      <c r="N97" s="21">
        <f t="shared" si="12"/>
        <v>0</v>
      </c>
      <c r="O97" s="17">
        <f t="shared" si="13"/>
        <v>0</v>
      </c>
      <c r="P97" s="20"/>
    </row>
    <row r="98" spans="1:16" ht="21" x14ac:dyDescent="0.5">
      <c r="A98" s="17"/>
      <c r="B98" s="18">
        <v>46340</v>
      </c>
      <c r="C98" s="17" t="str">
        <f t="shared" si="8"/>
        <v>14.5 - day 6</v>
      </c>
      <c r="D98" s="17"/>
      <c r="E98" s="17">
        <f t="shared" si="11"/>
        <v>13658</v>
      </c>
      <c r="F98" s="17"/>
      <c r="G98" s="17"/>
      <c r="H98" s="17">
        <f t="shared" si="9"/>
        <v>13658</v>
      </c>
      <c r="I98" s="17"/>
      <c r="J98" s="17"/>
      <c r="K98" s="17"/>
      <c r="L98" s="17">
        <f t="shared" si="10"/>
        <v>0</v>
      </c>
      <c r="M98" s="17"/>
      <c r="N98" s="21">
        <f t="shared" si="12"/>
        <v>0</v>
      </c>
      <c r="O98" s="17">
        <f t="shared" si="13"/>
        <v>0</v>
      </c>
      <c r="P98" s="20"/>
    </row>
    <row r="99" spans="1:16" ht="21" x14ac:dyDescent="0.5">
      <c r="A99" s="17"/>
      <c r="B99" s="18">
        <v>46341</v>
      </c>
      <c r="C99" s="17" t="str">
        <f t="shared" si="8"/>
        <v>14.6 - day 7</v>
      </c>
      <c r="D99" s="17"/>
      <c r="E99" s="17">
        <f t="shared" si="11"/>
        <v>13658</v>
      </c>
      <c r="F99" s="17"/>
      <c r="G99" s="17"/>
      <c r="H99" s="17">
        <f t="shared" si="9"/>
        <v>13658</v>
      </c>
      <c r="I99" s="17"/>
      <c r="J99" s="17"/>
      <c r="K99" s="17"/>
      <c r="L99" s="17">
        <f t="shared" si="10"/>
        <v>0</v>
      </c>
      <c r="M99" s="17"/>
      <c r="N99" s="21">
        <f t="shared" si="12"/>
        <v>0</v>
      </c>
      <c r="O99" s="17">
        <f t="shared" si="13"/>
        <v>0</v>
      </c>
      <c r="P99" s="20"/>
    </row>
    <row r="100" spans="1:16" ht="21" x14ac:dyDescent="0.5">
      <c r="A100" s="17"/>
      <c r="B100" s="18">
        <v>46342</v>
      </c>
      <c r="C100" s="17" t="str">
        <f t="shared" si="8"/>
        <v>15.0 - day 1</v>
      </c>
      <c r="D100" s="17"/>
      <c r="E100" s="17">
        <f t="shared" si="11"/>
        <v>13658</v>
      </c>
      <c r="F100" s="17"/>
      <c r="G100" s="17"/>
      <c r="H100" s="17">
        <f t="shared" si="9"/>
        <v>13658</v>
      </c>
      <c r="I100" s="17"/>
      <c r="J100" s="17"/>
      <c r="K100" s="17"/>
      <c r="L100" s="17">
        <f t="shared" si="10"/>
        <v>0</v>
      </c>
      <c r="M100" s="17"/>
      <c r="N100" s="21">
        <f t="shared" si="12"/>
        <v>0</v>
      </c>
      <c r="O100" s="17">
        <f t="shared" si="13"/>
        <v>0</v>
      </c>
      <c r="P100" s="20"/>
    </row>
    <row r="101" spans="1:16" ht="21" x14ac:dyDescent="0.5">
      <c r="A101" s="17"/>
      <c r="B101" s="18">
        <v>46343</v>
      </c>
      <c r="C101" s="17" t="str">
        <f t="shared" si="8"/>
        <v>15.1 - day 2</v>
      </c>
      <c r="D101" s="17"/>
      <c r="E101" s="17">
        <f t="shared" si="11"/>
        <v>13658</v>
      </c>
      <c r="F101" s="17"/>
      <c r="G101" s="17"/>
      <c r="H101" s="17">
        <f t="shared" si="9"/>
        <v>13658</v>
      </c>
      <c r="I101" s="17"/>
      <c r="J101" s="17"/>
      <c r="K101" s="17"/>
      <c r="L101" s="17">
        <f t="shared" si="10"/>
        <v>0</v>
      </c>
      <c r="M101" s="17"/>
      <c r="N101" s="21">
        <f t="shared" si="12"/>
        <v>0</v>
      </c>
      <c r="O101" s="17">
        <f t="shared" si="13"/>
        <v>0</v>
      </c>
      <c r="P101" s="20"/>
    </row>
    <row r="102" spans="1:16" ht="21" x14ac:dyDescent="0.5">
      <c r="A102" s="17"/>
      <c r="B102" s="18">
        <v>46344</v>
      </c>
      <c r="C102" s="17" t="str">
        <f t="shared" si="8"/>
        <v>15.2 - day 3</v>
      </c>
      <c r="D102" s="17"/>
      <c r="E102" s="17">
        <f t="shared" si="11"/>
        <v>13658</v>
      </c>
      <c r="F102" s="17"/>
      <c r="G102" s="17"/>
      <c r="H102" s="17">
        <f t="shared" si="9"/>
        <v>13658</v>
      </c>
      <c r="I102" s="17"/>
      <c r="J102" s="17"/>
      <c r="K102" s="17"/>
      <c r="L102" s="17">
        <f t="shared" si="10"/>
        <v>0</v>
      </c>
      <c r="M102" s="17"/>
      <c r="N102" s="21">
        <f t="shared" si="12"/>
        <v>0</v>
      </c>
      <c r="O102" s="17">
        <f t="shared" si="13"/>
        <v>0</v>
      </c>
      <c r="P102" s="20"/>
    </row>
    <row r="103" spans="1:16" ht="21" x14ac:dyDescent="0.5">
      <c r="A103" s="17"/>
      <c r="B103" s="18">
        <v>46345</v>
      </c>
      <c r="C103" s="17" t="str">
        <f t="shared" si="8"/>
        <v>15.3 - day 4</v>
      </c>
      <c r="D103" s="17"/>
      <c r="E103" s="17">
        <f t="shared" si="11"/>
        <v>13658</v>
      </c>
      <c r="F103" s="17"/>
      <c r="G103" s="17"/>
      <c r="H103" s="17">
        <f t="shared" si="9"/>
        <v>13658</v>
      </c>
      <c r="I103" s="17"/>
      <c r="J103" s="17"/>
      <c r="K103" s="17"/>
      <c r="L103" s="17">
        <f t="shared" si="10"/>
        <v>0</v>
      </c>
      <c r="M103" s="17"/>
      <c r="N103" s="21">
        <f t="shared" si="12"/>
        <v>0</v>
      </c>
      <c r="O103" s="17">
        <f t="shared" si="13"/>
        <v>0</v>
      </c>
      <c r="P103" s="20"/>
    </row>
    <row r="104" spans="1:16" ht="21" x14ac:dyDescent="0.5">
      <c r="A104" s="17"/>
      <c r="B104" s="18">
        <v>46346</v>
      </c>
      <c r="C104" s="17" t="str">
        <f t="shared" si="8"/>
        <v>15.4 - day 5</v>
      </c>
      <c r="D104" s="17"/>
      <c r="E104" s="17">
        <f t="shared" si="11"/>
        <v>13658</v>
      </c>
      <c r="F104" s="17"/>
      <c r="G104" s="17"/>
      <c r="H104" s="17">
        <f t="shared" si="9"/>
        <v>13658</v>
      </c>
      <c r="I104" s="17"/>
      <c r="J104" s="17"/>
      <c r="K104" s="17"/>
      <c r="L104" s="17">
        <f t="shared" si="10"/>
        <v>0</v>
      </c>
      <c r="M104" s="17"/>
      <c r="N104" s="21">
        <f t="shared" si="12"/>
        <v>0</v>
      </c>
      <c r="O104" s="17">
        <f t="shared" si="13"/>
        <v>0</v>
      </c>
      <c r="P104" s="20"/>
    </row>
    <row r="105" spans="1:16" ht="21" x14ac:dyDescent="0.5">
      <c r="A105" s="17"/>
      <c r="B105" s="18">
        <v>46347</v>
      </c>
      <c r="C105" s="17" t="str">
        <f t="shared" si="8"/>
        <v>15.5 - day 6</v>
      </c>
      <c r="D105" s="17"/>
      <c r="E105" s="17">
        <f t="shared" si="11"/>
        <v>13658</v>
      </c>
      <c r="F105" s="17"/>
      <c r="G105" s="17"/>
      <c r="H105" s="17">
        <f t="shared" si="9"/>
        <v>13658</v>
      </c>
      <c r="I105" s="17"/>
      <c r="J105" s="17"/>
      <c r="K105" s="17"/>
      <c r="L105" s="17">
        <f t="shared" si="10"/>
        <v>0</v>
      </c>
      <c r="M105" s="17"/>
      <c r="N105" s="21">
        <f t="shared" si="12"/>
        <v>0</v>
      </c>
      <c r="O105" s="17">
        <f t="shared" si="13"/>
        <v>0</v>
      </c>
      <c r="P105" s="20"/>
    </row>
    <row r="106" spans="1:16" ht="21" x14ac:dyDescent="0.5">
      <c r="A106" s="17"/>
      <c r="B106" s="18">
        <v>46348</v>
      </c>
      <c r="C106" s="17" t="str">
        <f t="shared" si="8"/>
        <v>15.6 - day 7</v>
      </c>
      <c r="D106" s="17"/>
      <c r="E106" s="17">
        <f t="shared" si="11"/>
        <v>13658</v>
      </c>
      <c r="F106" s="17"/>
      <c r="G106" s="17"/>
      <c r="H106" s="17">
        <f t="shared" si="9"/>
        <v>13658</v>
      </c>
      <c r="I106" s="17"/>
      <c r="J106" s="17"/>
      <c r="K106" s="17"/>
      <c r="L106" s="17">
        <f t="shared" si="10"/>
        <v>0</v>
      </c>
      <c r="M106" s="17"/>
      <c r="N106" s="21">
        <f t="shared" si="12"/>
        <v>0</v>
      </c>
      <c r="O106" s="17">
        <f t="shared" si="13"/>
        <v>0</v>
      </c>
      <c r="P106" s="20"/>
    </row>
    <row r="107" spans="1:16" ht="21" x14ac:dyDescent="0.5">
      <c r="A107" s="17"/>
      <c r="B107" s="18">
        <v>46349</v>
      </c>
      <c r="C107" s="17" t="str">
        <f t="shared" si="8"/>
        <v>16.0 - day 1</v>
      </c>
      <c r="D107" s="17"/>
      <c r="E107" s="17">
        <f t="shared" si="11"/>
        <v>13658</v>
      </c>
      <c r="F107" s="17"/>
      <c r="G107" s="17"/>
      <c r="H107" s="17">
        <f t="shared" si="9"/>
        <v>13658</v>
      </c>
      <c r="I107" s="17"/>
      <c r="J107" s="17"/>
      <c r="K107" s="17"/>
      <c r="L107" s="17">
        <f t="shared" si="10"/>
        <v>0</v>
      </c>
      <c r="M107" s="17"/>
      <c r="N107" s="21">
        <f t="shared" si="12"/>
        <v>0</v>
      </c>
      <c r="O107" s="17">
        <f t="shared" si="13"/>
        <v>0</v>
      </c>
      <c r="P107" s="20"/>
    </row>
    <row r="108" spans="1:16" ht="21" x14ac:dyDescent="0.5">
      <c r="A108" s="17"/>
      <c r="B108" s="18">
        <v>46350</v>
      </c>
      <c r="C108" s="17" t="str">
        <f t="shared" si="8"/>
        <v>16.1 - day 2</v>
      </c>
      <c r="D108" s="17"/>
      <c r="E108" s="17">
        <f t="shared" si="11"/>
        <v>13658</v>
      </c>
      <c r="F108" s="17"/>
      <c r="G108" s="17"/>
      <c r="H108" s="17">
        <f t="shared" si="9"/>
        <v>13658</v>
      </c>
      <c r="I108" s="17"/>
      <c r="J108" s="17"/>
      <c r="K108" s="17"/>
      <c r="L108" s="17">
        <f t="shared" si="10"/>
        <v>0</v>
      </c>
      <c r="M108" s="17"/>
      <c r="N108" s="21">
        <f t="shared" si="12"/>
        <v>0</v>
      </c>
      <c r="O108" s="17">
        <f t="shared" si="13"/>
        <v>0</v>
      </c>
      <c r="P108" s="20"/>
    </row>
    <row r="109" spans="1:16" ht="21" x14ac:dyDescent="0.5">
      <c r="A109" s="17"/>
      <c r="B109" s="18">
        <v>46351</v>
      </c>
      <c r="C109" s="17" t="str">
        <f t="shared" si="8"/>
        <v>16.2 - day 3</v>
      </c>
      <c r="D109" s="17"/>
      <c r="E109" s="17">
        <f t="shared" si="11"/>
        <v>13658</v>
      </c>
      <c r="F109" s="17"/>
      <c r="G109" s="17"/>
      <c r="H109" s="17">
        <f t="shared" si="9"/>
        <v>13658</v>
      </c>
      <c r="I109" s="17"/>
      <c r="J109" s="17"/>
      <c r="K109" s="17"/>
      <c r="L109" s="17">
        <f t="shared" si="10"/>
        <v>0</v>
      </c>
      <c r="M109" s="17"/>
      <c r="N109" s="21">
        <f t="shared" si="12"/>
        <v>0</v>
      </c>
      <c r="O109" s="17">
        <f t="shared" si="13"/>
        <v>0</v>
      </c>
      <c r="P109" s="20"/>
    </row>
    <row r="110" spans="1:16" ht="21" x14ac:dyDescent="0.5">
      <c r="A110" s="17"/>
      <c r="B110" s="18">
        <v>46352</v>
      </c>
      <c r="C110" s="17" t="str">
        <f t="shared" si="8"/>
        <v>16.3 - day 4</v>
      </c>
      <c r="D110" s="17"/>
      <c r="E110" s="17">
        <f t="shared" si="11"/>
        <v>13658</v>
      </c>
      <c r="F110" s="17"/>
      <c r="G110" s="17"/>
      <c r="H110" s="17">
        <f t="shared" si="9"/>
        <v>13658</v>
      </c>
      <c r="I110" s="17"/>
      <c r="J110" s="17"/>
      <c r="K110" s="17"/>
      <c r="L110" s="17">
        <f t="shared" si="10"/>
        <v>0</v>
      </c>
      <c r="M110" s="17"/>
      <c r="N110" s="21">
        <f t="shared" si="12"/>
        <v>0</v>
      </c>
      <c r="O110" s="17">
        <f t="shared" si="13"/>
        <v>0</v>
      </c>
      <c r="P110" s="20"/>
    </row>
    <row r="111" spans="1:16" ht="21" x14ac:dyDescent="0.5">
      <c r="A111" s="17"/>
      <c r="B111" s="18">
        <v>46353</v>
      </c>
      <c r="C111" s="17" t="str">
        <f t="shared" si="8"/>
        <v>16.4 - day 5</v>
      </c>
      <c r="D111" s="17"/>
      <c r="E111" s="17">
        <f t="shared" si="11"/>
        <v>13658</v>
      </c>
      <c r="F111" s="17"/>
      <c r="G111" s="17"/>
      <c r="H111" s="17">
        <f t="shared" si="9"/>
        <v>13658</v>
      </c>
      <c r="I111" s="17"/>
      <c r="J111" s="17"/>
      <c r="K111" s="17"/>
      <c r="L111" s="17">
        <f t="shared" si="10"/>
        <v>0</v>
      </c>
      <c r="M111" s="17"/>
      <c r="N111" s="21">
        <f t="shared" si="12"/>
        <v>0</v>
      </c>
      <c r="O111" s="17">
        <f t="shared" si="13"/>
        <v>0</v>
      </c>
      <c r="P111" s="20"/>
    </row>
    <row r="112" spans="1:16" ht="21" x14ac:dyDescent="0.5">
      <c r="A112" s="17"/>
      <c r="B112" s="18">
        <v>46354</v>
      </c>
      <c r="C112" s="17" t="str">
        <f t="shared" si="8"/>
        <v>16.5 - day 6</v>
      </c>
      <c r="D112" s="17"/>
      <c r="E112" s="17">
        <f t="shared" si="11"/>
        <v>13658</v>
      </c>
      <c r="F112" s="17"/>
      <c r="G112" s="17"/>
      <c r="H112" s="17">
        <f t="shared" si="9"/>
        <v>13658</v>
      </c>
      <c r="I112" s="17"/>
      <c r="J112" s="17"/>
      <c r="K112" s="17"/>
      <c r="L112" s="17">
        <f t="shared" si="10"/>
        <v>0</v>
      </c>
      <c r="M112" s="17"/>
      <c r="N112" s="21">
        <f t="shared" si="12"/>
        <v>0</v>
      </c>
      <c r="O112" s="17">
        <f t="shared" si="13"/>
        <v>0</v>
      </c>
      <c r="P112" s="20"/>
    </row>
    <row r="113" spans="1:16" ht="21" x14ac:dyDescent="0.5">
      <c r="A113" s="17"/>
      <c r="B113" s="18">
        <v>46355</v>
      </c>
      <c r="C113" s="17" t="str">
        <f t="shared" si="8"/>
        <v>16.6 - day 7</v>
      </c>
      <c r="D113" s="17"/>
      <c r="E113" s="17">
        <f t="shared" si="11"/>
        <v>13658</v>
      </c>
      <c r="F113" s="17"/>
      <c r="G113" s="17"/>
      <c r="H113" s="17">
        <f t="shared" si="9"/>
        <v>13658</v>
      </c>
      <c r="I113" s="17"/>
      <c r="J113" s="17"/>
      <c r="K113" s="17"/>
      <c r="L113" s="17">
        <f t="shared" si="10"/>
        <v>0</v>
      </c>
      <c r="M113" s="17"/>
      <c r="N113" s="21">
        <f t="shared" si="12"/>
        <v>0</v>
      </c>
      <c r="O113" s="17">
        <f t="shared" si="13"/>
        <v>0</v>
      </c>
      <c r="P113" s="20"/>
    </row>
    <row r="114" spans="1:16" ht="21" x14ac:dyDescent="0.5">
      <c r="A114" s="17"/>
      <c r="B114" s="18">
        <v>46356</v>
      </c>
      <c r="C114" s="17" t="str">
        <f t="shared" si="8"/>
        <v>17.0 - day 1</v>
      </c>
      <c r="D114" s="17"/>
      <c r="E114" s="17">
        <f t="shared" si="11"/>
        <v>13658</v>
      </c>
      <c r="F114" s="17"/>
      <c r="G114" s="17"/>
      <c r="H114" s="17">
        <f t="shared" si="9"/>
        <v>13658</v>
      </c>
      <c r="I114" s="17"/>
      <c r="J114" s="17"/>
      <c r="K114" s="17"/>
      <c r="L114" s="17">
        <f t="shared" si="10"/>
        <v>0</v>
      </c>
      <c r="M114" s="17"/>
      <c r="N114" s="21">
        <f t="shared" si="12"/>
        <v>0</v>
      </c>
      <c r="O114" s="17">
        <f t="shared" si="13"/>
        <v>0</v>
      </c>
      <c r="P114" s="20"/>
    </row>
    <row r="115" spans="1:16" ht="21" x14ac:dyDescent="0.5">
      <c r="A115" s="17"/>
      <c r="B115" s="18">
        <v>46357</v>
      </c>
      <c r="C115" s="17" t="str">
        <f t="shared" si="8"/>
        <v>17.1 - day 2</v>
      </c>
      <c r="D115" s="17"/>
      <c r="E115" s="17">
        <f t="shared" si="11"/>
        <v>13658</v>
      </c>
      <c r="F115" s="17"/>
      <c r="G115" s="17"/>
      <c r="H115" s="17">
        <f t="shared" si="9"/>
        <v>13658</v>
      </c>
      <c r="I115" s="17"/>
      <c r="J115" s="17"/>
      <c r="K115" s="17"/>
      <c r="L115" s="17">
        <f t="shared" si="10"/>
        <v>0</v>
      </c>
      <c r="M115" s="17"/>
      <c r="N115" s="21">
        <f t="shared" si="12"/>
        <v>0</v>
      </c>
      <c r="O115" s="17">
        <f t="shared" si="13"/>
        <v>0</v>
      </c>
      <c r="P115" s="20"/>
    </row>
    <row r="116" spans="1:16" ht="21" x14ac:dyDescent="0.5">
      <c r="A116" s="17"/>
      <c r="B116" s="18">
        <v>46358</v>
      </c>
      <c r="C116" s="17" t="str">
        <f t="shared" si="8"/>
        <v>17.2 - day 3</v>
      </c>
      <c r="D116" s="17"/>
      <c r="E116" s="17">
        <f t="shared" si="11"/>
        <v>13658</v>
      </c>
      <c r="F116" s="17"/>
      <c r="G116" s="17"/>
      <c r="H116" s="17">
        <f t="shared" si="9"/>
        <v>13658</v>
      </c>
      <c r="I116" s="17"/>
      <c r="J116" s="17"/>
      <c r="K116" s="17"/>
      <c r="L116" s="17">
        <f t="shared" si="10"/>
        <v>0</v>
      </c>
      <c r="M116" s="17"/>
      <c r="N116" s="21">
        <f t="shared" si="12"/>
        <v>0</v>
      </c>
      <c r="O116" s="17">
        <f t="shared" si="13"/>
        <v>0</v>
      </c>
      <c r="P116" s="20"/>
    </row>
    <row r="117" spans="1:16" ht="21" x14ac:dyDescent="0.5">
      <c r="A117" s="17"/>
      <c r="B117" s="18">
        <v>46359</v>
      </c>
      <c r="C117" s="17" t="str">
        <f t="shared" si="8"/>
        <v>17.3 - day 4</v>
      </c>
      <c r="D117" s="17"/>
      <c r="E117" s="17">
        <f t="shared" si="11"/>
        <v>13658</v>
      </c>
      <c r="F117" s="17"/>
      <c r="G117" s="17"/>
      <c r="H117" s="17">
        <f t="shared" si="9"/>
        <v>13658</v>
      </c>
      <c r="I117" s="17"/>
      <c r="J117" s="17"/>
      <c r="K117" s="17"/>
      <c r="L117" s="17">
        <f t="shared" si="10"/>
        <v>0</v>
      </c>
      <c r="M117" s="17"/>
      <c r="N117" s="21">
        <f t="shared" si="12"/>
        <v>0</v>
      </c>
      <c r="O117" s="17">
        <f t="shared" si="13"/>
        <v>0</v>
      </c>
      <c r="P117" s="20"/>
    </row>
    <row r="118" spans="1:16" ht="21" x14ac:dyDescent="0.5">
      <c r="A118" s="17"/>
      <c r="B118" s="18">
        <v>46360</v>
      </c>
      <c r="C118" s="17" t="str">
        <f t="shared" si="8"/>
        <v>17.4 - day 5</v>
      </c>
      <c r="D118" s="17"/>
      <c r="E118" s="17">
        <f t="shared" si="11"/>
        <v>13658</v>
      </c>
      <c r="F118" s="17"/>
      <c r="G118" s="17"/>
      <c r="H118" s="17">
        <f t="shared" si="9"/>
        <v>13658</v>
      </c>
      <c r="I118" s="17"/>
      <c r="J118" s="17"/>
      <c r="K118" s="17"/>
      <c r="L118" s="17">
        <f t="shared" si="10"/>
        <v>0</v>
      </c>
      <c r="M118" s="17"/>
      <c r="N118" s="21">
        <f t="shared" si="12"/>
        <v>0</v>
      </c>
      <c r="O118" s="17">
        <f t="shared" si="13"/>
        <v>0</v>
      </c>
      <c r="P118" s="20"/>
    </row>
    <row r="119" spans="1:16" ht="21" x14ac:dyDescent="0.5">
      <c r="A119" s="17"/>
      <c r="B119" s="18">
        <v>46361</v>
      </c>
      <c r="C119" s="17" t="str">
        <f t="shared" si="8"/>
        <v>17.5 - day 6</v>
      </c>
      <c r="D119" s="17"/>
      <c r="E119" s="17">
        <f t="shared" si="11"/>
        <v>13658</v>
      </c>
      <c r="F119" s="17"/>
      <c r="G119" s="17"/>
      <c r="H119" s="17">
        <f t="shared" si="9"/>
        <v>13658</v>
      </c>
      <c r="I119" s="17"/>
      <c r="J119" s="17"/>
      <c r="K119" s="17"/>
      <c r="L119" s="17">
        <f t="shared" si="10"/>
        <v>0</v>
      </c>
      <c r="M119" s="17"/>
      <c r="N119" s="21">
        <f t="shared" si="12"/>
        <v>0</v>
      </c>
      <c r="O119" s="17">
        <f t="shared" si="13"/>
        <v>0</v>
      </c>
      <c r="P119" s="20"/>
    </row>
    <row r="120" spans="1:16" ht="21" x14ac:dyDescent="0.5">
      <c r="A120" s="17"/>
      <c r="B120" s="18">
        <v>46362</v>
      </c>
      <c r="C120" s="17" t="str">
        <f t="shared" si="8"/>
        <v>17.6 - day 7</v>
      </c>
      <c r="D120" s="17"/>
      <c r="E120" s="17">
        <f t="shared" si="11"/>
        <v>13658</v>
      </c>
      <c r="F120" s="17"/>
      <c r="G120" s="17"/>
      <c r="H120" s="17">
        <f t="shared" si="9"/>
        <v>13658</v>
      </c>
      <c r="I120" s="17"/>
      <c r="J120" s="17"/>
      <c r="K120" s="17"/>
      <c r="L120" s="17">
        <f t="shared" si="10"/>
        <v>0</v>
      </c>
      <c r="M120" s="17"/>
      <c r="N120" s="21">
        <f t="shared" si="12"/>
        <v>0</v>
      </c>
      <c r="O120" s="17">
        <f t="shared" si="13"/>
        <v>0</v>
      </c>
      <c r="P120" s="20"/>
    </row>
    <row r="121" spans="1:16" ht="21" x14ac:dyDescent="0.5">
      <c r="A121" s="17"/>
      <c r="B121" s="18">
        <v>46363</v>
      </c>
      <c r="C121" s="17" t="str">
        <f t="shared" si="8"/>
        <v>18.0 - day 1</v>
      </c>
      <c r="D121" s="17"/>
      <c r="E121" s="17">
        <f t="shared" si="11"/>
        <v>13658</v>
      </c>
      <c r="F121" s="17"/>
      <c r="G121" s="17"/>
      <c r="H121" s="17">
        <f t="shared" si="9"/>
        <v>13658</v>
      </c>
      <c r="I121" s="17"/>
      <c r="J121" s="17"/>
      <c r="K121" s="17"/>
      <c r="L121" s="17">
        <f t="shared" si="10"/>
        <v>0</v>
      </c>
      <c r="M121" s="17"/>
      <c r="N121" s="21">
        <f t="shared" si="12"/>
        <v>0</v>
      </c>
      <c r="O121" s="17">
        <f t="shared" si="13"/>
        <v>0</v>
      </c>
      <c r="P121" s="20"/>
    </row>
    <row r="122" spans="1:16" ht="21" x14ac:dyDescent="0.5">
      <c r="A122" s="17"/>
      <c r="B122" s="18">
        <v>46364</v>
      </c>
      <c r="C122" s="17" t="str">
        <f t="shared" si="8"/>
        <v>18.1 - day 2</v>
      </c>
      <c r="D122" s="17"/>
      <c r="E122" s="17">
        <f t="shared" si="11"/>
        <v>13658</v>
      </c>
      <c r="F122" s="17"/>
      <c r="G122" s="17"/>
      <c r="H122" s="17">
        <f t="shared" si="9"/>
        <v>13658</v>
      </c>
      <c r="I122" s="17"/>
      <c r="J122" s="17"/>
      <c r="K122" s="17"/>
      <c r="L122" s="17">
        <f t="shared" si="10"/>
        <v>0</v>
      </c>
      <c r="M122" s="17"/>
      <c r="N122" s="21">
        <f t="shared" si="12"/>
        <v>0</v>
      </c>
      <c r="O122" s="17">
        <f t="shared" si="13"/>
        <v>0</v>
      </c>
      <c r="P122" s="20"/>
    </row>
    <row r="123" spans="1:16" ht="21" x14ac:dyDescent="0.5">
      <c r="A123" s="17"/>
      <c r="B123" s="18">
        <v>46365</v>
      </c>
      <c r="C123" s="17" t="str">
        <f t="shared" si="8"/>
        <v>18.2 - day 3</v>
      </c>
      <c r="D123" s="17"/>
      <c r="E123" s="17">
        <f t="shared" si="11"/>
        <v>13658</v>
      </c>
      <c r="F123" s="17"/>
      <c r="G123" s="17"/>
      <c r="H123" s="17">
        <f t="shared" si="9"/>
        <v>13658</v>
      </c>
      <c r="I123" s="17"/>
      <c r="J123" s="17"/>
      <c r="K123" s="17"/>
      <c r="L123" s="17">
        <f t="shared" si="10"/>
        <v>0</v>
      </c>
      <c r="M123" s="17"/>
      <c r="N123" s="21">
        <f t="shared" si="12"/>
        <v>0</v>
      </c>
      <c r="O123" s="17">
        <f t="shared" si="13"/>
        <v>0</v>
      </c>
      <c r="P123" s="20"/>
    </row>
    <row r="124" spans="1:16" ht="21" x14ac:dyDescent="0.5">
      <c r="A124" s="17"/>
      <c r="B124" s="18">
        <v>46366</v>
      </c>
      <c r="C124" s="17" t="str">
        <f t="shared" si="8"/>
        <v>18.3 - day 4</v>
      </c>
      <c r="D124" s="17"/>
      <c r="E124" s="17">
        <f t="shared" si="11"/>
        <v>13658</v>
      </c>
      <c r="F124" s="17"/>
      <c r="G124" s="17"/>
      <c r="H124" s="17">
        <f t="shared" si="9"/>
        <v>13658</v>
      </c>
      <c r="I124" s="17"/>
      <c r="J124" s="17"/>
      <c r="K124" s="17"/>
      <c r="L124" s="17">
        <f t="shared" si="10"/>
        <v>0</v>
      </c>
      <c r="M124" s="17"/>
      <c r="N124" s="21">
        <f t="shared" si="12"/>
        <v>0</v>
      </c>
      <c r="O124" s="17">
        <f t="shared" si="13"/>
        <v>0</v>
      </c>
      <c r="P124" s="20"/>
    </row>
    <row r="125" spans="1:16" ht="21" x14ac:dyDescent="0.5">
      <c r="A125" s="17"/>
      <c r="B125" s="18">
        <v>46367</v>
      </c>
      <c r="C125" s="17" t="str">
        <f t="shared" si="8"/>
        <v>18.4 - day 5</v>
      </c>
      <c r="D125" s="17"/>
      <c r="E125" s="17">
        <f t="shared" si="11"/>
        <v>13658</v>
      </c>
      <c r="F125" s="17"/>
      <c r="G125" s="17"/>
      <c r="H125" s="17">
        <f t="shared" si="9"/>
        <v>13658</v>
      </c>
      <c r="I125" s="17"/>
      <c r="J125" s="17"/>
      <c r="K125" s="17"/>
      <c r="L125" s="17">
        <f t="shared" si="10"/>
        <v>0</v>
      </c>
      <c r="M125" s="17"/>
      <c r="N125" s="21">
        <f t="shared" si="12"/>
        <v>0</v>
      </c>
      <c r="O125" s="17">
        <f t="shared" si="13"/>
        <v>0</v>
      </c>
      <c r="P125" s="20"/>
    </row>
    <row r="126" spans="1:16" ht="21" x14ac:dyDescent="0.5">
      <c r="A126" s="17"/>
      <c r="B126" s="18">
        <v>46368</v>
      </c>
      <c r="C126" s="17" t="str">
        <f t="shared" si="8"/>
        <v>18.5 - day 6</v>
      </c>
      <c r="D126" s="17"/>
      <c r="E126" s="17">
        <f t="shared" si="11"/>
        <v>13658</v>
      </c>
      <c r="F126" s="17"/>
      <c r="G126" s="17"/>
      <c r="H126" s="17">
        <f t="shared" si="9"/>
        <v>13658</v>
      </c>
      <c r="I126" s="17"/>
      <c r="J126" s="17"/>
      <c r="K126" s="17"/>
      <c r="L126" s="17">
        <f t="shared" si="10"/>
        <v>0</v>
      </c>
      <c r="M126" s="17"/>
      <c r="N126" s="21">
        <f t="shared" si="12"/>
        <v>0</v>
      </c>
      <c r="O126" s="17">
        <f t="shared" si="13"/>
        <v>0</v>
      </c>
      <c r="P126" s="20"/>
    </row>
    <row r="127" spans="1:16" ht="21" x14ac:dyDescent="0.5">
      <c r="A127" s="17"/>
      <c r="B127" s="18">
        <v>46369</v>
      </c>
      <c r="C127" s="17" t="str">
        <f t="shared" si="8"/>
        <v>18.6 - day 7</v>
      </c>
      <c r="D127" s="17"/>
      <c r="E127" s="17">
        <f t="shared" si="11"/>
        <v>13658</v>
      </c>
      <c r="F127" s="17"/>
      <c r="G127" s="17"/>
      <c r="H127" s="17">
        <f t="shared" si="9"/>
        <v>13658</v>
      </c>
      <c r="I127" s="17"/>
      <c r="J127" s="17"/>
      <c r="K127" s="17"/>
      <c r="L127" s="17">
        <f t="shared" si="10"/>
        <v>0</v>
      </c>
      <c r="M127" s="17"/>
      <c r="N127" s="21">
        <f t="shared" si="12"/>
        <v>0</v>
      </c>
      <c r="O127" s="17">
        <f t="shared" si="13"/>
        <v>0</v>
      </c>
      <c r="P127" s="20"/>
    </row>
    <row r="128" spans="1:16" ht="21" x14ac:dyDescent="0.5">
      <c r="A128" s="17"/>
      <c r="B128" s="18">
        <v>46370</v>
      </c>
      <c r="C128" s="17" t="str">
        <f t="shared" si="8"/>
        <v>19.0 - day 1</v>
      </c>
      <c r="D128" s="17"/>
      <c r="E128" s="17">
        <f t="shared" si="11"/>
        <v>13658</v>
      </c>
      <c r="F128" s="17"/>
      <c r="G128" s="17"/>
      <c r="H128" s="17">
        <f t="shared" si="9"/>
        <v>13658</v>
      </c>
      <c r="I128" s="17"/>
      <c r="J128" s="17"/>
      <c r="K128" s="17"/>
      <c r="L128" s="17">
        <f t="shared" si="10"/>
        <v>0</v>
      </c>
      <c r="M128" s="17"/>
      <c r="N128" s="21">
        <f t="shared" si="12"/>
        <v>0</v>
      </c>
      <c r="O128" s="17">
        <f t="shared" si="13"/>
        <v>0</v>
      </c>
      <c r="P128" s="20"/>
    </row>
    <row r="129" spans="1:16" ht="21" x14ac:dyDescent="0.5">
      <c r="A129" s="17"/>
      <c r="B129" s="18">
        <v>46371</v>
      </c>
      <c r="C129" s="17" t="str">
        <f t="shared" si="8"/>
        <v>19.1 - day 2</v>
      </c>
      <c r="D129" s="17"/>
      <c r="E129" s="17">
        <f t="shared" si="11"/>
        <v>13658</v>
      </c>
      <c r="F129" s="17">
        <v>6</v>
      </c>
      <c r="G129" s="17">
        <v>1</v>
      </c>
      <c r="H129" s="17">
        <f t="shared" si="9"/>
        <v>13651</v>
      </c>
      <c r="I129" s="17"/>
      <c r="J129" s="17">
        <v>600</v>
      </c>
      <c r="K129" s="17">
        <v>5</v>
      </c>
      <c r="L129" s="17">
        <f t="shared" si="10"/>
        <v>4.4319097502014504</v>
      </c>
      <c r="M129" s="17"/>
      <c r="N129" s="21">
        <f t="shared" si="12"/>
        <v>4.4319097502014504</v>
      </c>
      <c r="O129" s="17">
        <f t="shared" si="13"/>
        <v>0</v>
      </c>
      <c r="P129" s="20"/>
    </row>
    <row r="130" spans="1:16" ht="21" x14ac:dyDescent="0.5">
      <c r="A130" s="17"/>
      <c r="B130" s="18">
        <v>46372</v>
      </c>
      <c r="C130" s="17" t="str">
        <f t="shared" si="8"/>
        <v>19.2 - day 3</v>
      </c>
      <c r="D130" s="17"/>
      <c r="E130" s="17">
        <f t="shared" si="11"/>
        <v>13651</v>
      </c>
      <c r="F130" s="17">
        <v>13</v>
      </c>
      <c r="G130" s="17">
        <v>0</v>
      </c>
      <c r="H130" s="17">
        <f t="shared" si="9"/>
        <v>13638</v>
      </c>
      <c r="I130" s="17"/>
      <c r="J130" s="17">
        <v>800</v>
      </c>
      <c r="K130" s="17">
        <v>9</v>
      </c>
      <c r="L130" s="17">
        <f t="shared" si="10"/>
        <v>5.9319548320868165</v>
      </c>
      <c r="M130" s="17"/>
      <c r="N130" s="21">
        <f t="shared" si="12"/>
        <v>5.9319548320868165</v>
      </c>
      <c r="O130" s="17">
        <f t="shared" si="13"/>
        <v>0</v>
      </c>
      <c r="P130" s="20"/>
    </row>
    <row r="131" spans="1:16" ht="21" x14ac:dyDescent="0.5">
      <c r="A131" s="17"/>
      <c r="B131" s="18">
        <v>46373</v>
      </c>
      <c r="C131" s="17" t="str">
        <f t="shared" si="8"/>
        <v>19.3 - day 4</v>
      </c>
      <c r="D131" s="17"/>
      <c r="E131" s="17">
        <f t="shared" si="11"/>
        <v>13638</v>
      </c>
      <c r="F131" s="17">
        <v>34</v>
      </c>
      <c r="G131" s="17">
        <v>0</v>
      </c>
      <c r="H131" s="17">
        <f t="shared" si="9"/>
        <v>13604</v>
      </c>
      <c r="I131" s="17"/>
      <c r="J131" s="17">
        <v>1500</v>
      </c>
      <c r="K131" s="17">
        <v>16</v>
      </c>
      <c r="L131" s="17">
        <f t="shared" si="10"/>
        <v>11.143781240811526</v>
      </c>
      <c r="M131" s="17"/>
      <c r="N131" s="21">
        <f t="shared" si="12"/>
        <v>11.143781240811526</v>
      </c>
      <c r="O131" s="17">
        <f t="shared" si="13"/>
        <v>0</v>
      </c>
      <c r="P131" s="20"/>
    </row>
    <row r="132" spans="1:16" ht="21" x14ac:dyDescent="0.5">
      <c r="A132" s="17"/>
      <c r="B132" s="18">
        <v>46374</v>
      </c>
      <c r="C132" s="17" t="str">
        <f t="shared" ref="C132:C195" si="14">(QUOTIENT(ROW()-2,7)+1)&amp;"."&amp;MOD(ROW()-2,7)&amp;" - day "&amp;(MOD(ROW()-2,7)+1)</f>
        <v>19.4 - day 5</v>
      </c>
      <c r="D132" s="17"/>
      <c r="E132" s="17">
        <f t="shared" si="11"/>
        <v>13604</v>
      </c>
      <c r="F132" s="17">
        <v>54</v>
      </c>
      <c r="G132" s="17">
        <v>0</v>
      </c>
      <c r="H132" s="17">
        <f t="shared" ref="H132:H195" si="15">SUM(E132-F132-G132)</f>
        <v>13550</v>
      </c>
      <c r="I132" s="17"/>
      <c r="J132" s="17">
        <v>2344</v>
      </c>
      <c r="K132" s="17">
        <v>3</v>
      </c>
      <c r="L132" s="17">
        <f t="shared" ref="L132:L195" si="16">SUM(J132+K132)/H132*100</f>
        <v>17.321033210332104</v>
      </c>
      <c r="M132" s="17"/>
      <c r="N132" s="21">
        <f t="shared" si="12"/>
        <v>17.321033210332104</v>
      </c>
      <c r="O132" s="17">
        <f t="shared" si="13"/>
        <v>0</v>
      </c>
      <c r="P132" s="20"/>
    </row>
    <row r="133" spans="1:16" ht="21" x14ac:dyDescent="0.5">
      <c r="A133" s="17"/>
      <c r="B133" s="18">
        <v>46375</v>
      </c>
      <c r="C133" s="17" t="str">
        <f t="shared" si="14"/>
        <v>19.5 - day 6</v>
      </c>
      <c r="D133" s="17"/>
      <c r="E133" s="17">
        <f t="shared" si="11"/>
        <v>13550</v>
      </c>
      <c r="F133" s="17">
        <v>23</v>
      </c>
      <c r="G133" s="17">
        <v>0</v>
      </c>
      <c r="H133" s="17">
        <f t="shared" si="15"/>
        <v>13527</v>
      </c>
      <c r="I133" s="17"/>
      <c r="J133" s="17">
        <v>3234</v>
      </c>
      <c r="K133" s="17">
        <v>1</v>
      </c>
      <c r="L133" s="17">
        <f t="shared" si="16"/>
        <v>23.915132697567827</v>
      </c>
      <c r="M133" s="17"/>
      <c r="N133" s="21">
        <f t="shared" si="12"/>
        <v>23.915132697567827</v>
      </c>
      <c r="O133" s="17">
        <f t="shared" si="13"/>
        <v>0</v>
      </c>
      <c r="P133" s="20"/>
    </row>
    <row r="134" spans="1:16" ht="21" x14ac:dyDescent="0.5">
      <c r="A134" s="17"/>
      <c r="B134" s="18">
        <v>46376</v>
      </c>
      <c r="C134" s="17" t="str">
        <f t="shared" si="14"/>
        <v>19.6 - day 7</v>
      </c>
      <c r="D134" s="17"/>
      <c r="E134" s="17">
        <f t="shared" ref="E134:E197" si="17">H133</f>
        <v>13527</v>
      </c>
      <c r="F134" s="17">
        <v>34</v>
      </c>
      <c r="G134" s="17">
        <v>0</v>
      </c>
      <c r="H134" s="17">
        <f t="shared" si="15"/>
        <v>13493</v>
      </c>
      <c r="I134" s="17"/>
      <c r="J134" s="17">
        <v>4322</v>
      </c>
      <c r="K134" s="17">
        <v>0</v>
      </c>
      <c r="L134" s="17">
        <f t="shared" si="16"/>
        <v>32.03142370117839</v>
      </c>
      <c r="M134" s="17"/>
      <c r="N134" s="21">
        <f t="shared" si="12"/>
        <v>32.03142370117839</v>
      </c>
      <c r="O134" s="17">
        <f t="shared" si="13"/>
        <v>0</v>
      </c>
      <c r="P134" s="20"/>
    </row>
    <row r="135" spans="1:16" ht="21" x14ac:dyDescent="0.5">
      <c r="A135" s="17"/>
      <c r="B135" s="18">
        <v>46377</v>
      </c>
      <c r="C135" s="17" t="str">
        <f t="shared" si="14"/>
        <v>20.0 - day 1</v>
      </c>
      <c r="D135" s="17"/>
      <c r="E135" s="17">
        <f t="shared" si="17"/>
        <v>13493</v>
      </c>
      <c r="F135" s="17">
        <v>54</v>
      </c>
      <c r="G135" s="17">
        <v>3</v>
      </c>
      <c r="H135" s="17">
        <f t="shared" si="15"/>
        <v>13436</v>
      </c>
      <c r="I135" s="17"/>
      <c r="J135" s="17">
        <v>2344</v>
      </c>
      <c r="K135" s="17">
        <v>0</v>
      </c>
      <c r="L135" s="17">
        <f t="shared" si="16"/>
        <v>17.445668353676687</v>
      </c>
      <c r="M135" s="17"/>
      <c r="N135" s="21">
        <f t="shared" si="12"/>
        <v>17.445668353676687</v>
      </c>
      <c r="O135" s="17">
        <f t="shared" si="13"/>
        <v>0</v>
      </c>
      <c r="P135" s="20"/>
    </row>
    <row r="136" spans="1:16" ht="21" x14ac:dyDescent="0.5">
      <c r="A136" s="17"/>
      <c r="B136" s="18">
        <v>46378</v>
      </c>
      <c r="C136" s="17" t="str">
        <f t="shared" si="14"/>
        <v>20.1 - day 2</v>
      </c>
      <c r="D136" s="17"/>
      <c r="E136" s="17">
        <f t="shared" si="17"/>
        <v>13436</v>
      </c>
      <c r="F136" s="17"/>
      <c r="G136" s="17">
        <v>0</v>
      </c>
      <c r="H136" s="17">
        <f t="shared" si="15"/>
        <v>13436</v>
      </c>
      <c r="I136" s="17"/>
      <c r="J136" s="17"/>
      <c r="K136" s="17"/>
      <c r="L136" s="17">
        <f t="shared" si="16"/>
        <v>0</v>
      </c>
      <c r="M136" s="17"/>
      <c r="N136" s="21">
        <f t="shared" si="12"/>
        <v>0</v>
      </c>
      <c r="O136" s="17">
        <f t="shared" si="13"/>
        <v>0</v>
      </c>
      <c r="P136" s="20"/>
    </row>
    <row r="137" spans="1:16" ht="21" x14ac:dyDescent="0.5">
      <c r="A137" s="17"/>
      <c r="B137" s="18">
        <v>46379</v>
      </c>
      <c r="C137" s="17" t="str">
        <f t="shared" si="14"/>
        <v>20.2 - day 3</v>
      </c>
      <c r="D137" s="17"/>
      <c r="E137" s="17">
        <f t="shared" si="17"/>
        <v>13436</v>
      </c>
      <c r="F137" s="17"/>
      <c r="G137" s="17"/>
      <c r="H137" s="17">
        <f t="shared" si="15"/>
        <v>13436</v>
      </c>
      <c r="I137" s="17"/>
      <c r="J137" s="17"/>
      <c r="K137" s="17"/>
      <c r="L137" s="17">
        <f t="shared" si="16"/>
        <v>0</v>
      </c>
      <c r="M137" s="17"/>
      <c r="N137" s="21">
        <f t="shared" si="12"/>
        <v>0</v>
      </c>
      <c r="O137" s="17">
        <f t="shared" si="13"/>
        <v>0</v>
      </c>
      <c r="P137" s="20"/>
    </row>
    <row r="138" spans="1:16" ht="21" x14ac:dyDescent="0.5">
      <c r="A138" s="17"/>
      <c r="B138" s="18">
        <v>46380</v>
      </c>
      <c r="C138" s="17" t="str">
        <f t="shared" si="14"/>
        <v>20.3 - day 4</v>
      </c>
      <c r="D138" s="17"/>
      <c r="E138" s="17">
        <f t="shared" si="17"/>
        <v>13436</v>
      </c>
      <c r="F138" s="17"/>
      <c r="G138" s="17"/>
      <c r="H138" s="17">
        <f t="shared" si="15"/>
        <v>13436</v>
      </c>
      <c r="I138" s="17"/>
      <c r="J138" s="17"/>
      <c r="K138" s="17"/>
      <c r="L138" s="17">
        <f t="shared" si="16"/>
        <v>0</v>
      </c>
      <c r="M138" s="17"/>
      <c r="N138" s="21">
        <f t="shared" si="12"/>
        <v>0</v>
      </c>
      <c r="O138" s="17">
        <f t="shared" si="13"/>
        <v>0</v>
      </c>
      <c r="P138" s="20"/>
    </row>
    <row r="139" spans="1:16" ht="21" x14ac:dyDescent="0.5">
      <c r="A139" s="17"/>
      <c r="B139" s="18">
        <v>46381</v>
      </c>
      <c r="C139" s="17" t="str">
        <f t="shared" si="14"/>
        <v>20.4 - day 5</v>
      </c>
      <c r="D139" s="17"/>
      <c r="E139" s="17">
        <f t="shared" si="17"/>
        <v>13436</v>
      </c>
      <c r="F139" s="17"/>
      <c r="G139" s="17"/>
      <c r="H139" s="17">
        <f t="shared" si="15"/>
        <v>13436</v>
      </c>
      <c r="I139" s="17"/>
      <c r="J139" s="17"/>
      <c r="K139" s="17"/>
      <c r="L139" s="17">
        <f t="shared" si="16"/>
        <v>0</v>
      </c>
      <c r="M139" s="17"/>
      <c r="N139" s="21">
        <f t="shared" si="12"/>
        <v>0</v>
      </c>
      <c r="O139" s="17">
        <f t="shared" si="13"/>
        <v>0</v>
      </c>
      <c r="P139" s="20"/>
    </row>
    <row r="140" spans="1:16" ht="21" x14ac:dyDescent="0.5">
      <c r="A140" s="17"/>
      <c r="B140" s="18">
        <v>46382</v>
      </c>
      <c r="C140" s="17" t="str">
        <f t="shared" si="14"/>
        <v>20.5 - day 6</v>
      </c>
      <c r="D140" s="17"/>
      <c r="E140" s="17">
        <f t="shared" si="17"/>
        <v>13436</v>
      </c>
      <c r="F140" s="17"/>
      <c r="G140" s="17"/>
      <c r="H140" s="17">
        <f t="shared" si="15"/>
        <v>13436</v>
      </c>
      <c r="I140" s="17"/>
      <c r="J140" s="17"/>
      <c r="K140" s="17"/>
      <c r="L140" s="17">
        <f t="shared" si="16"/>
        <v>0</v>
      </c>
      <c r="M140" s="17"/>
      <c r="N140" s="21">
        <f t="shared" si="12"/>
        <v>0</v>
      </c>
      <c r="O140" s="17">
        <f t="shared" si="13"/>
        <v>0</v>
      </c>
      <c r="P140" s="20"/>
    </row>
    <row r="141" spans="1:16" ht="21" x14ac:dyDescent="0.5">
      <c r="A141" s="17"/>
      <c r="B141" s="18">
        <v>46383</v>
      </c>
      <c r="C141" s="17" t="str">
        <f t="shared" si="14"/>
        <v>20.6 - day 7</v>
      </c>
      <c r="D141" s="17"/>
      <c r="E141" s="17">
        <f t="shared" si="17"/>
        <v>13436</v>
      </c>
      <c r="F141" s="17"/>
      <c r="G141" s="17"/>
      <c r="H141" s="17">
        <f t="shared" si="15"/>
        <v>13436</v>
      </c>
      <c r="I141" s="17"/>
      <c r="J141" s="17"/>
      <c r="K141" s="17"/>
      <c r="L141" s="17">
        <f t="shared" si="16"/>
        <v>0</v>
      </c>
      <c r="M141" s="17"/>
      <c r="N141" s="21">
        <f t="shared" si="12"/>
        <v>0</v>
      </c>
      <c r="O141" s="17">
        <f t="shared" si="13"/>
        <v>0</v>
      </c>
      <c r="P141" s="20"/>
    </row>
    <row r="142" spans="1:16" ht="21" x14ac:dyDescent="0.5">
      <c r="A142" s="17"/>
      <c r="B142" s="18">
        <v>46384</v>
      </c>
      <c r="C142" s="17" t="str">
        <f t="shared" si="14"/>
        <v>21.0 - day 1</v>
      </c>
      <c r="D142" s="17"/>
      <c r="E142" s="17">
        <f t="shared" si="17"/>
        <v>13436</v>
      </c>
      <c r="F142" s="17"/>
      <c r="G142" s="17"/>
      <c r="H142" s="17">
        <f t="shared" si="15"/>
        <v>13436</v>
      </c>
      <c r="I142" s="17"/>
      <c r="J142" s="17"/>
      <c r="K142" s="17"/>
      <c r="L142" s="17">
        <f t="shared" si="16"/>
        <v>0</v>
      </c>
      <c r="M142" s="17"/>
      <c r="N142" s="21">
        <f t="shared" si="12"/>
        <v>0</v>
      </c>
      <c r="O142" s="17">
        <f t="shared" si="13"/>
        <v>0</v>
      </c>
      <c r="P142" s="20"/>
    </row>
    <row r="143" spans="1:16" ht="21" x14ac:dyDescent="0.5">
      <c r="A143" s="17"/>
      <c r="B143" s="18">
        <v>46385</v>
      </c>
      <c r="C143" s="17" t="str">
        <f t="shared" si="14"/>
        <v>21.1 - day 2</v>
      </c>
      <c r="D143" s="17"/>
      <c r="E143" s="17">
        <f t="shared" si="17"/>
        <v>13436</v>
      </c>
      <c r="F143" s="17"/>
      <c r="G143" s="17"/>
      <c r="H143" s="17">
        <f t="shared" si="15"/>
        <v>13436</v>
      </c>
      <c r="I143" s="17"/>
      <c r="J143" s="17"/>
      <c r="K143" s="17"/>
      <c r="L143" s="17">
        <f t="shared" si="16"/>
        <v>0</v>
      </c>
      <c r="M143" s="17"/>
      <c r="N143" s="21">
        <f t="shared" si="12"/>
        <v>0</v>
      </c>
      <c r="O143" s="17">
        <f t="shared" si="13"/>
        <v>0</v>
      </c>
      <c r="P143" s="20"/>
    </row>
    <row r="144" spans="1:16" ht="21" x14ac:dyDescent="0.5">
      <c r="A144" s="17"/>
      <c r="B144" s="18">
        <v>46386</v>
      </c>
      <c r="C144" s="17" t="str">
        <f t="shared" si="14"/>
        <v>21.2 - day 3</v>
      </c>
      <c r="D144" s="17"/>
      <c r="E144" s="17">
        <f t="shared" si="17"/>
        <v>13436</v>
      </c>
      <c r="F144" s="17"/>
      <c r="G144" s="17"/>
      <c r="H144" s="17">
        <f t="shared" si="15"/>
        <v>13436</v>
      </c>
      <c r="I144" s="17"/>
      <c r="J144" s="17"/>
      <c r="K144" s="17"/>
      <c r="L144" s="17">
        <f t="shared" si="16"/>
        <v>0</v>
      </c>
      <c r="M144" s="17"/>
      <c r="N144" s="21">
        <f t="shared" si="12"/>
        <v>0</v>
      </c>
      <c r="O144" s="17">
        <f t="shared" si="13"/>
        <v>0</v>
      </c>
      <c r="P144" s="20"/>
    </row>
    <row r="145" spans="1:16" ht="21" x14ac:dyDescent="0.5">
      <c r="A145" s="17"/>
      <c r="B145" s="18">
        <v>46387</v>
      </c>
      <c r="C145" s="17" t="str">
        <f t="shared" si="14"/>
        <v>21.3 - day 4</v>
      </c>
      <c r="D145" s="17"/>
      <c r="E145" s="17">
        <f t="shared" si="17"/>
        <v>13436</v>
      </c>
      <c r="F145" s="17"/>
      <c r="G145" s="17"/>
      <c r="H145" s="17">
        <f t="shared" si="15"/>
        <v>13436</v>
      </c>
      <c r="I145" s="17"/>
      <c r="J145" s="17"/>
      <c r="K145" s="17"/>
      <c r="L145" s="17">
        <f t="shared" si="16"/>
        <v>0</v>
      </c>
      <c r="M145" s="17"/>
      <c r="N145" s="21">
        <f t="shared" si="12"/>
        <v>0</v>
      </c>
      <c r="O145" s="17">
        <f t="shared" si="13"/>
        <v>0</v>
      </c>
      <c r="P145" s="20"/>
    </row>
    <row r="146" spans="1:16" ht="21" x14ac:dyDescent="0.5">
      <c r="A146" s="17"/>
      <c r="B146" s="18">
        <v>46388</v>
      </c>
      <c r="C146" s="17" t="str">
        <f t="shared" si="14"/>
        <v>21.4 - day 5</v>
      </c>
      <c r="D146" s="17"/>
      <c r="E146" s="17">
        <f t="shared" si="17"/>
        <v>13436</v>
      </c>
      <c r="F146" s="17"/>
      <c r="G146" s="17"/>
      <c r="H146" s="17">
        <f t="shared" si="15"/>
        <v>13436</v>
      </c>
      <c r="I146" s="17"/>
      <c r="J146" s="17"/>
      <c r="K146" s="17"/>
      <c r="L146" s="17">
        <f t="shared" si="16"/>
        <v>0</v>
      </c>
      <c r="M146" s="17"/>
      <c r="N146" s="21">
        <f t="shared" si="12"/>
        <v>0</v>
      </c>
      <c r="O146" s="17">
        <f t="shared" si="13"/>
        <v>0</v>
      </c>
      <c r="P146" s="20"/>
    </row>
    <row r="147" spans="1:16" ht="21" x14ac:dyDescent="0.5">
      <c r="A147" s="17"/>
      <c r="B147" s="18">
        <v>46389</v>
      </c>
      <c r="C147" s="17" t="str">
        <f t="shared" si="14"/>
        <v>21.5 - day 6</v>
      </c>
      <c r="D147" s="17"/>
      <c r="E147" s="17">
        <f t="shared" si="17"/>
        <v>13436</v>
      </c>
      <c r="F147" s="17"/>
      <c r="G147" s="17"/>
      <c r="H147" s="17">
        <f t="shared" si="15"/>
        <v>13436</v>
      </c>
      <c r="I147" s="17"/>
      <c r="J147" s="17"/>
      <c r="K147" s="17"/>
      <c r="L147" s="17">
        <f t="shared" si="16"/>
        <v>0</v>
      </c>
      <c r="M147" s="17"/>
      <c r="N147" s="21">
        <f t="shared" si="12"/>
        <v>0</v>
      </c>
      <c r="O147" s="17">
        <f t="shared" si="13"/>
        <v>0</v>
      </c>
      <c r="P147" s="20"/>
    </row>
    <row r="148" spans="1:16" ht="21" x14ac:dyDescent="0.5">
      <c r="A148" s="17"/>
      <c r="B148" s="18">
        <v>46390</v>
      </c>
      <c r="C148" s="17" t="str">
        <f t="shared" si="14"/>
        <v>21.6 - day 7</v>
      </c>
      <c r="D148" s="17"/>
      <c r="E148" s="17">
        <f t="shared" si="17"/>
        <v>13436</v>
      </c>
      <c r="F148" s="17"/>
      <c r="G148" s="17"/>
      <c r="H148" s="17">
        <f t="shared" si="15"/>
        <v>13436</v>
      </c>
      <c r="I148" s="17"/>
      <c r="J148" s="17"/>
      <c r="K148" s="17"/>
      <c r="L148" s="17">
        <f t="shared" si="16"/>
        <v>0</v>
      </c>
      <c r="M148" s="17"/>
      <c r="N148" s="21">
        <f t="shared" si="12"/>
        <v>0</v>
      </c>
      <c r="O148" s="17">
        <f t="shared" si="13"/>
        <v>0</v>
      </c>
      <c r="P148" s="20"/>
    </row>
    <row r="149" spans="1:16" ht="21" x14ac:dyDescent="0.5">
      <c r="A149" s="17"/>
      <c r="B149" s="18">
        <v>46391</v>
      </c>
      <c r="C149" s="17" t="str">
        <f t="shared" si="14"/>
        <v>22.0 - day 1</v>
      </c>
      <c r="D149" s="17"/>
      <c r="E149" s="17">
        <f t="shared" si="17"/>
        <v>13436</v>
      </c>
      <c r="F149" s="17"/>
      <c r="G149" s="17"/>
      <c r="H149" s="17">
        <f t="shared" si="15"/>
        <v>13436</v>
      </c>
      <c r="I149" s="17"/>
      <c r="J149" s="17"/>
      <c r="K149" s="17"/>
      <c r="L149" s="17">
        <f t="shared" si="16"/>
        <v>0</v>
      </c>
      <c r="M149" s="17"/>
      <c r="N149" s="21">
        <f t="shared" ref="N149:N212" si="18">SUM(L149-M149)</f>
        <v>0</v>
      </c>
      <c r="O149" s="17">
        <f t="shared" ref="O149:O212" si="19">SUM(I149/H149)*1000</f>
        <v>0</v>
      </c>
      <c r="P149" s="20"/>
    </row>
    <row r="150" spans="1:16" ht="21" x14ac:dyDescent="0.5">
      <c r="A150" s="17"/>
      <c r="B150" s="18">
        <v>46392</v>
      </c>
      <c r="C150" s="17" t="str">
        <f t="shared" si="14"/>
        <v>22.1 - day 2</v>
      </c>
      <c r="D150" s="17"/>
      <c r="E150" s="17">
        <f t="shared" si="17"/>
        <v>13436</v>
      </c>
      <c r="F150" s="17"/>
      <c r="G150" s="17"/>
      <c r="H150" s="17">
        <f t="shared" si="15"/>
        <v>13436</v>
      </c>
      <c r="I150" s="17"/>
      <c r="J150" s="17"/>
      <c r="K150" s="17"/>
      <c r="L150" s="17">
        <f t="shared" si="16"/>
        <v>0</v>
      </c>
      <c r="M150" s="17"/>
      <c r="N150" s="21">
        <f t="shared" si="18"/>
        <v>0</v>
      </c>
      <c r="O150" s="17">
        <f t="shared" si="19"/>
        <v>0</v>
      </c>
      <c r="P150" s="20"/>
    </row>
    <row r="151" spans="1:16" ht="21" x14ac:dyDescent="0.5">
      <c r="A151" s="17"/>
      <c r="B151" s="18">
        <v>46393</v>
      </c>
      <c r="C151" s="17" t="str">
        <f t="shared" si="14"/>
        <v>22.2 - day 3</v>
      </c>
      <c r="D151" s="17"/>
      <c r="E151" s="17">
        <f t="shared" si="17"/>
        <v>13436</v>
      </c>
      <c r="F151" s="17"/>
      <c r="G151" s="17"/>
      <c r="H151" s="17">
        <f t="shared" si="15"/>
        <v>13436</v>
      </c>
      <c r="I151" s="17"/>
      <c r="J151" s="17"/>
      <c r="K151" s="17"/>
      <c r="L151" s="17">
        <f t="shared" si="16"/>
        <v>0</v>
      </c>
      <c r="M151" s="17"/>
      <c r="N151" s="21">
        <f t="shared" si="18"/>
        <v>0</v>
      </c>
      <c r="O151" s="17">
        <f t="shared" si="19"/>
        <v>0</v>
      </c>
      <c r="P151" s="20"/>
    </row>
    <row r="152" spans="1:16" ht="21" x14ac:dyDescent="0.5">
      <c r="A152" s="17"/>
      <c r="B152" s="18">
        <v>46394</v>
      </c>
      <c r="C152" s="17" t="str">
        <f t="shared" si="14"/>
        <v>22.3 - day 4</v>
      </c>
      <c r="D152" s="17"/>
      <c r="E152" s="17">
        <f t="shared" si="17"/>
        <v>13436</v>
      </c>
      <c r="F152" s="17"/>
      <c r="G152" s="17"/>
      <c r="H152" s="17">
        <f t="shared" si="15"/>
        <v>13436</v>
      </c>
      <c r="I152" s="17"/>
      <c r="J152" s="17"/>
      <c r="K152" s="17"/>
      <c r="L152" s="17">
        <f t="shared" si="16"/>
        <v>0</v>
      </c>
      <c r="M152" s="17"/>
      <c r="N152" s="21">
        <f t="shared" si="18"/>
        <v>0</v>
      </c>
      <c r="O152" s="17">
        <f t="shared" si="19"/>
        <v>0</v>
      </c>
      <c r="P152" s="20"/>
    </row>
    <row r="153" spans="1:16" ht="21" x14ac:dyDescent="0.5">
      <c r="A153" s="17"/>
      <c r="B153" s="18">
        <v>46395</v>
      </c>
      <c r="C153" s="17" t="str">
        <f t="shared" si="14"/>
        <v>22.4 - day 5</v>
      </c>
      <c r="D153" s="17"/>
      <c r="E153" s="17">
        <f t="shared" si="17"/>
        <v>13436</v>
      </c>
      <c r="F153" s="17"/>
      <c r="G153" s="17"/>
      <c r="H153" s="17">
        <f t="shared" si="15"/>
        <v>13436</v>
      </c>
      <c r="I153" s="17"/>
      <c r="J153" s="17"/>
      <c r="K153" s="17"/>
      <c r="L153" s="17">
        <f t="shared" si="16"/>
        <v>0</v>
      </c>
      <c r="M153" s="17"/>
      <c r="N153" s="21">
        <f t="shared" si="18"/>
        <v>0</v>
      </c>
      <c r="O153" s="17">
        <f t="shared" si="19"/>
        <v>0</v>
      </c>
      <c r="P153" s="20"/>
    </row>
    <row r="154" spans="1:16" ht="21" x14ac:dyDescent="0.5">
      <c r="A154" s="17"/>
      <c r="B154" s="18">
        <v>46396</v>
      </c>
      <c r="C154" s="17" t="str">
        <f t="shared" si="14"/>
        <v>22.5 - day 6</v>
      </c>
      <c r="D154" s="17"/>
      <c r="E154" s="17">
        <f t="shared" si="17"/>
        <v>13436</v>
      </c>
      <c r="F154" s="17"/>
      <c r="G154" s="17"/>
      <c r="H154" s="17">
        <f t="shared" si="15"/>
        <v>13436</v>
      </c>
      <c r="I154" s="17"/>
      <c r="J154" s="17"/>
      <c r="K154" s="17"/>
      <c r="L154" s="17">
        <f t="shared" si="16"/>
        <v>0</v>
      </c>
      <c r="M154" s="17"/>
      <c r="N154" s="21">
        <f t="shared" si="18"/>
        <v>0</v>
      </c>
      <c r="O154" s="17">
        <f t="shared" si="19"/>
        <v>0</v>
      </c>
      <c r="P154" s="20"/>
    </row>
    <row r="155" spans="1:16" ht="21" x14ac:dyDescent="0.5">
      <c r="A155" s="17"/>
      <c r="B155" s="18">
        <v>46397</v>
      </c>
      <c r="C155" s="17" t="str">
        <f t="shared" si="14"/>
        <v>22.6 - day 7</v>
      </c>
      <c r="D155" s="17"/>
      <c r="E155" s="17">
        <f t="shared" si="17"/>
        <v>13436</v>
      </c>
      <c r="F155" s="17"/>
      <c r="G155" s="17"/>
      <c r="H155" s="17">
        <f t="shared" si="15"/>
        <v>13436</v>
      </c>
      <c r="I155" s="17"/>
      <c r="J155" s="17"/>
      <c r="K155" s="17"/>
      <c r="L155" s="17">
        <f t="shared" si="16"/>
        <v>0</v>
      </c>
      <c r="M155" s="17"/>
      <c r="N155" s="21">
        <f t="shared" si="18"/>
        <v>0</v>
      </c>
      <c r="O155" s="17">
        <f t="shared" si="19"/>
        <v>0</v>
      </c>
      <c r="P155" s="20"/>
    </row>
    <row r="156" spans="1:16" ht="21" x14ac:dyDescent="0.5">
      <c r="A156" s="17"/>
      <c r="B156" s="18">
        <v>46398</v>
      </c>
      <c r="C156" s="17" t="str">
        <f t="shared" si="14"/>
        <v>23.0 - day 1</v>
      </c>
      <c r="D156" s="17"/>
      <c r="E156" s="17">
        <f t="shared" si="17"/>
        <v>13436</v>
      </c>
      <c r="F156" s="17"/>
      <c r="G156" s="17"/>
      <c r="H156" s="17">
        <f t="shared" si="15"/>
        <v>13436</v>
      </c>
      <c r="I156" s="17"/>
      <c r="J156" s="17"/>
      <c r="K156" s="17"/>
      <c r="L156" s="17">
        <f t="shared" si="16"/>
        <v>0</v>
      </c>
      <c r="M156" s="17"/>
      <c r="N156" s="21">
        <f t="shared" si="18"/>
        <v>0</v>
      </c>
      <c r="O156" s="17">
        <f t="shared" si="19"/>
        <v>0</v>
      </c>
      <c r="P156" s="20"/>
    </row>
    <row r="157" spans="1:16" ht="21" x14ac:dyDescent="0.5">
      <c r="A157" s="17"/>
      <c r="B157" s="18">
        <v>46399</v>
      </c>
      <c r="C157" s="17" t="str">
        <f t="shared" si="14"/>
        <v>23.1 - day 2</v>
      </c>
      <c r="D157" s="17"/>
      <c r="E157" s="17">
        <f t="shared" si="17"/>
        <v>13436</v>
      </c>
      <c r="F157" s="17"/>
      <c r="G157" s="17"/>
      <c r="H157" s="17">
        <f t="shared" si="15"/>
        <v>13436</v>
      </c>
      <c r="I157" s="17"/>
      <c r="J157" s="17"/>
      <c r="K157" s="17"/>
      <c r="L157" s="17">
        <f t="shared" si="16"/>
        <v>0</v>
      </c>
      <c r="M157" s="17"/>
      <c r="N157" s="21">
        <f t="shared" si="18"/>
        <v>0</v>
      </c>
      <c r="O157" s="17">
        <f t="shared" si="19"/>
        <v>0</v>
      </c>
      <c r="P157" s="20"/>
    </row>
    <row r="158" spans="1:16" ht="21" x14ac:dyDescent="0.5">
      <c r="A158" s="17"/>
      <c r="B158" s="18">
        <v>46400</v>
      </c>
      <c r="C158" s="17" t="str">
        <f t="shared" si="14"/>
        <v>23.2 - day 3</v>
      </c>
      <c r="D158" s="17"/>
      <c r="E158" s="17">
        <f t="shared" si="17"/>
        <v>13436</v>
      </c>
      <c r="F158" s="17"/>
      <c r="G158" s="17"/>
      <c r="H158" s="17">
        <f t="shared" si="15"/>
        <v>13436</v>
      </c>
      <c r="I158" s="17"/>
      <c r="J158" s="17"/>
      <c r="K158" s="17"/>
      <c r="L158" s="17">
        <f t="shared" si="16"/>
        <v>0</v>
      </c>
      <c r="M158" s="17"/>
      <c r="N158" s="21">
        <f t="shared" si="18"/>
        <v>0</v>
      </c>
      <c r="O158" s="17">
        <f t="shared" si="19"/>
        <v>0</v>
      </c>
      <c r="P158" s="20"/>
    </row>
    <row r="159" spans="1:16" ht="21" x14ac:dyDescent="0.5">
      <c r="A159" s="17"/>
      <c r="B159" s="18">
        <v>46401</v>
      </c>
      <c r="C159" s="17" t="str">
        <f t="shared" si="14"/>
        <v>23.3 - day 4</v>
      </c>
      <c r="D159" s="17"/>
      <c r="E159" s="17">
        <f t="shared" si="17"/>
        <v>13436</v>
      </c>
      <c r="F159" s="17"/>
      <c r="G159" s="17"/>
      <c r="H159" s="17">
        <f t="shared" si="15"/>
        <v>13436</v>
      </c>
      <c r="I159" s="17"/>
      <c r="J159" s="17"/>
      <c r="K159" s="17"/>
      <c r="L159" s="17">
        <f t="shared" si="16"/>
        <v>0</v>
      </c>
      <c r="M159" s="17"/>
      <c r="N159" s="21">
        <f t="shared" si="18"/>
        <v>0</v>
      </c>
      <c r="O159" s="17">
        <f t="shared" si="19"/>
        <v>0</v>
      </c>
      <c r="P159" s="20"/>
    </row>
    <row r="160" spans="1:16" ht="21" x14ac:dyDescent="0.5">
      <c r="A160" s="17"/>
      <c r="B160" s="18">
        <v>46402</v>
      </c>
      <c r="C160" s="17" t="str">
        <f t="shared" si="14"/>
        <v>23.4 - day 5</v>
      </c>
      <c r="D160" s="17"/>
      <c r="E160" s="17">
        <f t="shared" si="17"/>
        <v>13436</v>
      </c>
      <c r="F160" s="17"/>
      <c r="G160" s="17"/>
      <c r="H160" s="17">
        <f t="shared" si="15"/>
        <v>13436</v>
      </c>
      <c r="I160" s="17"/>
      <c r="J160" s="17"/>
      <c r="K160" s="17"/>
      <c r="L160" s="17">
        <f t="shared" si="16"/>
        <v>0</v>
      </c>
      <c r="M160" s="17"/>
      <c r="N160" s="21">
        <f t="shared" si="18"/>
        <v>0</v>
      </c>
      <c r="O160" s="17">
        <f t="shared" si="19"/>
        <v>0</v>
      </c>
      <c r="P160" s="20"/>
    </row>
    <row r="161" spans="1:16" ht="21" x14ac:dyDescent="0.5">
      <c r="A161" s="17"/>
      <c r="B161" s="18">
        <v>46403</v>
      </c>
      <c r="C161" s="17" t="str">
        <f t="shared" si="14"/>
        <v>23.5 - day 6</v>
      </c>
      <c r="D161" s="17"/>
      <c r="E161" s="17">
        <f t="shared" si="17"/>
        <v>13436</v>
      </c>
      <c r="F161" s="17"/>
      <c r="G161" s="17"/>
      <c r="H161" s="17">
        <f t="shared" si="15"/>
        <v>13436</v>
      </c>
      <c r="I161" s="17"/>
      <c r="J161" s="17"/>
      <c r="K161" s="17"/>
      <c r="L161" s="17">
        <f t="shared" si="16"/>
        <v>0</v>
      </c>
      <c r="M161" s="17"/>
      <c r="N161" s="21">
        <f t="shared" si="18"/>
        <v>0</v>
      </c>
      <c r="O161" s="17">
        <f t="shared" si="19"/>
        <v>0</v>
      </c>
      <c r="P161" s="20"/>
    </row>
    <row r="162" spans="1:16" ht="21" x14ac:dyDescent="0.5">
      <c r="A162" s="17"/>
      <c r="B162" s="18">
        <v>46404</v>
      </c>
      <c r="C162" s="17" t="str">
        <f t="shared" si="14"/>
        <v>23.6 - day 7</v>
      </c>
      <c r="D162" s="17"/>
      <c r="E162" s="17">
        <f t="shared" si="17"/>
        <v>13436</v>
      </c>
      <c r="F162" s="17"/>
      <c r="G162" s="17"/>
      <c r="H162" s="17">
        <f t="shared" si="15"/>
        <v>13436</v>
      </c>
      <c r="I162" s="17"/>
      <c r="J162" s="17"/>
      <c r="K162" s="17"/>
      <c r="L162" s="17">
        <f t="shared" si="16"/>
        <v>0</v>
      </c>
      <c r="M162" s="17"/>
      <c r="N162" s="21">
        <f t="shared" si="18"/>
        <v>0</v>
      </c>
      <c r="O162" s="17">
        <f t="shared" si="19"/>
        <v>0</v>
      </c>
      <c r="P162" s="20"/>
    </row>
    <row r="163" spans="1:16" ht="21" x14ac:dyDescent="0.5">
      <c r="A163" s="17"/>
      <c r="B163" s="18">
        <v>46405</v>
      </c>
      <c r="C163" s="17" t="str">
        <f t="shared" si="14"/>
        <v>24.0 - day 1</v>
      </c>
      <c r="D163" s="17"/>
      <c r="E163" s="17">
        <f t="shared" si="17"/>
        <v>13436</v>
      </c>
      <c r="F163" s="17"/>
      <c r="G163" s="17"/>
      <c r="H163" s="17">
        <f t="shared" si="15"/>
        <v>13436</v>
      </c>
      <c r="I163" s="17"/>
      <c r="J163" s="17"/>
      <c r="K163" s="17"/>
      <c r="L163" s="17">
        <f t="shared" si="16"/>
        <v>0</v>
      </c>
      <c r="M163" s="17"/>
      <c r="N163" s="21">
        <f t="shared" si="18"/>
        <v>0</v>
      </c>
      <c r="O163" s="17">
        <f t="shared" si="19"/>
        <v>0</v>
      </c>
      <c r="P163" s="20"/>
    </row>
    <row r="164" spans="1:16" ht="21" x14ac:dyDescent="0.5">
      <c r="A164" s="17"/>
      <c r="B164" s="18">
        <v>46406</v>
      </c>
      <c r="C164" s="17" t="str">
        <f t="shared" si="14"/>
        <v>24.1 - day 2</v>
      </c>
      <c r="D164" s="17"/>
      <c r="E164" s="17">
        <f t="shared" si="17"/>
        <v>13436</v>
      </c>
      <c r="F164" s="17"/>
      <c r="G164" s="17"/>
      <c r="H164" s="17">
        <f t="shared" si="15"/>
        <v>13436</v>
      </c>
      <c r="I164" s="17"/>
      <c r="J164" s="17"/>
      <c r="K164" s="17"/>
      <c r="L164" s="17">
        <f t="shared" si="16"/>
        <v>0</v>
      </c>
      <c r="M164" s="17"/>
      <c r="N164" s="21">
        <f t="shared" si="18"/>
        <v>0</v>
      </c>
      <c r="O164" s="17">
        <f t="shared" si="19"/>
        <v>0</v>
      </c>
      <c r="P164" s="20"/>
    </row>
    <row r="165" spans="1:16" ht="21" x14ac:dyDescent="0.5">
      <c r="A165" s="17"/>
      <c r="B165" s="18">
        <v>46407</v>
      </c>
      <c r="C165" s="17" t="str">
        <f t="shared" si="14"/>
        <v>24.2 - day 3</v>
      </c>
      <c r="D165" s="17"/>
      <c r="E165" s="17">
        <f t="shared" si="17"/>
        <v>13436</v>
      </c>
      <c r="F165" s="17"/>
      <c r="G165" s="17"/>
      <c r="H165" s="17">
        <f t="shared" si="15"/>
        <v>13436</v>
      </c>
      <c r="I165" s="17"/>
      <c r="J165" s="17"/>
      <c r="K165" s="17"/>
      <c r="L165" s="17">
        <f t="shared" si="16"/>
        <v>0</v>
      </c>
      <c r="M165" s="17"/>
      <c r="N165" s="21">
        <f t="shared" si="18"/>
        <v>0</v>
      </c>
      <c r="O165" s="17">
        <f t="shared" si="19"/>
        <v>0</v>
      </c>
      <c r="P165" s="20"/>
    </row>
    <row r="166" spans="1:16" ht="21" x14ac:dyDescent="0.5">
      <c r="A166" s="17"/>
      <c r="B166" s="18">
        <v>46408</v>
      </c>
      <c r="C166" s="17" t="str">
        <f t="shared" si="14"/>
        <v>24.3 - day 4</v>
      </c>
      <c r="D166" s="17"/>
      <c r="E166" s="17">
        <f t="shared" si="17"/>
        <v>13436</v>
      </c>
      <c r="F166" s="17"/>
      <c r="G166" s="17"/>
      <c r="H166" s="17">
        <f t="shared" si="15"/>
        <v>13436</v>
      </c>
      <c r="I166" s="17"/>
      <c r="J166" s="17"/>
      <c r="K166" s="17"/>
      <c r="L166" s="17">
        <f t="shared" si="16"/>
        <v>0</v>
      </c>
      <c r="M166" s="17"/>
      <c r="N166" s="21">
        <f t="shared" si="18"/>
        <v>0</v>
      </c>
      <c r="O166" s="17">
        <f t="shared" si="19"/>
        <v>0</v>
      </c>
      <c r="P166" s="20"/>
    </row>
    <row r="167" spans="1:16" ht="21" x14ac:dyDescent="0.5">
      <c r="A167" s="17"/>
      <c r="B167" s="18">
        <v>46409</v>
      </c>
      <c r="C167" s="17" t="str">
        <f t="shared" si="14"/>
        <v>24.4 - day 5</v>
      </c>
      <c r="D167" s="17"/>
      <c r="E167" s="17">
        <f t="shared" si="17"/>
        <v>13436</v>
      </c>
      <c r="F167" s="17"/>
      <c r="G167" s="17"/>
      <c r="H167" s="17">
        <f t="shared" si="15"/>
        <v>13436</v>
      </c>
      <c r="I167" s="17"/>
      <c r="J167" s="17"/>
      <c r="K167" s="17"/>
      <c r="L167" s="17">
        <f t="shared" si="16"/>
        <v>0</v>
      </c>
      <c r="M167" s="17"/>
      <c r="N167" s="21">
        <f t="shared" si="18"/>
        <v>0</v>
      </c>
      <c r="O167" s="17">
        <f t="shared" si="19"/>
        <v>0</v>
      </c>
      <c r="P167" s="20"/>
    </row>
    <row r="168" spans="1:16" ht="21" x14ac:dyDescent="0.5">
      <c r="A168" s="17"/>
      <c r="B168" s="18">
        <v>46410</v>
      </c>
      <c r="C168" s="17" t="str">
        <f t="shared" si="14"/>
        <v>24.5 - day 6</v>
      </c>
      <c r="D168" s="17"/>
      <c r="E168" s="17">
        <f t="shared" si="17"/>
        <v>13436</v>
      </c>
      <c r="F168" s="17"/>
      <c r="G168" s="17"/>
      <c r="H168" s="17">
        <f t="shared" si="15"/>
        <v>13436</v>
      </c>
      <c r="I168" s="17"/>
      <c r="J168" s="17"/>
      <c r="K168" s="17"/>
      <c r="L168" s="17">
        <f t="shared" si="16"/>
        <v>0</v>
      </c>
      <c r="M168" s="17"/>
      <c r="N168" s="21">
        <f t="shared" si="18"/>
        <v>0</v>
      </c>
      <c r="O168" s="17">
        <f t="shared" si="19"/>
        <v>0</v>
      </c>
      <c r="P168" s="20"/>
    </row>
    <row r="169" spans="1:16" ht="21" x14ac:dyDescent="0.5">
      <c r="A169" s="17"/>
      <c r="B169" s="18">
        <v>46411</v>
      </c>
      <c r="C169" s="17" t="str">
        <f t="shared" si="14"/>
        <v>24.6 - day 7</v>
      </c>
      <c r="D169" s="17"/>
      <c r="E169" s="17">
        <f t="shared" si="17"/>
        <v>13436</v>
      </c>
      <c r="F169" s="17"/>
      <c r="G169" s="17"/>
      <c r="H169" s="17">
        <f t="shared" si="15"/>
        <v>13436</v>
      </c>
      <c r="I169" s="17"/>
      <c r="J169" s="17"/>
      <c r="K169" s="17"/>
      <c r="L169" s="17">
        <f t="shared" si="16"/>
        <v>0</v>
      </c>
      <c r="M169" s="17"/>
      <c r="N169" s="21">
        <f t="shared" si="18"/>
        <v>0</v>
      </c>
      <c r="O169" s="17">
        <f t="shared" si="19"/>
        <v>0</v>
      </c>
      <c r="P169" s="20"/>
    </row>
    <row r="170" spans="1:16" ht="21" x14ac:dyDescent="0.5">
      <c r="A170" s="17"/>
      <c r="B170" s="18">
        <v>46412</v>
      </c>
      <c r="C170" s="17" t="str">
        <f t="shared" si="14"/>
        <v>25.0 - day 1</v>
      </c>
      <c r="D170" s="17"/>
      <c r="E170" s="17">
        <f t="shared" si="17"/>
        <v>13436</v>
      </c>
      <c r="F170" s="17"/>
      <c r="G170" s="17"/>
      <c r="H170" s="17">
        <f t="shared" si="15"/>
        <v>13436</v>
      </c>
      <c r="I170" s="17"/>
      <c r="J170" s="17"/>
      <c r="K170" s="17"/>
      <c r="L170" s="17">
        <f t="shared" si="16"/>
        <v>0</v>
      </c>
      <c r="M170" s="17"/>
      <c r="N170" s="21">
        <f t="shared" si="18"/>
        <v>0</v>
      </c>
      <c r="O170" s="17">
        <f t="shared" si="19"/>
        <v>0</v>
      </c>
      <c r="P170" s="20"/>
    </row>
    <row r="171" spans="1:16" ht="21" x14ac:dyDescent="0.5">
      <c r="A171" s="17"/>
      <c r="B171" s="18">
        <v>46413</v>
      </c>
      <c r="C171" s="17" t="str">
        <f t="shared" si="14"/>
        <v>25.1 - day 2</v>
      </c>
      <c r="D171" s="17"/>
      <c r="E171" s="17">
        <f t="shared" si="17"/>
        <v>13436</v>
      </c>
      <c r="F171" s="17"/>
      <c r="G171" s="17"/>
      <c r="H171" s="17">
        <f t="shared" si="15"/>
        <v>13436</v>
      </c>
      <c r="I171" s="17"/>
      <c r="J171" s="17"/>
      <c r="K171" s="17"/>
      <c r="L171" s="17">
        <f t="shared" si="16"/>
        <v>0</v>
      </c>
      <c r="M171" s="17"/>
      <c r="N171" s="21">
        <f t="shared" si="18"/>
        <v>0</v>
      </c>
      <c r="O171" s="17">
        <f t="shared" si="19"/>
        <v>0</v>
      </c>
      <c r="P171" s="20"/>
    </row>
    <row r="172" spans="1:16" ht="21" x14ac:dyDescent="0.5">
      <c r="A172" s="17"/>
      <c r="B172" s="18">
        <v>46414</v>
      </c>
      <c r="C172" s="17" t="str">
        <f t="shared" si="14"/>
        <v>25.2 - day 3</v>
      </c>
      <c r="D172" s="17"/>
      <c r="E172" s="17">
        <f t="shared" si="17"/>
        <v>13436</v>
      </c>
      <c r="F172" s="17"/>
      <c r="G172" s="17"/>
      <c r="H172" s="17">
        <f t="shared" si="15"/>
        <v>13436</v>
      </c>
      <c r="I172" s="17"/>
      <c r="J172" s="17"/>
      <c r="K172" s="17"/>
      <c r="L172" s="17">
        <f t="shared" si="16"/>
        <v>0</v>
      </c>
      <c r="M172" s="17"/>
      <c r="N172" s="21">
        <f t="shared" si="18"/>
        <v>0</v>
      </c>
      <c r="O172" s="17">
        <f t="shared" si="19"/>
        <v>0</v>
      </c>
      <c r="P172" s="20"/>
    </row>
    <row r="173" spans="1:16" ht="21" x14ac:dyDescent="0.5">
      <c r="A173" s="17"/>
      <c r="B173" s="18">
        <v>46415</v>
      </c>
      <c r="C173" s="17" t="str">
        <f t="shared" si="14"/>
        <v>25.3 - day 4</v>
      </c>
      <c r="D173" s="17"/>
      <c r="E173" s="17">
        <f t="shared" si="17"/>
        <v>13436</v>
      </c>
      <c r="F173" s="17"/>
      <c r="G173" s="17"/>
      <c r="H173" s="17">
        <f t="shared" si="15"/>
        <v>13436</v>
      </c>
      <c r="I173" s="17"/>
      <c r="J173" s="17"/>
      <c r="K173" s="17"/>
      <c r="L173" s="17">
        <f t="shared" si="16"/>
        <v>0</v>
      </c>
      <c r="M173" s="17"/>
      <c r="N173" s="21">
        <f t="shared" si="18"/>
        <v>0</v>
      </c>
      <c r="O173" s="17">
        <f t="shared" si="19"/>
        <v>0</v>
      </c>
      <c r="P173" s="20"/>
    </row>
    <row r="174" spans="1:16" ht="21" x14ac:dyDescent="0.5">
      <c r="A174" s="17"/>
      <c r="B174" s="18">
        <v>46416</v>
      </c>
      <c r="C174" s="17" t="str">
        <f t="shared" si="14"/>
        <v>25.4 - day 5</v>
      </c>
      <c r="D174" s="17"/>
      <c r="E174" s="17">
        <f t="shared" si="17"/>
        <v>13436</v>
      </c>
      <c r="F174" s="17"/>
      <c r="G174" s="17"/>
      <c r="H174" s="17">
        <f t="shared" si="15"/>
        <v>13436</v>
      </c>
      <c r="I174" s="17"/>
      <c r="J174" s="17"/>
      <c r="K174" s="17"/>
      <c r="L174" s="17">
        <f t="shared" si="16"/>
        <v>0</v>
      </c>
      <c r="M174" s="17"/>
      <c r="N174" s="21">
        <f t="shared" si="18"/>
        <v>0</v>
      </c>
      <c r="O174" s="17">
        <f t="shared" si="19"/>
        <v>0</v>
      </c>
      <c r="P174" s="20"/>
    </row>
    <row r="175" spans="1:16" ht="21" x14ac:dyDescent="0.5">
      <c r="A175" s="17"/>
      <c r="B175" s="18">
        <v>46417</v>
      </c>
      <c r="C175" s="17" t="str">
        <f t="shared" si="14"/>
        <v>25.5 - day 6</v>
      </c>
      <c r="D175" s="17"/>
      <c r="E175" s="17">
        <f t="shared" si="17"/>
        <v>13436</v>
      </c>
      <c r="F175" s="17"/>
      <c r="G175" s="17"/>
      <c r="H175" s="17">
        <f t="shared" si="15"/>
        <v>13436</v>
      </c>
      <c r="I175" s="17"/>
      <c r="J175" s="17"/>
      <c r="K175" s="17"/>
      <c r="L175" s="17">
        <f t="shared" si="16"/>
        <v>0</v>
      </c>
      <c r="M175" s="17"/>
      <c r="N175" s="21">
        <f t="shared" si="18"/>
        <v>0</v>
      </c>
      <c r="O175" s="17">
        <f t="shared" si="19"/>
        <v>0</v>
      </c>
      <c r="P175" s="20"/>
    </row>
    <row r="176" spans="1:16" ht="21" x14ac:dyDescent="0.5">
      <c r="A176" s="17"/>
      <c r="B176" s="18">
        <v>46418</v>
      </c>
      <c r="C176" s="17" t="str">
        <f t="shared" si="14"/>
        <v>25.6 - day 7</v>
      </c>
      <c r="D176" s="17"/>
      <c r="E176" s="17">
        <f t="shared" si="17"/>
        <v>13436</v>
      </c>
      <c r="F176" s="17"/>
      <c r="G176" s="17"/>
      <c r="H176" s="17">
        <f t="shared" si="15"/>
        <v>13436</v>
      </c>
      <c r="I176" s="17"/>
      <c r="J176" s="17"/>
      <c r="K176" s="17"/>
      <c r="L176" s="17">
        <f t="shared" si="16"/>
        <v>0</v>
      </c>
      <c r="M176" s="17"/>
      <c r="N176" s="21">
        <f t="shared" si="18"/>
        <v>0</v>
      </c>
      <c r="O176" s="17">
        <f t="shared" si="19"/>
        <v>0</v>
      </c>
      <c r="P176" s="20"/>
    </row>
    <row r="177" spans="1:16" ht="21" x14ac:dyDescent="0.5">
      <c r="A177" s="17"/>
      <c r="B177" s="18">
        <v>46419</v>
      </c>
      <c r="C177" s="17" t="str">
        <f t="shared" si="14"/>
        <v>26.0 - day 1</v>
      </c>
      <c r="D177" s="17"/>
      <c r="E177" s="17">
        <f t="shared" si="17"/>
        <v>13436</v>
      </c>
      <c r="F177" s="17"/>
      <c r="G177" s="17"/>
      <c r="H177" s="17">
        <f t="shared" si="15"/>
        <v>13436</v>
      </c>
      <c r="I177" s="17"/>
      <c r="J177" s="17"/>
      <c r="K177" s="17"/>
      <c r="L177" s="17">
        <f t="shared" si="16"/>
        <v>0</v>
      </c>
      <c r="M177" s="17"/>
      <c r="N177" s="21">
        <f t="shared" si="18"/>
        <v>0</v>
      </c>
      <c r="O177" s="17">
        <f t="shared" si="19"/>
        <v>0</v>
      </c>
      <c r="P177" s="20"/>
    </row>
    <row r="178" spans="1:16" ht="21" x14ac:dyDescent="0.5">
      <c r="A178" s="17"/>
      <c r="B178" s="18">
        <v>46420</v>
      </c>
      <c r="C178" s="17" t="str">
        <f t="shared" si="14"/>
        <v>26.1 - day 2</v>
      </c>
      <c r="D178" s="17"/>
      <c r="E178" s="17">
        <f t="shared" si="17"/>
        <v>13436</v>
      </c>
      <c r="F178" s="17"/>
      <c r="G178" s="17"/>
      <c r="H178" s="17">
        <f t="shared" si="15"/>
        <v>13436</v>
      </c>
      <c r="I178" s="17"/>
      <c r="J178" s="17"/>
      <c r="K178" s="17"/>
      <c r="L178" s="17">
        <f t="shared" si="16"/>
        <v>0</v>
      </c>
      <c r="M178" s="17"/>
      <c r="N178" s="21">
        <f t="shared" si="18"/>
        <v>0</v>
      </c>
      <c r="O178" s="17">
        <f t="shared" si="19"/>
        <v>0</v>
      </c>
      <c r="P178" s="20"/>
    </row>
    <row r="179" spans="1:16" ht="21" x14ac:dyDescent="0.5">
      <c r="A179" s="17"/>
      <c r="B179" s="18">
        <v>46421</v>
      </c>
      <c r="C179" s="17" t="str">
        <f t="shared" si="14"/>
        <v>26.2 - day 3</v>
      </c>
      <c r="D179" s="17"/>
      <c r="E179" s="17">
        <f t="shared" si="17"/>
        <v>13436</v>
      </c>
      <c r="F179" s="17"/>
      <c r="G179" s="17"/>
      <c r="H179" s="17">
        <f t="shared" si="15"/>
        <v>13436</v>
      </c>
      <c r="I179" s="17"/>
      <c r="J179" s="17"/>
      <c r="K179" s="17"/>
      <c r="L179" s="17">
        <f t="shared" si="16"/>
        <v>0</v>
      </c>
      <c r="M179" s="17"/>
      <c r="N179" s="21">
        <f t="shared" si="18"/>
        <v>0</v>
      </c>
      <c r="O179" s="17">
        <f t="shared" si="19"/>
        <v>0</v>
      </c>
      <c r="P179" s="20"/>
    </row>
    <row r="180" spans="1:16" ht="21" x14ac:dyDescent="0.5">
      <c r="A180" s="17"/>
      <c r="B180" s="18">
        <v>46422</v>
      </c>
      <c r="C180" s="17" t="str">
        <f t="shared" si="14"/>
        <v>26.3 - day 4</v>
      </c>
      <c r="D180" s="17"/>
      <c r="E180" s="17">
        <f t="shared" si="17"/>
        <v>13436</v>
      </c>
      <c r="F180" s="17"/>
      <c r="G180" s="17"/>
      <c r="H180" s="17">
        <f t="shared" si="15"/>
        <v>13436</v>
      </c>
      <c r="I180" s="17"/>
      <c r="J180" s="17"/>
      <c r="K180" s="17"/>
      <c r="L180" s="17">
        <f t="shared" si="16"/>
        <v>0</v>
      </c>
      <c r="M180" s="17"/>
      <c r="N180" s="21">
        <f t="shared" si="18"/>
        <v>0</v>
      </c>
      <c r="O180" s="17">
        <f t="shared" si="19"/>
        <v>0</v>
      </c>
      <c r="P180" s="20"/>
    </row>
    <row r="181" spans="1:16" ht="21" x14ac:dyDescent="0.5">
      <c r="A181" s="17"/>
      <c r="B181" s="18">
        <v>46423</v>
      </c>
      <c r="C181" s="17" t="str">
        <f t="shared" si="14"/>
        <v>26.4 - day 5</v>
      </c>
      <c r="D181" s="17"/>
      <c r="E181" s="17">
        <f t="shared" si="17"/>
        <v>13436</v>
      </c>
      <c r="F181" s="17"/>
      <c r="G181" s="17"/>
      <c r="H181" s="17">
        <f t="shared" si="15"/>
        <v>13436</v>
      </c>
      <c r="I181" s="17"/>
      <c r="J181" s="17"/>
      <c r="K181" s="17"/>
      <c r="L181" s="17">
        <f t="shared" si="16"/>
        <v>0</v>
      </c>
      <c r="M181" s="17"/>
      <c r="N181" s="21">
        <f t="shared" si="18"/>
        <v>0</v>
      </c>
      <c r="O181" s="17">
        <f t="shared" si="19"/>
        <v>0</v>
      </c>
      <c r="P181" s="20"/>
    </row>
    <row r="182" spans="1:16" ht="21" x14ac:dyDescent="0.5">
      <c r="A182" s="17"/>
      <c r="B182" s="18">
        <v>46424</v>
      </c>
      <c r="C182" s="17" t="str">
        <f t="shared" si="14"/>
        <v>26.5 - day 6</v>
      </c>
      <c r="D182" s="17"/>
      <c r="E182" s="17">
        <f t="shared" si="17"/>
        <v>13436</v>
      </c>
      <c r="F182" s="17"/>
      <c r="G182" s="17"/>
      <c r="H182" s="17">
        <f t="shared" si="15"/>
        <v>13436</v>
      </c>
      <c r="I182" s="17"/>
      <c r="J182" s="17"/>
      <c r="K182" s="17"/>
      <c r="L182" s="17">
        <f t="shared" si="16"/>
        <v>0</v>
      </c>
      <c r="M182" s="17"/>
      <c r="N182" s="21">
        <f t="shared" si="18"/>
        <v>0</v>
      </c>
      <c r="O182" s="17">
        <f t="shared" si="19"/>
        <v>0</v>
      </c>
      <c r="P182" s="20"/>
    </row>
    <row r="183" spans="1:16" ht="21" x14ac:dyDescent="0.5">
      <c r="A183" s="17"/>
      <c r="B183" s="18">
        <v>46425</v>
      </c>
      <c r="C183" s="17" t="str">
        <f t="shared" si="14"/>
        <v>26.6 - day 7</v>
      </c>
      <c r="D183" s="17"/>
      <c r="E183" s="17">
        <f t="shared" si="17"/>
        <v>13436</v>
      </c>
      <c r="F183" s="17"/>
      <c r="G183" s="17"/>
      <c r="H183" s="17">
        <f t="shared" si="15"/>
        <v>13436</v>
      </c>
      <c r="I183" s="17"/>
      <c r="J183" s="17"/>
      <c r="K183" s="17"/>
      <c r="L183" s="17">
        <f t="shared" si="16"/>
        <v>0</v>
      </c>
      <c r="M183" s="17"/>
      <c r="N183" s="21">
        <f t="shared" si="18"/>
        <v>0</v>
      </c>
      <c r="O183" s="17">
        <f t="shared" si="19"/>
        <v>0</v>
      </c>
      <c r="P183" s="20"/>
    </row>
    <row r="184" spans="1:16" ht="21" x14ac:dyDescent="0.5">
      <c r="A184" s="17"/>
      <c r="B184" s="18">
        <v>46426</v>
      </c>
      <c r="C184" s="17" t="str">
        <f t="shared" si="14"/>
        <v>27.0 - day 1</v>
      </c>
      <c r="D184" s="17"/>
      <c r="E184" s="17">
        <f t="shared" si="17"/>
        <v>13436</v>
      </c>
      <c r="F184" s="17"/>
      <c r="G184" s="17"/>
      <c r="H184" s="17">
        <f t="shared" si="15"/>
        <v>13436</v>
      </c>
      <c r="I184" s="17"/>
      <c r="J184" s="17"/>
      <c r="K184" s="17"/>
      <c r="L184" s="17">
        <f t="shared" si="16"/>
        <v>0</v>
      </c>
      <c r="M184" s="17"/>
      <c r="N184" s="21">
        <f t="shared" si="18"/>
        <v>0</v>
      </c>
      <c r="O184" s="17">
        <f t="shared" si="19"/>
        <v>0</v>
      </c>
      <c r="P184" s="20"/>
    </row>
    <row r="185" spans="1:16" ht="21" x14ac:dyDescent="0.5">
      <c r="A185" s="17"/>
      <c r="B185" s="18">
        <v>46427</v>
      </c>
      <c r="C185" s="17" t="str">
        <f t="shared" si="14"/>
        <v>27.1 - day 2</v>
      </c>
      <c r="D185" s="17"/>
      <c r="E185" s="17">
        <f t="shared" si="17"/>
        <v>13436</v>
      </c>
      <c r="F185" s="17"/>
      <c r="G185" s="17"/>
      <c r="H185" s="17">
        <f t="shared" si="15"/>
        <v>13436</v>
      </c>
      <c r="I185" s="17"/>
      <c r="J185" s="17"/>
      <c r="K185" s="17"/>
      <c r="L185" s="17">
        <f t="shared" si="16"/>
        <v>0</v>
      </c>
      <c r="M185" s="17"/>
      <c r="N185" s="21">
        <f t="shared" si="18"/>
        <v>0</v>
      </c>
      <c r="O185" s="17">
        <f t="shared" si="19"/>
        <v>0</v>
      </c>
      <c r="P185" s="20"/>
    </row>
    <row r="186" spans="1:16" ht="21" x14ac:dyDescent="0.5">
      <c r="A186" s="17"/>
      <c r="B186" s="18">
        <v>46428</v>
      </c>
      <c r="C186" s="17" t="str">
        <f t="shared" si="14"/>
        <v>27.2 - day 3</v>
      </c>
      <c r="D186" s="17"/>
      <c r="E186" s="17">
        <f t="shared" si="17"/>
        <v>13436</v>
      </c>
      <c r="F186" s="17"/>
      <c r="G186" s="17"/>
      <c r="H186" s="17">
        <f t="shared" si="15"/>
        <v>13436</v>
      </c>
      <c r="I186" s="17"/>
      <c r="J186" s="17"/>
      <c r="K186" s="17"/>
      <c r="L186" s="17">
        <f t="shared" si="16"/>
        <v>0</v>
      </c>
      <c r="M186" s="17"/>
      <c r="N186" s="21">
        <f t="shared" si="18"/>
        <v>0</v>
      </c>
      <c r="O186" s="17">
        <f t="shared" si="19"/>
        <v>0</v>
      </c>
      <c r="P186" s="20"/>
    </row>
    <row r="187" spans="1:16" ht="21" x14ac:dyDescent="0.5">
      <c r="A187" s="17"/>
      <c r="B187" s="18">
        <v>46429</v>
      </c>
      <c r="C187" s="17" t="str">
        <f t="shared" si="14"/>
        <v>27.3 - day 4</v>
      </c>
      <c r="D187" s="17"/>
      <c r="E187" s="17">
        <f t="shared" si="17"/>
        <v>13436</v>
      </c>
      <c r="F187" s="17"/>
      <c r="G187" s="17"/>
      <c r="H187" s="17">
        <f t="shared" si="15"/>
        <v>13436</v>
      </c>
      <c r="I187" s="17"/>
      <c r="J187" s="17"/>
      <c r="K187" s="17"/>
      <c r="L187" s="17">
        <f t="shared" si="16"/>
        <v>0</v>
      </c>
      <c r="M187" s="17"/>
      <c r="N187" s="21">
        <f t="shared" si="18"/>
        <v>0</v>
      </c>
      <c r="O187" s="17">
        <f t="shared" si="19"/>
        <v>0</v>
      </c>
      <c r="P187" s="20"/>
    </row>
    <row r="188" spans="1:16" ht="21" x14ac:dyDescent="0.5">
      <c r="A188" s="17"/>
      <c r="B188" s="18">
        <v>46430</v>
      </c>
      <c r="C188" s="17" t="str">
        <f t="shared" si="14"/>
        <v>27.4 - day 5</v>
      </c>
      <c r="D188" s="17"/>
      <c r="E188" s="17">
        <f t="shared" si="17"/>
        <v>13436</v>
      </c>
      <c r="F188" s="17"/>
      <c r="G188" s="17"/>
      <c r="H188" s="17">
        <f t="shared" si="15"/>
        <v>13436</v>
      </c>
      <c r="I188" s="17"/>
      <c r="J188" s="17"/>
      <c r="K188" s="17"/>
      <c r="L188" s="17">
        <f t="shared" si="16"/>
        <v>0</v>
      </c>
      <c r="M188" s="17"/>
      <c r="N188" s="21">
        <f t="shared" si="18"/>
        <v>0</v>
      </c>
      <c r="O188" s="17">
        <f t="shared" si="19"/>
        <v>0</v>
      </c>
      <c r="P188" s="20"/>
    </row>
    <row r="189" spans="1:16" ht="21" x14ac:dyDescent="0.5">
      <c r="A189" s="17"/>
      <c r="B189" s="18">
        <v>46431</v>
      </c>
      <c r="C189" s="17" t="str">
        <f t="shared" si="14"/>
        <v>27.5 - day 6</v>
      </c>
      <c r="D189" s="17"/>
      <c r="E189" s="17">
        <f t="shared" si="17"/>
        <v>13436</v>
      </c>
      <c r="F189" s="17"/>
      <c r="G189" s="17"/>
      <c r="H189" s="17">
        <f t="shared" si="15"/>
        <v>13436</v>
      </c>
      <c r="I189" s="17"/>
      <c r="J189" s="17"/>
      <c r="K189" s="17"/>
      <c r="L189" s="17">
        <f t="shared" si="16"/>
        <v>0</v>
      </c>
      <c r="M189" s="17"/>
      <c r="N189" s="21">
        <f t="shared" si="18"/>
        <v>0</v>
      </c>
      <c r="O189" s="17">
        <f t="shared" si="19"/>
        <v>0</v>
      </c>
      <c r="P189" s="20"/>
    </row>
    <row r="190" spans="1:16" ht="21" x14ac:dyDescent="0.5">
      <c r="A190" s="17"/>
      <c r="B190" s="18">
        <v>46432</v>
      </c>
      <c r="C190" s="17" t="str">
        <f t="shared" si="14"/>
        <v>27.6 - day 7</v>
      </c>
      <c r="D190" s="17"/>
      <c r="E190" s="17">
        <f t="shared" si="17"/>
        <v>13436</v>
      </c>
      <c r="F190" s="17"/>
      <c r="G190" s="17"/>
      <c r="H190" s="17">
        <f t="shared" si="15"/>
        <v>13436</v>
      </c>
      <c r="I190" s="17"/>
      <c r="J190" s="17"/>
      <c r="K190" s="17"/>
      <c r="L190" s="17">
        <f t="shared" si="16"/>
        <v>0</v>
      </c>
      <c r="M190" s="17"/>
      <c r="N190" s="21">
        <f t="shared" si="18"/>
        <v>0</v>
      </c>
      <c r="O190" s="17">
        <f t="shared" si="19"/>
        <v>0</v>
      </c>
      <c r="P190" s="20"/>
    </row>
    <row r="191" spans="1:16" ht="21" x14ac:dyDescent="0.5">
      <c r="A191" s="17"/>
      <c r="B191" s="18">
        <v>46433</v>
      </c>
      <c r="C191" s="17" t="str">
        <f t="shared" si="14"/>
        <v>28.0 - day 1</v>
      </c>
      <c r="D191" s="17"/>
      <c r="E191" s="17">
        <f t="shared" si="17"/>
        <v>13436</v>
      </c>
      <c r="F191" s="17"/>
      <c r="G191" s="17"/>
      <c r="H191" s="17">
        <f t="shared" si="15"/>
        <v>13436</v>
      </c>
      <c r="I191" s="17"/>
      <c r="J191" s="17"/>
      <c r="K191" s="17"/>
      <c r="L191" s="17">
        <f t="shared" si="16"/>
        <v>0</v>
      </c>
      <c r="M191" s="17"/>
      <c r="N191" s="21">
        <f t="shared" si="18"/>
        <v>0</v>
      </c>
      <c r="O191" s="17">
        <f t="shared" si="19"/>
        <v>0</v>
      </c>
      <c r="P191" s="20"/>
    </row>
    <row r="192" spans="1:16" ht="21" x14ac:dyDescent="0.5">
      <c r="A192" s="17"/>
      <c r="B192" s="18">
        <v>46434</v>
      </c>
      <c r="C192" s="17" t="str">
        <f t="shared" si="14"/>
        <v>28.1 - day 2</v>
      </c>
      <c r="D192" s="17"/>
      <c r="E192" s="17">
        <f t="shared" si="17"/>
        <v>13436</v>
      </c>
      <c r="F192" s="17"/>
      <c r="G192" s="17"/>
      <c r="H192" s="17">
        <f t="shared" si="15"/>
        <v>13436</v>
      </c>
      <c r="I192" s="17"/>
      <c r="J192" s="17"/>
      <c r="K192" s="17"/>
      <c r="L192" s="17">
        <f t="shared" si="16"/>
        <v>0</v>
      </c>
      <c r="M192" s="17"/>
      <c r="N192" s="21">
        <f t="shared" si="18"/>
        <v>0</v>
      </c>
      <c r="O192" s="17">
        <f t="shared" si="19"/>
        <v>0</v>
      </c>
      <c r="P192" s="20"/>
    </row>
    <row r="193" spans="1:16" ht="21" x14ac:dyDescent="0.5">
      <c r="A193" s="17"/>
      <c r="B193" s="18">
        <v>46435</v>
      </c>
      <c r="C193" s="17" t="str">
        <f t="shared" si="14"/>
        <v>28.2 - day 3</v>
      </c>
      <c r="D193" s="17"/>
      <c r="E193" s="17">
        <f t="shared" si="17"/>
        <v>13436</v>
      </c>
      <c r="F193" s="17"/>
      <c r="G193" s="17"/>
      <c r="H193" s="17">
        <f t="shared" si="15"/>
        <v>13436</v>
      </c>
      <c r="I193" s="17"/>
      <c r="J193" s="17"/>
      <c r="K193" s="17"/>
      <c r="L193" s="17">
        <f t="shared" si="16"/>
        <v>0</v>
      </c>
      <c r="M193" s="17"/>
      <c r="N193" s="21">
        <f t="shared" si="18"/>
        <v>0</v>
      </c>
      <c r="O193" s="17">
        <f t="shared" si="19"/>
        <v>0</v>
      </c>
      <c r="P193" s="20"/>
    </row>
    <row r="194" spans="1:16" ht="21" x14ac:dyDescent="0.5">
      <c r="A194" s="17"/>
      <c r="B194" s="18">
        <v>46436</v>
      </c>
      <c r="C194" s="17" t="str">
        <f t="shared" si="14"/>
        <v>28.3 - day 4</v>
      </c>
      <c r="D194" s="17"/>
      <c r="E194" s="17">
        <f t="shared" si="17"/>
        <v>13436</v>
      </c>
      <c r="F194" s="17"/>
      <c r="G194" s="17"/>
      <c r="H194" s="17">
        <f t="shared" si="15"/>
        <v>13436</v>
      </c>
      <c r="I194" s="17"/>
      <c r="J194" s="17"/>
      <c r="K194" s="17"/>
      <c r="L194" s="17">
        <f t="shared" si="16"/>
        <v>0</v>
      </c>
      <c r="M194" s="17"/>
      <c r="N194" s="21">
        <f t="shared" si="18"/>
        <v>0</v>
      </c>
      <c r="O194" s="17">
        <f t="shared" si="19"/>
        <v>0</v>
      </c>
      <c r="P194" s="20"/>
    </row>
    <row r="195" spans="1:16" ht="21" x14ac:dyDescent="0.5">
      <c r="A195" s="17"/>
      <c r="B195" s="18">
        <v>46437</v>
      </c>
      <c r="C195" s="17" t="str">
        <f t="shared" si="14"/>
        <v>28.4 - day 5</v>
      </c>
      <c r="D195" s="17"/>
      <c r="E195" s="17">
        <f t="shared" si="17"/>
        <v>13436</v>
      </c>
      <c r="F195" s="17"/>
      <c r="G195" s="17"/>
      <c r="H195" s="17">
        <f t="shared" si="15"/>
        <v>13436</v>
      </c>
      <c r="I195" s="17"/>
      <c r="J195" s="17"/>
      <c r="K195" s="17"/>
      <c r="L195" s="17">
        <f t="shared" si="16"/>
        <v>0</v>
      </c>
      <c r="M195" s="17"/>
      <c r="N195" s="21">
        <f t="shared" si="18"/>
        <v>0</v>
      </c>
      <c r="O195" s="17">
        <f t="shared" si="19"/>
        <v>0</v>
      </c>
      <c r="P195" s="20"/>
    </row>
    <row r="196" spans="1:16" ht="21" x14ac:dyDescent="0.5">
      <c r="A196" s="17"/>
      <c r="B196" s="18">
        <v>46438</v>
      </c>
      <c r="C196" s="17" t="str">
        <f t="shared" ref="C196:C259" si="20">(QUOTIENT(ROW()-2,7)+1)&amp;"."&amp;MOD(ROW()-2,7)&amp;" - day "&amp;(MOD(ROW()-2,7)+1)</f>
        <v>28.5 - day 6</v>
      </c>
      <c r="D196" s="17"/>
      <c r="E196" s="17">
        <f t="shared" si="17"/>
        <v>13436</v>
      </c>
      <c r="F196" s="17"/>
      <c r="G196" s="17"/>
      <c r="H196" s="17">
        <f t="shared" ref="H196:H259" si="21">SUM(E196-F196-G196)</f>
        <v>13436</v>
      </c>
      <c r="I196" s="17"/>
      <c r="J196" s="17"/>
      <c r="K196" s="17"/>
      <c r="L196" s="17">
        <f t="shared" ref="L196:L259" si="22">SUM(J196+K196)/H196*100</f>
        <v>0</v>
      </c>
      <c r="M196" s="17"/>
      <c r="N196" s="21">
        <f t="shared" si="18"/>
        <v>0</v>
      </c>
      <c r="O196" s="17">
        <f t="shared" si="19"/>
        <v>0</v>
      </c>
      <c r="P196" s="20"/>
    </row>
    <row r="197" spans="1:16" ht="21" x14ac:dyDescent="0.5">
      <c r="A197" s="17"/>
      <c r="B197" s="18">
        <v>46439</v>
      </c>
      <c r="C197" s="17" t="str">
        <f t="shared" si="20"/>
        <v>28.6 - day 7</v>
      </c>
      <c r="D197" s="17"/>
      <c r="E197" s="17">
        <f t="shared" si="17"/>
        <v>13436</v>
      </c>
      <c r="F197" s="17"/>
      <c r="G197" s="17"/>
      <c r="H197" s="17">
        <f t="shared" si="21"/>
        <v>13436</v>
      </c>
      <c r="I197" s="17"/>
      <c r="J197" s="17"/>
      <c r="K197" s="17"/>
      <c r="L197" s="17">
        <f t="shared" si="22"/>
        <v>0</v>
      </c>
      <c r="M197" s="17"/>
      <c r="N197" s="21">
        <f t="shared" si="18"/>
        <v>0</v>
      </c>
      <c r="O197" s="17">
        <f t="shared" si="19"/>
        <v>0</v>
      </c>
      <c r="P197" s="20"/>
    </row>
    <row r="198" spans="1:16" ht="21" x14ac:dyDescent="0.5">
      <c r="A198" s="17"/>
      <c r="B198" s="18">
        <v>46440</v>
      </c>
      <c r="C198" s="17" t="str">
        <f t="shared" si="20"/>
        <v>29.0 - day 1</v>
      </c>
      <c r="D198" s="17"/>
      <c r="E198" s="17">
        <f t="shared" ref="E198:E261" si="23">H197</f>
        <v>13436</v>
      </c>
      <c r="F198" s="17"/>
      <c r="G198" s="17"/>
      <c r="H198" s="17">
        <f t="shared" si="21"/>
        <v>13436</v>
      </c>
      <c r="I198" s="17"/>
      <c r="J198" s="17"/>
      <c r="K198" s="17"/>
      <c r="L198" s="17">
        <f t="shared" si="22"/>
        <v>0</v>
      </c>
      <c r="M198" s="17"/>
      <c r="N198" s="21">
        <f t="shared" si="18"/>
        <v>0</v>
      </c>
      <c r="O198" s="17">
        <f t="shared" si="19"/>
        <v>0</v>
      </c>
      <c r="P198" s="20"/>
    </row>
    <row r="199" spans="1:16" ht="21" x14ac:dyDescent="0.5">
      <c r="A199" s="17"/>
      <c r="B199" s="18">
        <v>46441</v>
      </c>
      <c r="C199" s="17" t="str">
        <f t="shared" si="20"/>
        <v>29.1 - day 2</v>
      </c>
      <c r="D199" s="17"/>
      <c r="E199" s="17">
        <f t="shared" si="23"/>
        <v>13436</v>
      </c>
      <c r="F199" s="17"/>
      <c r="G199" s="17"/>
      <c r="H199" s="17">
        <f t="shared" si="21"/>
        <v>13436</v>
      </c>
      <c r="I199" s="17"/>
      <c r="J199" s="17"/>
      <c r="K199" s="17"/>
      <c r="L199" s="17">
        <f t="shared" si="22"/>
        <v>0</v>
      </c>
      <c r="M199" s="17"/>
      <c r="N199" s="21">
        <f t="shared" si="18"/>
        <v>0</v>
      </c>
      <c r="O199" s="17">
        <f t="shared" si="19"/>
        <v>0</v>
      </c>
      <c r="P199" s="20"/>
    </row>
    <row r="200" spans="1:16" ht="21" x14ac:dyDescent="0.5">
      <c r="A200" s="17"/>
      <c r="B200" s="18">
        <v>46442</v>
      </c>
      <c r="C200" s="17" t="str">
        <f t="shared" si="20"/>
        <v>29.2 - day 3</v>
      </c>
      <c r="D200" s="17"/>
      <c r="E200" s="17">
        <f t="shared" si="23"/>
        <v>13436</v>
      </c>
      <c r="F200" s="17"/>
      <c r="G200" s="17"/>
      <c r="H200" s="17">
        <f t="shared" si="21"/>
        <v>13436</v>
      </c>
      <c r="I200" s="17"/>
      <c r="J200" s="17"/>
      <c r="K200" s="17"/>
      <c r="L200" s="17">
        <f t="shared" si="22"/>
        <v>0</v>
      </c>
      <c r="M200" s="17"/>
      <c r="N200" s="21">
        <f t="shared" si="18"/>
        <v>0</v>
      </c>
      <c r="O200" s="17">
        <f t="shared" si="19"/>
        <v>0</v>
      </c>
      <c r="P200" s="20"/>
    </row>
    <row r="201" spans="1:16" ht="21" x14ac:dyDescent="0.5">
      <c r="A201" s="17"/>
      <c r="B201" s="18">
        <v>46443</v>
      </c>
      <c r="C201" s="17" t="str">
        <f t="shared" si="20"/>
        <v>29.3 - day 4</v>
      </c>
      <c r="D201" s="17"/>
      <c r="E201" s="17">
        <f t="shared" si="23"/>
        <v>13436</v>
      </c>
      <c r="F201" s="17"/>
      <c r="G201" s="17"/>
      <c r="H201" s="17">
        <f t="shared" si="21"/>
        <v>13436</v>
      </c>
      <c r="I201" s="17"/>
      <c r="J201" s="17"/>
      <c r="K201" s="17"/>
      <c r="L201" s="17">
        <f t="shared" si="22"/>
        <v>0</v>
      </c>
      <c r="M201" s="17"/>
      <c r="N201" s="21">
        <f t="shared" si="18"/>
        <v>0</v>
      </c>
      <c r="O201" s="17">
        <f t="shared" si="19"/>
        <v>0</v>
      </c>
      <c r="P201" s="20"/>
    </row>
    <row r="202" spans="1:16" ht="21" x14ac:dyDescent="0.5">
      <c r="A202" s="17"/>
      <c r="B202" s="18">
        <v>46444</v>
      </c>
      <c r="C202" s="17" t="str">
        <f t="shared" si="20"/>
        <v>29.4 - day 5</v>
      </c>
      <c r="D202" s="17"/>
      <c r="E202" s="17">
        <f t="shared" si="23"/>
        <v>13436</v>
      </c>
      <c r="F202" s="17"/>
      <c r="G202" s="17"/>
      <c r="H202" s="17">
        <f t="shared" si="21"/>
        <v>13436</v>
      </c>
      <c r="I202" s="17"/>
      <c r="J202" s="17"/>
      <c r="K202" s="17"/>
      <c r="L202" s="17">
        <f t="shared" si="22"/>
        <v>0</v>
      </c>
      <c r="M202" s="17"/>
      <c r="N202" s="21">
        <f t="shared" si="18"/>
        <v>0</v>
      </c>
      <c r="O202" s="17">
        <f t="shared" si="19"/>
        <v>0</v>
      </c>
      <c r="P202" s="20"/>
    </row>
    <row r="203" spans="1:16" ht="21" x14ac:dyDescent="0.5">
      <c r="A203" s="17"/>
      <c r="B203" s="18">
        <v>46445</v>
      </c>
      <c r="C203" s="17" t="str">
        <f t="shared" si="20"/>
        <v>29.5 - day 6</v>
      </c>
      <c r="D203" s="17"/>
      <c r="E203" s="17">
        <f t="shared" si="23"/>
        <v>13436</v>
      </c>
      <c r="F203" s="17"/>
      <c r="G203" s="17"/>
      <c r="H203" s="17">
        <f t="shared" si="21"/>
        <v>13436</v>
      </c>
      <c r="I203" s="17"/>
      <c r="J203" s="17"/>
      <c r="K203" s="17"/>
      <c r="L203" s="17">
        <f t="shared" si="22"/>
        <v>0</v>
      </c>
      <c r="M203" s="17"/>
      <c r="N203" s="21">
        <f t="shared" si="18"/>
        <v>0</v>
      </c>
      <c r="O203" s="17">
        <f t="shared" si="19"/>
        <v>0</v>
      </c>
      <c r="P203" s="20"/>
    </row>
    <row r="204" spans="1:16" ht="21" x14ac:dyDescent="0.5">
      <c r="A204" s="17"/>
      <c r="B204" s="18">
        <v>46446</v>
      </c>
      <c r="C204" s="17" t="str">
        <f t="shared" si="20"/>
        <v>29.6 - day 7</v>
      </c>
      <c r="D204" s="17"/>
      <c r="E204" s="17">
        <f t="shared" si="23"/>
        <v>13436</v>
      </c>
      <c r="F204" s="17"/>
      <c r="G204" s="17"/>
      <c r="H204" s="17">
        <f t="shared" si="21"/>
        <v>13436</v>
      </c>
      <c r="I204" s="17"/>
      <c r="J204" s="17"/>
      <c r="K204" s="17"/>
      <c r="L204" s="17">
        <f t="shared" si="22"/>
        <v>0</v>
      </c>
      <c r="M204" s="17"/>
      <c r="N204" s="21">
        <f t="shared" si="18"/>
        <v>0</v>
      </c>
      <c r="O204" s="17">
        <f t="shared" si="19"/>
        <v>0</v>
      </c>
      <c r="P204" s="20"/>
    </row>
    <row r="205" spans="1:16" ht="21" x14ac:dyDescent="0.5">
      <c r="A205" s="17"/>
      <c r="B205" s="18">
        <v>46447</v>
      </c>
      <c r="C205" s="17" t="str">
        <f t="shared" si="20"/>
        <v>30.0 - day 1</v>
      </c>
      <c r="D205" s="17"/>
      <c r="E205" s="17">
        <f t="shared" si="23"/>
        <v>13436</v>
      </c>
      <c r="F205" s="17"/>
      <c r="G205" s="17"/>
      <c r="H205" s="17">
        <f t="shared" si="21"/>
        <v>13436</v>
      </c>
      <c r="I205" s="17"/>
      <c r="J205" s="17"/>
      <c r="K205" s="17"/>
      <c r="L205" s="17">
        <f t="shared" si="22"/>
        <v>0</v>
      </c>
      <c r="M205" s="17"/>
      <c r="N205" s="21">
        <f t="shared" si="18"/>
        <v>0</v>
      </c>
      <c r="O205" s="17">
        <f t="shared" si="19"/>
        <v>0</v>
      </c>
      <c r="P205" s="20"/>
    </row>
    <row r="206" spans="1:16" ht="21" x14ac:dyDescent="0.5">
      <c r="A206" s="17"/>
      <c r="B206" s="18">
        <v>46448</v>
      </c>
      <c r="C206" s="17" t="str">
        <f t="shared" si="20"/>
        <v>30.1 - day 2</v>
      </c>
      <c r="D206" s="17"/>
      <c r="E206" s="17">
        <f t="shared" si="23"/>
        <v>13436</v>
      </c>
      <c r="F206" s="17"/>
      <c r="G206" s="17"/>
      <c r="H206" s="17">
        <f t="shared" si="21"/>
        <v>13436</v>
      </c>
      <c r="I206" s="17"/>
      <c r="J206" s="17"/>
      <c r="K206" s="17"/>
      <c r="L206" s="17">
        <f t="shared" si="22"/>
        <v>0</v>
      </c>
      <c r="M206" s="17"/>
      <c r="N206" s="21">
        <f t="shared" si="18"/>
        <v>0</v>
      </c>
      <c r="O206" s="17">
        <f t="shared" si="19"/>
        <v>0</v>
      </c>
      <c r="P206" s="20"/>
    </row>
    <row r="207" spans="1:16" ht="21" x14ac:dyDescent="0.5">
      <c r="A207" s="17"/>
      <c r="B207" s="18">
        <v>46449</v>
      </c>
      <c r="C207" s="17" t="str">
        <f t="shared" si="20"/>
        <v>30.2 - day 3</v>
      </c>
      <c r="D207" s="17"/>
      <c r="E207" s="17">
        <f t="shared" si="23"/>
        <v>13436</v>
      </c>
      <c r="F207" s="17"/>
      <c r="G207" s="17"/>
      <c r="H207" s="17">
        <f t="shared" si="21"/>
        <v>13436</v>
      </c>
      <c r="I207" s="17"/>
      <c r="J207" s="17"/>
      <c r="K207" s="17"/>
      <c r="L207" s="17">
        <f t="shared" si="22"/>
        <v>0</v>
      </c>
      <c r="M207" s="17"/>
      <c r="N207" s="21">
        <f t="shared" si="18"/>
        <v>0</v>
      </c>
      <c r="O207" s="17">
        <f t="shared" si="19"/>
        <v>0</v>
      </c>
      <c r="P207" s="20"/>
    </row>
    <row r="208" spans="1:16" ht="21" x14ac:dyDescent="0.5">
      <c r="A208" s="17"/>
      <c r="B208" s="18">
        <v>46450</v>
      </c>
      <c r="C208" s="17" t="str">
        <f t="shared" si="20"/>
        <v>30.3 - day 4</v>
      </c>
      <c r="D208" s="17"/>
      <c r="E208" s="17">
        <f t="shared" si="23"/>
        <v>13436</v>
      </c>
      <c r="F208" s="17"/>
      <c r="G208" s="17"/>
      <c r="H208" s="17">
        <f t="shared" si="21"/>
        <v>13436</v>
      </c>
      <c r="I208" s="17"/>
      <c r="J208" s="17"/>
      <c r="K208" s="17"/>
      <c r="L208" s="17">
        <f t="shared" si="22"/>
        <v>0</v>
      </c>
      <c r="M208" s="17"/>
      <c r="N208" s="21">
        <f t="shared" si="18"/>
        <v>0</v>
      </c>
      <c r="O208" s="17">
        <f t="shared" si="19"/>
        <v>0</v>
      </c>
      <c r="P208" s="20"/>
    </row>
    <row r="209" spans="1:16" ht="21" x14ac:dyDescent="0.5">
      <c r="A209" s="17"/>
      <c r="B209" s="18">
        <v>46451</v>
      </c>
      <c r="C209" s="17" t="str">
        <f t="shared" si="20"/>
        <v>30.4 - day 5</v>
      </c>
      <c r="D209" s="17"/>
      <c r="E209" s="17">
        <f t="shared" si="23"/>
        <v>13436</v>
      </c>
      <c r="F209" s="17"/>
      <c r="G209" s="17"/>
      <c r="H209" s="17">
        <f t="shared" si="21"/>
        <v>13436</v>
      </c>
      <c r="I209" s="17"/>
      <c r="J209" s="17"/>
      <c r="K209" s="17"/>
      <c r="L209" s="17">
        <f t="shared" si="22"/>
        <v>0</v>
      </c>
      <c r="M209" s="17"/>
      <c r="N209" s="21">
        <f t="shared" si="18"/>
        <v>0</v>
      </c>
      <c r="O209" s="17">
        <f t="shared" si="19"/>
        <v>0</v>
      </c>
      <c r="P209" s="20"/>
    </row>
    <row r="210" spans="1:16" ht="21" x14ac:dyDescent="0.5">
      <c r="A210" s="17"/>
      <c r="B210" s="18">
        <v>46452</v>
      </c>
      <c r="C210" s="17" t="str">
        <f t="shared" si="20"/>
        <v>30.5 - day 6</v>
      </c>
      <c r="D210" s="17"/>
      <c r="E210" s="17">
        <f t="shared" si="23"/>
        <v>13436</v>
      </c>
      <c r="F210" s="17"/>
      <c r="G210" s="17"/>
      <c r="H210" s="17">
        <f t="shared" si="21"/>
        <v>13436</v>
      </c>
      <c r="I210" s="17"/>
      <c r="J210" s="17"/>
      <c r="K210" s="17"/>
      <c r="L210" s="17">
        <f t="shared" si="22"/>
        <v>0</v>
      </c>
      <c r="M210" s="17"/>
      <c r="N210" s="21">
        <f t="shared" si="18"/>
        <v>0</v>
      </c>
      <c r="O210" s="17">
        <f t="shared" si="19"/>
        <v>0</v>
      </c>
      <c r="P210" s="20"/>
    </row>
    <row r="211" spans="1:16" ht="21" x14ac:dyDescent="0.5">
      <c r="A211" s="17"/>
      <c r="B211" s="18">
        <v>46453</v>
      </c>
      <c r="C211" s="17" t="str">
        <f t="shared" si="20"/>
        <v>30.6 - day 7</v>
      </c>
      <c r="D211" s="17"/>
      <c r="E211" s="17">
        <f t="shared" si="23"/>
        <v>13436</v>
      </c>
      <c r="F211" s="17"/>
      <c r="G211" s="17"/>
      <c r="H211" s="17">
        <f t="shared" si="21"/>
        <v>13436</v>
      </c>
      <c r="I211" s="17"/>
      <c r="J211" s="17"/>
      <c r="K211" s="17"/>
      <c r="L211" s="17">
        <f t="shared" si="22"/>
        <v>0</v>
      </c>
      <c r="M211" s="17"/>
      <c r="N211" s="21">
        <f t="shared" si="18"/>
        <v>0</v>
      </c>
      <c r="O211" s="17">
        <f t="shared" si="19"/>
        <v>0</v>
      </c>
      <c r="P211" s="20"/>
    </row>
    <row r="212" spans="1:16" ht="21" x14ac:dyDescent="0.5">
      <c r="A212" s="17"/>
      <c r="B212" s="18">
        <v>46454</v>
      </c>
      <c r="C212" s="17" t="str">
        <f t="shared" si="20"/>
        <v>31.0 - day 1</v>
      </c>
      <c r="D212" s="17"/>
      <c r="E212" s="17">
        <f t="shared" si="23"/>
        <v>13436</v>
      </c>
      <c r="F212" s="17"/>
      <c r="G212" s="17"/>
      <c r="H212" s="17">
        <f t="shared" si="21"/>
        <v>13436</v>
      </c>
      <c r="I212" s="17"/>
      <c r="J212" s="17"/>
      <c r="K212" s="17"/>
      <c r="L212" s="17">
        <f t="shared" si="22"/>
        <v>0</v>
      </c>
      <c r="M212" s="17"/>
      <c r="N212" s="21">
        <f t="shared" si="18"/>
        <v>0</v>
      </c>
      <c r="O212" s="17">
        <f t="shared" si="19"/>
        <v>0</v>
      </c>
      <c r="P212" s="20"/>
    </row>
    <row r="213" spans="1:16" ht="21" x14ac:dyDescent="0.5">
      <c r="A213" s="17"/>
      <c r="B213" s="18">
        <v>46455</v>
      </c>
      <c r="C213" s="17" t="str">
        <f t="shared" si="20"/>
        <v>31.1 - day 2</v>
      </c>
      <c r="D213" s="17"/>
      <c r="E213" s="17">
        <f t="shared" si="23"/>
        <v>13436</v>
      </c>
      <c r="F213" s="17"/>
      <c r="G213" s="17"/>
      <c r="H213" s="17">
        <f t="shared" si="21"/>
        <v>13436</v>
      </c>
      <c r="I213" s="17"/>
      <c r="J213" s="17"/>
      <c r="K213" s="17"/>
      <c r="L213" s="17">
        <f t="shared" si="22"/>
        <v>0</v>
      </c>
      <c r="M213" s="17"/>
      <c r="N213" s="21">
        <f t="shared" ref="N213:N276" si="24">SUM(L213-M213)</f>
        <v>0</v>
      </c>
      <c r="O213" s="17">
        <f t="shared" ref="O213:O276" si="25">SUM(I213/H213)*1000</f>
        <v>0</v>
      </c>
      <c r="P213" s="20"/>
    </row>
    <row r="214" spans="1:16" ht="21" x14ac:dyDescent="0.5">
      <c r="A214" s="17"/>
      <c r="B214" s="18">
        <v>46456</v>
      </c>
      <c r="C214" s="17" t="str">
        <f t="shared" si="20"/>
        <v>31.2 - day 3</v>
      </c>
      <c r="D214" s="17"/>
      <c r="E214" s="17">
        <f t="shared" si="23"/>
        <v>13436</v>
      </c>
      <c r="F214" s="17"/>
      <c r="G214" s="17"/>
      <c r="H214" s="17">
        <f t="shared" si="21"/>
        <v>13436</v>
      </c>
      <c r="I214" s="17"/>
      <c r="J214" s="17"/>
      <c r="K214" s="17"/>
      <c r="L214" s="17">
        <f t="shared" si="22"/>
        <v>0</v>
      </c>
      <c r="M214" s="17"/>
      <c r="N214" s="21">
        <f t="shared" si="24"/>
        <v>0</v>
      </c>
      <c r="O214" s="17">
        <f t="shared" si="25"/>
        <v>0</v>
      </c>
      <c r="P214" s="20"/>
    </row>
    <row r="215" spans="1:16" ht="21" x14ac:dyDescent="0.5">
      <c r="A215" s="17"/>
      <c r="B215" s="18">
        <v>46457</v>
      </c>
      <c r="C215" s="17" t="str">
        <f t="shared" si="20"/>
        <v>31.3 - day 4</v>
      </c>
      <c r="D215" s="17"/>
      <c r="E215" s="17">
        <f t="shared" si="23"/>
        <v>13436</v>
      </c>
      <c r="F215" s="17"/>
      <c r="G215" s="17"/>
      <c r="H215" s="17">
        <f t="shared" si="21"/>
        <v>13436</v>
      </c>
      <c r="I215" s="17"/>
      <c r="J215" s="17"/>
      <c r="K215" s="17"/>
      <c r="L215" s="17">
        <f t="shared" si="22"/>
        <v>0</v>
      </c>
      <c r="M215" s="17"/>
      <c r="N215" s="21">
        <f t="shared" si="24"/>
        <v>0</v>
      </c>
      <c r="O215" s="17">
        <f t="shared" si="25"/>
        <v>0</v>
      </c>
      <c r="P215" s="20"/>
    </row>
    <row r="216" spans="1:16" ht="21" x14ac:dyDescent="0.5">
      <c r="A216" s="17"/>
      <c r="B216" s="18">
        <v>46458</v>
      </c>
      <c r="C216" s="17" t="str">
        <f t="shared" si="20"/>
        <v>31.4 - day 5</v>
      </c>
      <c r="D216" s="17"/>
      <c r="E216" s="17">
        <f t="shared" si="23"/>
        <v>13436</v>
      </c>
      <c r="F216" s="17"/>
      <c r="G216" s="17"/>
      <c r="H216" s="17">
        <f t="shared" si="21"/>
        <v>13436</v>
      </c>
      <c r="I216" s="17"/>
      <c r="J216" s="17"/>
      <c r="K216" s="17"/>
      <c r="L216" s="17">
        <f t="shared" si="22"/>
        <v>0</v>
      </c>
      <c r="M216" s="17"/>
      <c r="N216" s="21">
        <f t="shared" si="24"/>
        <v>0</v>
      </c>
      <c r="O216" s="17">
        <f t="shared" si="25"/>
        <v>0</v>
      </c>
      <c r="P216" s="20"/>
    </row>
    <row r="217" spans="1:16" ht="21" x14ac:dyDescent="0.5">
      <c r="A217" s="17"/>
      <c r="B217" s="18">
        <v>46459</v>
      </c>
      <c r="C217" s="17" t="str">
        <f t="shared" si="20"/>
        <v>31.5 - day 6</v>
      </c>
      <c r="D217" s="17"/>
      <c r="E217" s="17">
        <f t="shared" si="23"/>
        <v>13436</v>
      </c>
      <c r="F217" s="17"/>
      <c r="G217" s="17"/>
      <c r="H217" s="17">
        <f t="shared" si="21"/>
        <v>13436</v>
      </c>
      <c r="I217" s="17"/>
      <c r="J217" s="17"/>
      <c r="K217" s="17"/>
      <c r="L217" s="17">
        <f t="shared" si="22"/>
        <v>0</v>
      </c>
      <c r="M217" s="17"/>
      <c r="N217" s="21">
        <f t="shared" si="24"/>
        <v>0</v>
      </c>
      <c r="O217" s="17">
        <f t="shared" si="25"/>
        <v>0</v>
      </c>
      <c r="P217" s="20"/>
    </row>
    <row r="218" spans="1:16" ht="21" x14ac:dyDescent="0.5">
      <c r="A218" s="17"/>
      <c r="B218" s="18">
        <v>46460</v>
      </c>
      <c r="C218" s="17" t="str">
        <f t="shared" si="20"/>
        <v>31.6 - day 7</v>
      </c>
      <c r="D218" s="17"/>
      <c r="E218" s="17">
        <f t="shared" si="23"/>
        <v>13436</v>
      </c>
      <c r="F218" s="17"/>
      <c r="G218" s="17"/>
      <c r="H218" s="17">
        <f t="shared" si="21"/>
        <v>13436</v>
      </c>
      <c r="I218" s="17"/>
      <c r="J218" s="17"/>
      <c r="K218" s="17"/>
      <c r="L218" s="17">
        <f t="shared" si="22"/>
        <v>0</v>
      </c>
      <c r="M218" s="17"/>
      <c r="N218" s="21">
        <f t="shared" si="24"/>
        <v>0</v>
      </c>
      <c r="O218" s="17">
        <f t="shared" si="25"/>
        <v>0</v>
      </c>
      <c r="P218" s="20"/>
    </row>
    <row r="219" spans="1:16" ht="21" x14ac:dyDescent="0.5">
      <c r="A219" s="17"/>
      <c r="B219" s="18">
        <v>46461</v>
      </c>
      <c r="C219" s="17" t="str">
        <f t="shared" si="20"/>
        <v>32.0 - day 1</v>
      </c>
      <c r="D219" s="17"/>
      <c r="E219" s="17">
        <f t="shared" si="23"/>
        <v>13436</v>
      </c>
      <c r="F219" s="17"/>
      <c r="G219" s="17"/>
      <c r="H219" s="17">
        <f t="shared" si="21"/>
        <v>13436</v>
      </c>
      <c r="I219" s="17"/>
      <c r="J219" s="17"/>
      <c r="K219" s="17"/>
      <c r="L219" s="17">
        <f t="shared" si="22"/>
        <v>0</v>
      </c>
      <c r="M219" s="17"/>
      <c r="N219" s="21">
        <f t="shared" si="24"/>
        <v>0</v>
      </c>
      <c r="O219" s="17">
        <f t="shared" si="25"/>
        <v>0</v>
      </c>
      <c r="P219" s="20"/>
    </row>
    <row r="220" spans="1:16" ht="21" x14ac:dyDescent="0.5">
      <c r="A220" s="17"/>
      <c r="B220" s="18">
        <v>46462</v>
      </c>
      <c r="C220" s="17" t="str">
        <f t="shared" si="20"/>
        <v>32.1 - day 2</v>
      </c>
      <c r="D220" s="17"/>
      <c r="E220" s="17">
        <f t="shared" si="23"/>
        <v>13436</v>
      </c>
      <c r="F220" s="17"/>
      <c r="G220" s="17"/>
      <c r="H220" s="17">
        <f t="shared" si="21"/>
        <v>13436</v>
      </c>
      <c r="I220" s="17"/>
      <c r="J220" s="17"/>
      <c r="K220" s="17"/>
      <c r="L220" s="17">
        <f t="shared" si="22"/>
        <v>0</v>
      </c>
      <c r="M220" s="17"/>
      <c r="N220" s="21">
        <f t="shared" si="24"/>
        <v>0</v>
      </c>
      <c r="O220" s="17">
        <f t="shared" si="25"/>
        <v>0</v>
      </c>
      <c r="P220" s="20"/>
    </row>
    <row r="221" spans="1:16" ht="21" x14ac:dyDescent="0.5">
      <c r="A221" s="17"/>
      <c r="B221" s="18">
        <v>46463</v>
      </c>
      <c r="C221" s="17" t="str">
        <f t="shared" si="20"/>
        <v>32.2 - day 3</v>
      </c>
      <c r="D221" s="17"/>
      <c r="E221" s="17">
        <f t="shared" si="23"/>
        <v>13436</v>
      </c>
      <c r="F221" s="17"/>
      <c r="G221" s="17"/>
      <c r="H221" s="17">
        <f t="shared" si="21"/>
        <v>13436</v>
      </c>
      <c r="I221" s="17"/>
      <c r="J221" s="17"/>
      <c r="K221" s="17"/>
      <c r="L221" s="17">
        <f t="shared" si="22"/>
        <v>0</v>
      </c>
      <c r="M221" s="17"/>
      <c r="N221" s="21">
        <f t="shared" si="24"/>
        <v>0</v>
      </c>
      <c r="O221" s="17">
        <f t="shared" si="25"/>
        <v>0</v>
      </c>
      <c r="P221" s="20"/>
    </row>
    <row r="222" spans="1:16" ht="21" x14ac:dyDescent="0.5">
      <c r="A222" s="17"/>
      <c r="B222" s="18">
        <v>46464</v>
      </c>
      <c r="C222" s="17" t="str">
        <f t="shared" si="20"/>
        <v>32.3 - day 4</v>
      </c>
      <c r="D222" s="17"/>
      <c r="E222" s="17">
        <f t="shared" si="23"/>
        <v>13436</v>
      </c>
      <c r="F222" s="17"/>
      <c r="G222" s="17"/>
      <c r="H222" s="17">
        <f t="shared" si="21"/>
        <v>13436</v>
      </c>
      <c r="I222" s="17"/>
      <c r="J222" s="17"/>
      <c r="K222" s="17"/>
      <c r="L222" s="17">
        <f t="shared" si="22"/>
        <v>0</v>
      </c>
      <c r="M222" s="17"/>
      <c r="N222" s="21">
        <f t="shared" si="24"/>
        <v>0</v>
      </c>
      <c r="O222" s="17">
        <f t="shared" si="25"/>
        <v>0</v>
      </c>
      <c r="P222" s="20"/>
    </row>
    <row r="223" spans="1:16" ht="21" x14ac:dyDescent="0.5">
      <c r="A223" s="17"/>
      <c r="B223" s="18">
        <v>46465</v>
      </c>
      <c r="C223" s="17" t="str">
        <f t="shared" si="20"/>
        <v>32.4 - day 5</v>
      </c>
      <c r="D223" s="17"/>
      <c r="E223" s="17">
        <f t="shared" si="23"/>
        <v>13436</v>
      </c>
      <c r="F223" s="17"/>
      <c r="G223" s="17"/>
      <c r="H223" s="17">
        <f t="shared" si="21"/>
        <v>13436</v>
      </c>
      <c r="I223" s="17"/>
      <c r="J223" s="17"/>
      <c r="K223" s="17"/>
      <c r="L223" s="17">
        <f t="shared" si="22"/>
        <v>0</v>
      </c>
      <c r="M223" s="17"/>
      <c r="N223" s="21">
        <f t="shared" si="24"/>
        <v>0</v>
      </c>
      <c r="O223" s="17">
        <f t="shared" si="25"/>
        <v>0</v>
      </c>
      <c r="P223" s="20"/>
    </row>
    <row r="224" spans="1:16" ht="21" x14ac:dyDescent="0.5">
      <c r="A224" s="17"/>
      <c r="B224" s="18">
        <v>46466</v>
      </c>
      <c r="C224" s="17" t="str">
        <f t="shared" si="20"/>
        <v>32.5 - day 6</v>
      </c>
      <c r="D224" s="17"/>
      <c r="E224" s="17">
        <f t="shared" si="23"/>
        <v>13436</v>
      </c>
      <c r="F224" s="17"/>
      <c r="G224" s="17"/>
      <c r="H224" s="17">
        <f t="shared" si="21"/>
        <v>13436</v>
      </c>
      <c r="I224" s="17"/>
      <c r="J224" s="17"/>
      <c r="K224" s="17"/>
      <c r="L224" s="17">
        <f t="shared" si="22"/>
        <v>0</v>
      </c>
      <c r="M224" s="17"/>
      <c r="N224" s="21">
        <f t="shared" si="24"/>
        <v>0</v>
      </c>
      <c r="O224" s="17">
        <f t="shared" si="25"/>
        <v>0</v>
      </c>
      <c r="P224" s="20"/>
    </row>
    <row r="225" spans="1:16" ht="21" x14ac:dyDescent="0.5">
      <c r="A225" s="17"/>
      <c r="B225" s="18">
        <v>46467</v>
      </c>
      <c r="C225" s="17" t="str">
        <f t="shared" si="20"/>
        <v>32.6 - day 7</v>
      </c>
      <c r="D225" s="17"/>
      <c r="E225" s="17">
        <f t="shared" si="23"/>
        <v>13436</v>
      </c>
      <c r="F225" s="17"/>
      <c r="G225" s="17"/>
      <c r="H225" s="17">
        <f t="shared" si="21"/>
        <v>13436</v>
      </c>
      <c r="I225" s="17"/>
      <c r="J225" s="17"/>
      <c r="K225" s="17"/>
      <c r="L225" s="17">
        <f t="shared" si="22"/>
        <v>0</v>
      </c>
      <c r="M225" s="17"/>
      <c r="N225" s="21">
        <f t="shared" si="24"/>
        <v>0</v>
      </c>
      <c r="O225" s="17">
        <f t="shared" si="25"/>
        <v>0</v>
      </c>
      <c r="P225" s="20"/>
    </row>
    <row r="226" spans="1:16" ht="21" x14ac:dyDescent="0.5">
      <c r="A226" s="17"/>
      <c r="B226" s="18">
        <v>46468</v>
      </c>
      <c r="C226" s="17" t="str">
        <f t="shared" si="20"/>
        <v>33.0 - day 1</v>
      </c>
      <c r="D226" s="17"/>
      <c r="E226" s="17">
        <f t="shared" si="23"/>
        <v>13436</v>
      </c>
      <c r="F226" s="17"/>
      <c r="G226" s="17"/>
      <c r="H226" s="17">
        <f t="shared" si="21"/>
        <v>13436</v>
      </c>
      <c r="I226" s="17"/>
      <c r="J226" s="17"/>
      <c r="K226" s="17"/>
      <c r="L226" s="17">
        <f t="shared" si="22"/>
        <v>0</v>
      </c>
      <c r="M226" s="17"/>
      <c r="N226" s="21">
        <f t="shared" si="24"/>
        <v>0</v>
      </c>
      <c r="O226" s="17">
        <f t="shared" si="25"/>
        <v>0</v>
      </c>
      <c r="P226" s="20"/>
    </row>
    <row r="227" spans="1:16" ht="21" x14ac:dyDescent="0.5">
      <c r="A227" s="17"/>
      <c r="B227" s="18">
        <v>46469</v>
      </c>
      <c r="C227" s="17" t="str">
        <f t="shared" si="20"/>
        <v>33.1 - day 2</v>
      </c>
      <c r="D227" s="17"/>
      <c r="E227" s="17">
        <f t="shared" si="23"/>
        <v>13436</v>
      </c>
      <c r="F227" s="17"/>
      <c r="G227" s="17"/>
      <c r="H227" s="17">
        <f t="shared" si="21"/>
        <v>13436</v>
      </c>
      <c r="I227" s="17"/>
      <c r="J227" s="17"/>
      <c r="K227" s="17"/>
      <c r="L227" s="17">
        <f t="shared" si="22"/>
        <v>0</v>
      </c>
      <c r="M227" s="17"/>
      <c r="N227" s="21">
        <f t="shared" si="24"/>
        <v>0</v>
      </c>
      <c r="O227" s="17">
        <f t="shared" si="25"/>
        <v>0</v>
      </c>
      <c r="P227" s="20"/>
    </row>
    <row r="228" spans="1:16" ht="21" x14ac:dyDescent="0.5">
      <c r="A228" s="17"/>
      <c r="B228" s="18">
        <v>46470</v>
      </c>
      <c r="C228" s="17" t="str">
        <f t="shared" si="20"/>
        <v>33.2 - day 3</v>
      </c>
      <c r="D228" s="17"/>
      <c r="E228" s="17">
        <f t="shared" si="23"/>
        <v>13436</v>
      </c>
      <c r="F228" s="17"/>
      <c r="G228" s="17"/>
      <c r="H228" s="17">
        <f t="shared" si="21"/>
        <v>13436</v>
      </c>
      <c r="I228" s="17"/>
      <c r="J228" s="17"/>
      <c r="K228" s="17"/>
      <c r="L228" s="17">
        <f t="shared" si="22"/>
        <v>0</v>
      </c>
      <c r="M228" s="17"/>
      <c r="N228" s="21">
        <f t="shared" si="24"/>
        <v>0</v>
      </c>
      <c r="O228" s="17">
        <f t="shared" si="25"/>
        <v>0</v>
      </c>
      <c r="P228" s="20"/>
    </row>
    <row r="229" spans="1:16" ht="21" x14ac:dyDescent="0.5">
      <c r="A229" s="17"/>
      <c r="B229" s="18">
        <v>46471</v>
      </c>
      <c r="C229" s="17" t="str">
        <f t="shared" si="20"/>
        <v>33.3 - day 4</v>
      </c>
      <c r="D229" s="17"/>
      <c r="E229" s="17">
        <f t="shared" si="23"/>
        <v>13436</v>
      </c>
      <c r="F229" s="17"/>
      <c r="G229" s="17"/>
      <c r="H229" s="17">
        <f t="shared" si="21"/>
        <v>13436</v>
      </c>
      <c r="I229" s="17"/>
      <c r="J229" s="17"/>
      <c r="K229" s="17"/>
      <c r="L229" s="17">
        <f t="shared" si="22"/>
        <v>0</v>
      </c>
      <c r="M229" s="17"/>
      <c r="N229" s="21">
        <f t="shared" si="24"/>
        <v>0</v>
      </c>
      <c r="O229" s="17">
        <f t="shared" si="25"/>
        <v>0</v>
      </c>
      <c r="P229" s="20"/>
    </row>
    <row r="230" spans="1:16" ht="21" x14ac:dyDescent="0.5">
      <c r="A230" s="17"/>
      <c r="B230" s="18">
        <v>46472</v>
      </c>
      <c r="C230" s="17" t="str">
        <f t="shared" si="20"/>
        <v>33.4 - day 5</v>
      </c>
      <c r="D230" s="17"/>
      <c r="E230" s="17">
        <f t="shared" si="23"/>
        <v>13436</v>
      </c>
      <c r="F230" s="17"/>
      <c r="G230" s="17"/>
      <c r="H230" s="17">
        <f t="shared" si="21"/>
        <v>13436</v>
      </c>
      <c r="I230" s="17"/>
      <c r="J230" s="17"/>
      <c r="K230" s="17"/>
      <c r="L230" s="17">
        <f t="shared" si="22"/>
        <v>0</v>
      </c>
      <c r="M230" s="17"/>
      <c r="N230" s="21">
        <f t="shared" si="24"/>
        <v>0</v>
      </c>
      <c r="O230" s="17">
        <f t="shared" si="25"/>
        <v>0</v>
      </c>
      <c r="P230" s="20"/>
    </row>
    <row r="231" spans="1:16" ht="21" x14ac:dyDescent="0.5">
      <c r="A231" s="17"/>
      <c r="B231" s="18">
        <v>46473</v>
      </c>
      <c r="C231" s="17" t="str">
        <f t="shared" si="20"/>
        <v>33.5 - day 6</v>
      </c>
      <c r="D231" s="17"/>
      <c r="E231" s="17">
        <f t="shared" si="23"/>
        <v>13436</v>
      </c>
      <c r="F231" s="17"/>
      <c r="G231" s="17"/>
      <c r="H231" s="17">
        <f t="shared" si="21"/>
        <v>13436</v>
      </c>
      <c r="I231" s="17"/>
      <c r="J231" s="17"/>
      <c r="K231" s="17"/>
      <c r="L231" s="17">
        <f t="shared" si="22"/>
        <v>0</v>
      </c>
      <c r="M231" s="17"/>
      <c r="N231" s="21">
        <f t="shared" si="24"/>
        <v>0</v>
      </c>
      <c r="O231" s="17">
        <f t="shared" si="25"/>
        <v>0</v>
      </c>
      <c r="P231" s="20"/>
    </row>
    <row r="232" spans="1:16" ht="21" x14ac:dyDescent="0.5">
      <c r="A232" s="17"/>
      <c r="B232" s="18">
        <v>46474</v>
      </c>
      <c r="C232" s="17" t="str">
        <f t="shared" si="20"/>
        <v>33.6 - day 7</v>
      </c>
      <c r="D232" s="17"/>
      <c r="E232" s="17">
        <f t="shared" si="23"/>
        <v>13436</v>
      </c>
      <c r="F232" s="17"/>
      <c r="G232" s="17"/>
      <c r="H232" s="17">
        <f t="shared" si="21"/>
        <v>13436</v>
      </c>
      <c r="I232" s="17"/>
      <c r="J232" s="17"/>
      <c r="K232" s="17"/>
      <c r="L232" s="17">
        <f t="shared" si="22"/>
        <v>0</v>
      </c>
      <c r="M232" s="17"/>
      <c r="N232" s="21">
        <f t="shared" si="24"/>
        <v>0</v>
      </c>
      <c r="O232" s="17">
        <f t="shared" si="25"/>
        <v>0</v>
      </c>
      <c r="P232" s="20"/>
    </row>
    <row r="233" spans="1:16" ht="21" x14ac:dyDescent="0.5">
      <c r="A233" s="17"/>
      <c r="B233" s="18">
        <v>46475</v>
      </c>
      <c r="C233" s="17" t="str">
        <f t="shared" si="20"/>
        <v>34.0 - day 1</v>
      </c>
      <c r="D233" s="17"/>
      <c r="E233" s="17">
        <f t="shared" si="23"/>
        <v>13436</v>
      </c>
      <c r="F233" s="17"/>
      <c r="G233" s="17"/>
      <c r="H233" s="17">
        <f t="shared" si="21"/>
        <v>13436</v>
      </c>
      <c r="I233" s="17"/>
      <c r="J233" s="17"/>
      <c r="K233" s="17"/>
      <c r="L233" s="17">
        <f t="shared" si="22"/>
        <v>0</v>
      </c>
      <c r="M233" s="17"/>
      <c r="N233" s="21">
        <f t="shared" si="24"/>
        <v>0</v>
      </c>
      <c r="O233" s="17">
        <f t="shared" si="25"/>
        <v>0</v>
      </c>
      <c r="P233" s="20"/>
    </row>
    <row r="234" spans="1:16" ht="21" x14ac:dyDescent="0.5">
      <c r="A234" s="17"/>
      <c r="B234" s="18">
        <v>46476</v>
      </c>
      <c r="C234" s="17" t="str">
        <f t="shared" si="20"/>
        <v>34.1 - day 2</v>
      </c>
      <c r="D234" s="17"/>
      <c r="E234" s="17">
        <f t="shared" si="23"/>
        <v>13436</v>
      </c>
      <c r="F234" s="17"/>
      <c r="G234" s="17"/>
      <c r="H234" s="17">
        <f t="shared" si="21"/>
        <v>13436</v>
      </c>
      <c r="I234" s="17"/>
      <c r="J234" s="17"/>
      <c r="K234" s="17"/>
      <c r="L234" s="17">
        <f t="shared" si="22"/>
        <v>0</v>
      </c>
      <c r="M234" s="17"/>
      <c r="N234" s="21">
        <f t="shared" si="24"/>
        <v>0</v>
      </c>
      <c r="O234" s="17">
        <f t="shared" si="25"/>
        <v>0</v>
      </c>
      <c r="P234" s="20"/>
    </row>
    <row r="235" spans="1:16" ht="21" x14ac:dyDescent="0.5">
      <c r="A235" s="17"/>
      <c r="B235" s="18">
        <v>46477</v>
      </c>
      <c r="C235" s="17" t="str">
        <f t="shared" si="20"/>
        <v>34.2 - day 3</v>
      </c>
      <c r="D235" s="17"/>
      <c r="E235" s="17">
        <f t="shared" si="23"/>
        <v>13436</v>
      </c>
      <c r="F235" s="17"/>
      <c r="G235" s="17"/>
      <c r="H235" s="17">
        <f t="shared" si="21"/>
        <v>13436</v>
      </c>
      <c r="I235" s="17"/>
      <c r="J235" s="17"/>
      <c r="K235" s="17"/>
      <c r="L235" s="17">
        <f t="shared" si="22"/>
        <v>0</v>
      </c>
      <c r="M235" s="17"/>
      <c r="N235" s="21">
        <f t="shared" si="24"/>
        <v>0</v>
      </c>
      <c r="O235" s="17">
        <f t="shared" si="25"/>
        <v>0</v>
      </c>
      <c r="P235" s="20"/>
    </row>
    <row r="236" spans="1:16" ht="21" x14ac:dyDescent="0.5">
      <c r="A236" s="17"/>
      <c r="B236" s="18">
        <v>46478</v>
      </c>
      <c r="C236" s="17" t="str">
        <f t="shared" si="20"/>
        <v>34.3 - day 4</v>
      </c>
      <c r="D236" s="17"/>
      <c r="E236" s="17">
        <f t="shared" si="23"/>
        <v>13436</v>
      </c>
      <c r="F236" s="17"/>
      <c r="G236" s="17"/>
      <c r="H236" s="17">
        <f t="shared" si="21"/>
        <v>13436</v>
      </c>
      <c r="I236" s="17"/>
      <c r="J236" s="17"/>
      <c r="K236" s="17"/>
      <c r="L236" s="17">
        <f t="shared" si="22"/>
        <v>0</v>
      </c>
      <c r="M236" s="17"/>
      <c r="N236" s="21">
        <f t="shared" si="24"/>
        <v>0</v>
      </c>
      <c r="O236" s="17">
        <f t="shared" si="25"/>
        <v>0</v>
      </c>
      <c r="P236" s="20"/>
    </row>
    <row r="237" spans="1:16" ht="21" x14ac:dyDescent="0.5">
      <c r="A237" s="17"/>
      <c r="B237" s="18">
        <v>46479</v>
      </c>
      <c r="C237" s="17" t="str">
        <f t="shared" si="20"/>
        <v>34.4 - day 5</v>
      </c>
      <c r="D237" s="17"/>
      <c r="E237" s="17">
        <f t="shared" si="23"/>
        <v>13436</v>
      </c>
      <c r="F237" s="17"/>
      <c r="G237" s="17"/>
      <c r="H237" s="17">
        <f t="shared" si="21"/>
        <v>13436</v>
      </c>
      <c r="I237" s="17"/>
      <c r="J237" s="17"/>
      <c r="K237" s="17"/>
      <c r="L237" s="17">
        <f t="shared" si="22"/>
        <v>0</v>
      </c>
      <c r="M237" s="17"/>
      <c r="N237" s="21">
        <f t="shared" si="24"/>
        <v>0</v>
      </c>
      <c r="O237" s="17">
        <f t="shared" si="25"/>
        <v>0</v>
      </c>
      <c r="P237" s="20"/>
    </row>
    <row r="238" spans="1:16" ht="21" x14ac:dyDescent="0.5">
      <c r="A238" s="17"/>
      <c r="B238" s="18">
        <v>46480</v>
      </c>
      <c r="C238" s="17" t="str">
        <f t="shared" si="20"/>
        <v>34.5 - day 6</v>
      </c>
      <c r="D238" s="17"/>
      <c r="E238" s="17">
        <f t="shared" si="23"/>
        <v>13436</v>
      </c>
      <c r="F238" s="17"/>
      <c r="G238" s="17"/>
      <c r="H238" s="17">
        <f t="shared" si="21"/>
        <v>13436</v>
      </c>
      <c r="I238" s="17"/>
      <c r="J238" s="17"/>
      <c r="K238" s="17"/>
      <c r="L238" s="17">
        <f t="shared" si="22"/>
        <v>0</v>
      </c>
      <c r="M238" s="17"/>
      <c r="N238" s="21">
        <f t="shared" si="24"/>
        <v>0</v>
      </c>
      <c r="O238" s="17">
        <f t="shared" si="25"/>
        <v>0</v>
      </c>
      <c r="P238" s="20"/>
    </row>
    <row r="239" spans="1:16" ht="21" x14ac:dyDescent="0.5">
      <c r="A239" s="17"/>
      <c r="B239" s="18">
        <v>46481</v>
      </c>
      <c r="C239" s="17" t="str">
        <f t="shared" si="20"/>
        <v>34.6 - day 7</v>
      </c>
      <c r="D239" s="17"/>
      <c r="E239" s="17">
        <f t="shared" si="23"/>
        <v>13436</v>
      </c>
      <c r="F239" s="17"/>
      <c r="G239" s="17"/>
      <c r="H239" s="17">
        <f t="shared" si="21"/>
        <v>13436</v>
      </c>
      <c r="I239" s="17"/>
      <c r="J239" s="17"/>
      <c r="K239" s="17"/>
      <c r="L239" s="17">
        <f t="shared" si="22"/>
        <v>0</v>
      </c>
      <c r="M239" s="17"/>
      <c r="N239" s="21">
        <f t="shared" si="24"/>
        <v>0</v>
      </c>
      <c r="O239" s="17">
        <f t="shared" si="25"/>
        <v>0</v>
      </c>
      <c r="P239" s="20"/>
    </row>
    <row r="240" spans="1:16" ht="21" x14ac:dyDescent="0.5">
      <c r="A240" s="17"/>
      <c r="B240" s="18">
        <v>46482</v>
      </c>
      <c r="C240" s="17" t="str">
        <f t="shared" si="20"/>
        <v>35.0 - day 1</v>
      </c>
      <c r="D240" s="17"/>
      <c r="E240" s="17">
        <f t="shared" si="23"/>
        <v>13436</v>
      </c>
      <c r="F240" s="17"/>
      <c r="G240" s="17"/>
      <c r="H240" s="17">
        <f t="shared" si="21"/>
        <v>13436</v>
      </c>
      <c r="I240" s="17"/>
      <c r="J240" s="17"/>
      <c r="K240" s="17"/>
      <c r="L240" s="17">
        <f t="shared" si="22"/>
        <v>0</v>
      </c>
      <c r="M240" s="17"/>
      <c r="N240" s="21">
        <f t="shared" si="24"/>
        <v>0</v>
      </c>
      <c r="O240" s="17">
        <f t="shared" si="25"/>
        <v>0</v>
      </c>
      <c r="P240" s="20"/>
    </row>
    <row r="241" spans="1:16" ht="21" x14ac:dyDescent="0.5">
      <c r="A241" s="17"/>
      <c r="B241" s="18">
        <v>46483</v>
      </c>
      <c r="C241" s="17" t="str">
        <f t="shared" si="20"/>
        <v>35.1 - day 2</v>
      </c>
      <c r="D241" s="17"/>
      <c r="E241" s="17">
        <f t="shared" si="23"/>
        <v>13436</v>
      </c>
      <c r="F241" s="17"/>
      <c r="G241" s="17"/>
      <c r="H241" s="17">
        <f t="shared" si="21"/>
        <v>13436</v>
      </c>
      <c r="I241" s="17"/>
      <c r="J241" s="17"/>
      <c r="K241" s="17"/>
      <c r="L241" s="17">
        <f t="shared" si="22"/>
        <v>0</v>
      </c>
      <c r="M241" s="17"/>
      <c r="N241" s="21">
        <f t="shared" si="24"/>
        <v>0</v>
      </c>
      <c r="O241" s="17">
        <f t="shared" si="25"/>
        <v>0</v>
      </c>
      <c r="P241" s="20"/>
    </row>
    <row r="242" spans="1:16" ht="21" x14ac:dyDescent="0.5">
      <c r="A242" s="17"/>
      <c r="B242" s="18">
        <v>46484</v>
      </c>
      <c r="C242" s="17" t="str">
        <f t="shared" si="20"/>
        <v>35.2 - day 3</v>
      </c>
      <c r="D242" s="17"/>
      <c r="E242" s="17">
        <f t="shared" si="23"/>
        <v>13436</v>
      </c>
      <c r="F242" s="17"/>
      <c r="G242" s="17"/>
      <c r="H242" s="17">
        <f t="shared" si="21"/>
        <v>13436</v>
      </c>
      <c r="I242" s="17"/>
      <c r="J242" s="17"/>
      <c r="K242" s="17"/>
      <c r="L242" s="17">
        <f t="shared" si="22"/>
        <v>0</v>
      </c>
      <c r="M242" s="17"/>
      <c r="N242" s="21">
        <f t="shared" si="24"/>
        <v>0</v>
      </c>
      <c r="O242" s="17">
        <f t="shared" si="25"/>
        <v>0</v>
      </c>
      <c r="P242" s="20"/>
    </row>
    <row r="243" spans="1:16" ht="21" x14ac:dyDescent="0.5">
      <c r="A243" s="17"/>
      <c r="B243" s="18">
        <v>46485</v>
      </c>
      <c r="C243" s="17" t="str">
        <f t="shared" si="20"/>
        <v>35.3 - day 4</v>
      </c>
      <c r="D243" s="17"/>
      <c r="E243" s="17">
        <f t="shared" si="23"/>
        <v>13436</v>
      </c>
      <c r="F243" s="17"/>
      <c r="G243" s="17"/>
      <c r="H243" s="17">
        <f t="shared" si="21"/>
        <v>13436</v>
      </c>
      <c r="I243" s="17"/>
      <c r="J243" s="17"/>
      <c r="K243" s="17"/>
      <c r="L243" s="17">
        <f t="shared" si="22"/>
        <v>0</v>
      </c>
      <c r="M243" s="17"/>
      <c r="N243" s="21">
        <f t="shared" si="24"/>
        <v>0</v>
      </c>
      <c r="O243" s="17">
        <f t="shared" si="25"/>
        <v>0</v>
      </c>
      <c r="P243" s="20"/>
    </row>
    <row r="244" spans="1:16" ht="21" x14ac:dyDescent="0.5">
      <c r="A244" s="17"/>
      <c r="B244" s="18">
        <v>46486</v>
      </c>
      <c r="C244" s="17" t="str">
        <f t="shared" si="20"/>
        <v>35.4 - day 5</v>
      </c>
      <c r="D244" s="17"/>
      <c r="E244" s="17">
        <f t="shared" si="23"/>
        <v>13436</v>
      </c>
      <c r="F244" s="17"/>
      <c r="G244" s="17"/>
      <c r="H244" s="17">
        <f t="shared" si="21"/>
        <v>13436</v>
      </c>
      <c r="I244" s="17"/>
      <c r="J244" s="17"/>
      <c r="K244" s="17"/>
      <c r="L244" s="17">
        <f t="shared" si="22"/>
        <v>0</v>
      </c>
      <c r="M244" s="17"/>
      <c r="N244" s="21">
        <f t="shared" si="24"/>
        <v>0</v>
      </c>
      <c r="O244" s="17">
        <f t="shared" si="25"/>
        <v>0</v>
      </c>
      <c r="P244" s="20"/>
    </row>
    <row r="245" spans="1:16" ht="21" x14ac:dyDescent="0.5">
      <c r="A245" s="17"/>
      <c r="B245" s="18">
        <v>46487</v>
      </c>
      <c r="C245" s="17" t="str">
        <f t="shared" si="20"/>
        <v>35.5 - day 6</v>
      </c>
      <c r="D245" s="17"/>
      <c r="E245" s="17">
        <f t="shared" si="23"/>
        <v>13436</v>
      </c>
      <c r="F245" s="17"/>
      <c r="G245" s="17"/>
      <c r="H245" s="17">
        <f t="shared" si="21"/>
        <v>13436</v>
      </c>
      <c r="I245" s="17"/>
      <c r="J245" s="17"/>
      <c r="K245" s="17"/>
      <c r="L245" s="17">
        <f t="shared" si="22"/>
        <v>0</v>
      </c>
      <c r="M245" s="17"/>
      <c r="N245" s="21">
        <f t="shared" si="24"/>
        <v>0</v>
      </c>
      <c r="O245" s="17">
        <f t="shared" si="25"/>
        <v>0</v>
      </c>
      <c r="P245" s="20"/>
    </row>
    <row r="246" spans="1:16" ht="21" x14ac:dyDescent="0.5">
      <c r="A246" s="17"/>
      <c r="B246" s="18">
        <v>46488</v>
      </c>
      <c r="C246" s="17" t="str">
        <f t="shared" si="20"/>
        <v>35.6 - day 7</v>
      </c>
      <c r="D246" s="17"/>
      <c r="E246" s="17">
        <f t="shared" si="23"/>
        <v>13436</v>
      </c>
      <c r="F246" s="17"/>
      <c r="G246" s="17"/>
      <c r="H246" s="17">
        <f t="shared" si="21"/>
        <v>13436</v>
      </c>
      <c r="I246" s="17"/>
      <c r="J246" s="17"/>
      <c r="K246" s="17"/>
      <c r="L246" s="17">
        <f t="shared" si="22"/>
        <v>0</v>
      </c>
      <c r="M246" s="17"/>
      <c r="N246" s="21">
        <f t="shared" si="24"/>
        <v>0</v>
      </c>
      <c r="O246" s="17">
        <f t="shared" si="25"/>
        <v>0</v>
      </c>
      <c r="P246" s="20"/>
    </row>
    <row r="247" spans="1:16" ht="21" x14ac:dyDescent="0.5">
      <c r="A247" s="17"/>
      <c r="B247" s="18">
        <v>46489</v>
      </c>
      <c r="C247" s="17" t="str">
        <f t="shared" si="20"/>
        <v>36.0 - day 1</v>
      </c>
      <c r="D247" s="17"/>
      <c r="E247" s="17">
        <f t="shared" si="23"/>
        <v>13436</v>
      </c>
      <c r="F247" s="17"/>
      <c r="G247" s="17"/>
      <c r="H247" s="17">
        <f t="shared" si="21"/>
        <v>13436</v>
      </c>
      <c r="I247" s="17"/>
      <c r="J247" s="17"/>
      <c r="K247" s="17"/>
      <c r="L247" s="17">
        <f t="shared" si="22"/>
        <v>0</v>
      </c>
      <c r="M247" s="17"/>
      <c r="N247" s="21">
        <f t="shared" si="24"/>
        <v>0</v>
      </c>
      <c r="O247" s="17">
        <f t="shared" si="25"/>
        <v>0</v>
      </c>
      <c r="P247" s="20"/>
    </row>
    <row r="248" spans="1:16" ht="21" x14ac:dyDescent="0.5">
      <c r="A248" s="17"/>
      <c r="B248" s="18">
        <v>46490</v>
      </c>
      <c r="C248" s="17" t="str">
        <f t="shared" si="20"/>
        <v>36.1 - day 2</v>
      </c>
      <c r="D248" s="17"/>
      <c r="E248" s="17">
        <f t="shared" si="23"/>
        <v>13436</v>
      </c>
      <c r="F248" s="17"/>
      <c r="G248" s="17"/>
      <c r="H248" s="17">
        <f t="shared" si="21"/>
        <v>13436</v>
      </c>
      <c r="I248" s="17"/>
      <c r="J248" s="17"/>
      <c r="K248" s="17"/>
      <c r="L248" s="17">
        <f t="shared" si="22"/>
        <v>0</v>
      </c>
      <c r="M248" s="17"/>
      <c r="N248" s="21">
        <f t="shared" si="24"/>
        <v>0</v>
      </c>
      <c r="O248" s="17">
        <f t="shared" si="25"/>
        <v>0</v>
      </c>
      <c r="P248" s="20"/>
    </row>
    <row r="249" spans="1:16" ht="21" x14ac:dyDescent="0.5">
      <c r="A249" s="17"/>
      <c r="B249" s="18">
        <v>46491</v>
      </c>
      <c r="C249" s="17" t="str">
        <f t="shared" si="20"/>
        <v>36.2 - day 3</v>
      </c>
      <c r="D249" s="17"/>
      <c r="E249" s="17">
        <f t="shared" si="23"/>
        <v>13436</v>
      </c>
      <c r="F249" s="17"/>
      <c r="G249" s="17"/>
      <c r="H249" s="17">
        <f t="shared" si="21"/>
        <v>13436</v>
      </c>
      <c r="I249" s="17"/>
      <c r="J249" s="17"/>
      <c r="K249" s="17"/>
      <c r="L249" s="17">
        <f t="shared" si="22"/>
        <v>0</v>
      </c>
      <c r="M249" s="17"/>
      <c r="N249" s="21">
        <f t="shared" si="24"/>
        <v>0</v>
      </c>
      <c r="O249" s="17">
        <f t="shared" si="25"/>
        <v>0</v>
      </c>
      <c r="P249" s="20"/>
    </row>
    <row r="250" spans="1:16" ht="21" x14ac:dyDescent="0.5">
      <c r="A250" s="17"/>
      <c r="B250" s="18">
        <v>46492</v>
      </c>
      <c r="C250" s="17" t="str">
        <f t="shared" si="20"/>
        <v>36.3 - day 4</v>
      </c>
      <c r="D250" s="17"/>
      <c r="E250" s="17">
        <f t="shared" si="23"/>
        <v>13436</v>
      </c>
      <c r="F250" s="17"/>
      <c r="G250" s="17"/>
      <c r="H250" s="17">
        <f t="shared" si="21"/>
        <v>13436</v>
      </c>
      <c r="I250" s="17"/>
      <c r="J250" s="17"/>
      <c r="K250" s="17"/>
      <c r="L250" s="17">
        <f t="shared" si="22"/>
        <v>0</v>
      </c>
      <c r="M250" s="17"/>
      <c r="N250" s="21">
        <f t="shared" si="24"/>
        <v>0</v>
      </c>
      <c r="O250" s="17">
        <f t="shared" si="25"/>
        <v>0</v>
      </c>
      <c r="P250" s="20"/>
    </row>
    <row r="251" spans="1:16" ht="21" x14ac:dyDescent="0.5">
      <c r="A251" s="17"/>
      <c r="B251" s="18">
        <v>46493</v>
      </c>
      <c r="C251" s="17" t="str">
        <f t="shared" si="20"/>
        <v>36.4 - day 5</v>
      </c>
      <c r="D251" s="17"/>
      <c r="E251" s="17">
        <f t="shared" si="23"/>
        <v>13436</v>
      </c>
      <c r="F251" s="17"/>
      <c r="G251" s="17"/>
      <c r="H251" s="17">
        <f t="shared" si="21"/>
        <v>13436</v>
      </c>
      <c r="I251" s="17"/>
      <c r="J251" s="17"/>
      <c r="K251" s="17"/>
      <c r="L251" s="17">
        <f t="shared" si="22"/>
        <v>0</v>
      </c>
      <c r="M251" s="17"/>
      <c r="N251" s="21">
        <f t="shared" si="24"/>
        <v>0</v>
      </c>
      <c r="O251" s="17">
        <f t="shared" si="25"/>
        <v>0</v>
      </c>
      <c r="P251" s="20"/>
    </row>
    <row r="252" spans="1:16" ht="21" x14ac:dyDescent="0.5">
      <c r="A252" s="17"/>
      <c r="B252" s="18">
        <v>46494</v>
      </c>
      <c r="C252" s="17" t="str">
        <f t="shared" si="20"/>
        <v>36.5 - day 6</v>
      </c>
      <c r="D252" s="17"/>
      <c r="E252" s="17">
        <f t="shared" si="23"/>
        <v>13436</v>
      </c>
      <c r="F252" s="17"/>
      <c r="G252" s="17"/>
      <c r="H252" s="17">
        <f t="shared" si="21"/>
        <v>13436</v>
      </c>
      <c r="I252" s="17"/>
      <c r="J252" s="17"/>
      <c r="K252" s="17"/>
      <c r="L252" s="17">
        <f t="shared" si="22"/>
        <v>0</v>
      </c>
      <c r="M252" s="17"/>
      <c r="N252" s="21">
        <f t="shared" si="24"/>
        <v>0</v>
      </c>
      <c r="O252" s="17">
        <f t="shared" si="25"/>
        <v>0</v>
      </c>
      <c r="P252" s="20"/>
    </row>
    <row r="253" spans="1:16" ht="21" x14ac:dyDescent="0.5">
      <c r="A253" s="17"/>
      <c r="B253" s="18">
        <v>46495</v>
      </c>
      <c r="C253" s="17" t="str">
        <f t="shared" si="20"/>
        <v>36.6 - day 7</v>
      </c>
      <c r="D253" s="17"/>
      <c r="E253" s="17">
        <f t="shared" si="23"/>
        <v>13436</v>
      </c>
      <c r="F253" s="17"/>
      <c r="G253" s="17"/>
      <c r="H253" s="17">
        <f t="shared" si="21"/>
        <v>13436</v>
      </c>
      <c r="I253" s="17"/>
      <c r="J253" s="17"/>
      <c r="K253" s="17"/>
      <c r="L253" s="17">
        <f t="shared" si="22"/>
        <v>0</v>
      </c>
      <c r="M253" s="17"/>
      <c r="N253" s="21">
        <f t="shared" si="24"/>
        <v>0</v>
      </c>
      <c r="O253" s="17">
        <f t="shared" si="25"/>
        <v>0</v>
      </c>
      <c r="P253" s="20"/>
    </row>
    <row r="254" spans="1:16" ht="21" x14ac:dyDescent="0.5">
      <c r="A254" s="17"/>
      <c r="B254" s="18">
        <v>46496</v>
      </c>
      <c r="C254" s="17" t="str">
        <f t="shared" si="20"/>
        <v>37.0 - day 1</v>
      </c>
      <c r="D254" s="17"/>
      <c r="E254" s="17">
        <f t="shared" si="23"/>
        <v>13436</v>
      </c>
      <c r="F254" s="17"/>
      <c r="G254" s="17"/>
      <c r="H254" s="17">
        <f t="shared" si="21"/>
        <v>13436</v>
      </c>
      <c r="I254" s="17"/>
      <c r="J254" s="17"/>
      <c r="K254" s="17"/>
      <c r="L254" s="17">
        <f t="shared" si="22"/>
        <v>0</v>
      </c>
      <c r="M254" s="17"/>
      <c r="N254" s="21">
        <f t="shared" si="24"/>
        <v>0</v>
      </c>
      <c r="O254" s="17">
        <f t="shared" si="25"/>
        <v>0</v>
      </c>
      <c r="P254" s="20"/>
    </row>
    <row r="255" spans="1:16" ht="21" x14ac:dyDescent="0.5">
      <c r="A255" s="17"/>
      <c r="B255" s="18">
        <v>46497</v>
      </c>
      <c r="C255" s="17" t="str">
        <f t="shared" si="20"/>
        <v>37.1 - day 2</v>
      </c>
      <c r="D255" s="17"/>
      <c r="E255" s="17">
        <f t="shared" si="23"/>
        <v>13436</v>
      </c>
      <c r="F255" s="17"/>
      <c r="G255" s="17"/>
      <c r="H255" s="17">
        <f t="shared" si="21"/>
        <v>13436</v>
      </c>
      <c r="I255" s="17"/>
      <c r="J255" s="17"/>
      <c r="K255" s="17"/>
      <c r="L255" s="17">
        <f t="shared" si="22"/>
        <v>0</v>
      </c>
      <c r="M255" s="17"/>
      <c r="N255" s="21">
        <f t="shared" si="24"/>
        <v>0</v>
      </c>
      <c r="O255" s="17">
        <f t="shared" si="25"/>
        <v>0</v>
      </c>
      <c r="P255" s="20"/>
    </row>
    <row r="256" spans="1:16" ht="21" x14ac:dyDescent="0.5">
      <c r="A256" s="17"/>
      <c r="B256" s="18">
        <v>46498</v>
      </c>
      <c r="C256" s="17" t="str">
        <f t="shared" si="20"/>
        <v>37.2 - day 3</v>
      </c>
      <c r="D256" s="17"/>
      <c r="E256" s="17">
        <f t="shared" si="23"/>
        <v>13436</v>
      </c>
      <c r="F256" s="17"/>
      <c r="G256" s="17"/>
      <c r="H256" s="17">
        <f t="shared" si="21"/>
        <v>13436</v>
      </c>
      <c r="I256" s="17"/>
      <c r="J256" s="17"/>
      <c r="K256" s="17"/>
      <c r="L256" s="17">
        <f t="shared" si="22"/>
        <v>0</v>
      </c>
      <c r="M256" s="17"/>
      <c r="N256" s="21">
        <f t="shared" si="24"/>
        <v>0</v>
      </c>
      <c r="O256" s="17">
        <f t="shared" si="25"/>
        <v>0</v>
      </c>
      <c r="P256" s="20"/>
    </row>
    <row r="257" spans="1:16" ht="21" x14ac:dyDescent="0.5">
      <c r="A257" s="17"/>
      <c r="B257" s="18">
        <v>46499</v>
      </c>
      <c r="C257" s="17" t="str">
        <f t="shared" si="20"/>
        <v>37.3 - day 4</v>
      </c>
      <c r="D257" s="17"/>
      <c r="E257" s="17">
        <f t="shared" si="23"/>
        <v>13436</v>
      </c>
      <c r="F257" s="17"/>
      <c r="G257" s="17"/>
      <c r="H257" s="17">
        <f t="shared" si="21"/>
        <v>13436</v>
      </c>
      <c r="I257" s="17"/>
      <c r="J257" s="17"/>
      <c r="K257" s="17"/>
      <c r="L257" s="17">
        <f t="shared" si="22"/>
        <v>0</v>
      </c>
      <c r="M257" s="17"/>
      <c r="N257" s="21">
        <f t="shared" si="24"/>
        <v>0</v>
      </c>
      <c r="O257" s="17">
        <f t="shared" si="25"/>
        <v>0</v>
      </c>
      <c r="P257" s="20"/>
    </row>
    <row r="258" spans="1:16" ht="21" x14ac:dyDescent="0.5">
      <c r="A258" s="17"/>
      <c r="B258" s="18">
        <v>46500</v>
      </c>
      <c r="C258" s="17" t="str">
        <f t="shared" si="20"/>
        <v>37.4 - day 5</v>
      </c>
      <c r="D258" s="17"/>
      <c r="E258" s="17">
        <f t="shared" si="23"/>
        <v>13436</v>
      </c>
      <c r="F258" s="17"/>
      <c r="G258" s="17"/>
      <c r="H258" s="17">
        <f t="shared" si="21"/>
        <v>13436</v>
      </c>
      <c r="I258" s="17"/>
      <c r="J258" s="17"/>
      <c r="K258" s="17"/>
      <c r="L258" s="17">
        <f t="shared" si="22"/>
        <v>0</v>
      </c>
      <c r="M258" s="17"/>
      <c r="N258" s="21">
        <f t="shared" si="24"/>
        <v>0</v>
      </c>
      <c r="O258" s="17">
        <f t="shared" si="25"/>
        <v>0</v>
      </c>
      <c r="P258" s="20"/>
    </row>
    <row r="259" spans="1:16" ht="21" x14ac:dyDescent="0.5">
      <c r="A259" s="17"/>
      <c r="B259" s="18">
        <v>46501</v>
      </c>
      <c r="C259" s="17" t="str">
        <f t="shared" si="20"/>
        <v>37.5 - day 6</v>
      </c>
      <c r="D259" s="17"/>
      <c r="E259" s="17">
        <f t="shared" si="23"/>
        <v>13436</v>
      </c>
      <c r="F259" s="17"/>
      <c r="G259" s="17"/>
      <c r="H259" s="17">
        <f t="shared" si="21"/>
        <v>13436</v>
      </c>
      <c r="I259" s="17"/>
      <c r="J259" s="17"/>
      <c r="K259" s="17"/>
      <c r="L259" s="17">
        <f t="shared" si="22"/>
        <v>0</v>
      </c>
      <c r="M259" s="17"/>
      <c r="N259" s="21">
        <f t="shared" si="24"/>
        <v>0</v>
      </c>
      <c r="O259" s="17">
        <f t="shared" si="25"/>
        <v>0</v>
      </c>
      <c r="P259" s="20"/>
    </row>
    <row r="260" spans="1:16" ht="21" x14ac:dyDescent="0.5">
      <c r="A260" s="17"/>
      <c r="B260" s="18">
        <v>46502</v>
      </c>
      <c r="C260" s="17" t="str">
        <f t="shared" ref="C260:C323" si="26">(QUOTIENT(ROW()-2,7)+1)&amp;"."&amp;MOD(ROW()-2,7)&amp;" - day "&amp;(MOD(ROW()-2,7)+1)</f>
        <v>37.6 - day 7</v>
      </c>
      <c r="D260" s="17"/>
      <c r="E260" s="17">
        <f t="shared" si="23"/>
        <v>13436</v>
      </c>
      <c r="F260" s="17"/>
      <c r="G260" s="17"/>
      <c r="H260" s="17">
        <f t="shared" ref="H260:H323" si="27">SUM(E260-F260-G260)</f>
        <v>13436</v>
      </c>
      <c r="I260" s="17"/>
      <c r="J260" s="17"/>
      <c r="K260" s="17"/>
      <c r="L260" s="17">
        <f t="shared" ref="L260:L323" si="28">SUM(J260+K260)/H260*100</f>
        <v>0</v>
      </c>
      <c r="M260" s="17"/>
      <c r="N260" s="21">
        <f t="shared" si="24"/>
        <v>0</v>
      </c>
      <c r="O260" s="17">
        <f t="shared" si="25"/>
        <v>0</v>
      </c>
      <c r="P260" s="20"/>
    </row>
    <row r="261" spans="1:16" ht="21" x14ac:dyDescent="0.5">
      <c r="A261" s="17"/>
      <c r="B261" s="18">
        <v>46503</v>
      </c>
      <c r="C261" s="17" t="str">
        <f t="shared" si="26"/>
        <v>38.0 - day 1</v>
      </c>
      <c r="D261" s="17"/>
      <c r="E261" s="17">
        <f t="shared" si="23"/>
        <v>13436</v>
      </c>
      <c r="F261" s="17"/>
      <c r="G261" s="17"/>
      <c r="H261" s="17">
        <f t="shared" si="27"/>
        <v>13436</v>
      </c>
      <c r="I261" s="17"/>
      <c r="J261" s="17"/>
      <c r="K261" s="17"/>
      <c r="L261" s="17">
        <f t="shared" si="28"/>
        <v>0</v>
      </c>
      <c r="M261" s="17"/>
      <c r="N261" s="21">
        <f t="shared" si="24"/>
        <v>0</v>
      </c>
      <c r="O261" s="17">
        <f t="shared" si="25"/>
        <v>0</v>
      </c>
      <c r="P261" s="20"/>
    </row>
    <row r="262" spans="1:16" ht="21" x14ac:dyDescent="0.5">
      <c r="A262" s="17"/>
      <c r="B262" s="18">
        <v>46504</v>
      </c>
      <c r="C262" s="17" t="str">
        <f t="shared" si="26"/>
        <v>38.1 - day 2</v>
      </c>
      <c r="D262" s="17"/>
      <c r="E262" s="17">
        <f t="shared" ref="E262:E325" si="29">H261</f>
        <v>13436</v>
      </c>
      <c r="F262" s="17"/>
      <c r="G262" s="17"/>
      <c r="H262" s="17">
        <f t="shared" si="27"/>
        <v>13436</v>
      </c>
      <c r="I262" s="17"/>
      <c r="J262" s="17"/>
      <c r="K262" s="17"/>
      <c r="L262" s="17">
        <f t="shared" si="28"/>
        <v>0</v>
      </c>
      <c r="M262" s="17"/>
      <c r="N262" s="21">
        <f t="shared" si="24"/>
        <v>0</v>
      </c>
      <c r="O262" s="17">
        <f t="shared" si="25"/>
        <v>0</v>
      </c>
      <c r="P262" s="20"/>
    </row>
    <row r="263" spans="1:16" ht="21" x14ac:dyDescent="0.5">
      <c r="A263" s="17"/>
      <c r="B263" s="18">
        <v>46505</v>
      </c>
      <c r="C263" s="17" t="str">
        <f t="shared" si="26"/>
        <v>38.2 - day 3</v>
      </c>
      <c r="D263" s="17"/>
      <c r="E263" s="17">
        <f t="shared" si="29"/>
        <v>13436</v>
      </c>
      <c r="F263" s="17"/>
      <c r="G263" s="17"/>
      <c r="H263" s="17">
        <f t="shared" si="27"/>
        <v>13436</v>
      </c>
      <c r="I263" s="17"/>
      <c r="J263" s="17"/>
      <c r="K263" s="17"/>
      <c r="L263" s="17">
        <f t="shared" si="28"/>
        <v>0</v>
      </c>
      <c r="M263" s="17"/>
      <c r="N263" s="21">
        <f t="shared" si="24"/>
        <v>0</v>
      </c>
      <c r="O263" s="17">
        <f t="shared" si="25"/>
        <v>0</v>
      </c>
      <c r="P263" s="20"/>
    </row>
    <row r="264" spans="1:16" ht="21" x14ac:dyDescent="0.5">
      <c r="A264" s="17"/>
      <c r="B264" s="18">
        <v>46506</v>
      </c>
      <c r="C264" s="17" t="str">
        <f t="shared" si="26"/>
        <v>38.3 - day 4</v>
      </c>
      <c r="D264" s="17"/>
      <c r="E264" s="17">
        <f t="shared" si="29"/>
        <v>13436</v>
      </c>
      <c r="F264" s="17"/>
      <c r="G264" s="17"/>
      <c r="H264" s="17">
        <f t="shared" si="27"/>
        <v>13436</v>
      </c>
      <c r="I264" s="17"/>
      <c r="J264" s="17"/>
      <c r="K264" s="17"/>
      <c r="L264" s="17">
        <f t="shared" si="28"/>
        <v>0</v>
      </c>
      <c r="M264" s="17"/>
      <c r="N264" s="21">
        <f t="shared" si="24"/>
        <v>0</v>
      </c>
      <c r="O264" s="17">
        <f t="shared" si="25"/>
        <v>0</v>
      </c>
      <c r="P264" s="20"/>
    </row>
    <row r="265" spans="1:16" ht="21" x14ac:dyDescent="0.5">
      <c r="A265" s="17"/>
      <c r="B265" s="18">
        <v>46507</v>
      </c>
      <c r="C265" s="17" t="str">
        <f t="shared" si="26"/>
        <v>38.4 - day 5</v>
      </c>
      <c r="D265" s="17"/>
      <c r="E265" s="17">
        <f t="shared" si="29"/>
        <v>13436</v>
      </c>
      <c r="F265" s="17"/>
      <c r="G265" s="17"/>
      <c r="H265" s="17">
        <f t="shared" si="27"/>
        <v>13436</v>
      </c>
      <c r="I265" s="17"/>
      <c r="J265" s="17"/>
      <c r="K265" s="17"/>
      <c r="L265" s="17">
        <f t="shared" si="28"/>
        <v>0</v>
      </c>
      <c r="M265" s="17"/>
      <c r="N265" s="21">
        <f t="shared" si="24"/>
        <v>0</v>
      </c>
      <c r="O265" s="17">
        <f t="shared" si="25"/>
        <v>0</v>
      </c>
      <c r="P265" s="20"/>
    </row>
    <row r="266" spans="1:16" ht="21" x14ac:dyDescent="0.5">
      <c r="A266" s="17"/>
      <c r="B266" s="18">
        <v>46508</v>
      </c>
      <c r="C266" s="17" t="str">
        <f t="shared" si="26"/>
        <v>38.5 - day 6</v>
      </c>
      <c r="D266" s="17"/>
      <c r="E266" s="17">
        <f t="shared" si="29"/>
        <v>13436</v>
      </c>
      <c r="F266" s="17"/>
      <c r="G266" s="17"/>
      <c r="H266" s="17">
        <f t="shared" si="27"/>
        <v>13436</v>
      </c>
      <c r="I266" s="17"/>
      <c r="J266" s="17"/>
      <c r="K266" s="17"/>
      <c r="L266" s="17">
        <f t="shared" si="28"/>
        <v>0</v>
      </c>
      <c r="M266" s="17"/>
      <c r="N266" s="21">
        <f t="shared" si="24"/>
        <v>0</v>
      </c>
      <c r="O266" s="17">
        <f t="shared" si="25"/>
        <v>0</v>
      </c>
      <c r="P266" s="20"/>
    </row>
    <row r="267" spans="1:16" ht="21" x14ac:dyDescent="0.5">
      <c r="A267" s="17"/>
      <c r="B267" s="18">
        <v>46509</v>
      </c>
      <c r="C267" s="17" t="str">
        <f t="shared" si="26"/>
        <v>38.6 - day 7</v>
      </c>
      <c r="D267" s="17"/>
      <c r="E267" s="17">
        <f t="shared" si="29"/>
        <v>13436</v>
      </c>
      <c r="F267" s="17"/>
      <c r="G267" s="17"/>
      <c r="H267" s="17">
        <f t="shared" si="27"/>
        <v>13436</v>
      </c>
      <c r="I267" s="17"/>
      <c r="J267" s="17"/>
      <c r="K267" s="17"/>
      <c r="L267" s="17">
        <f t="shared" si="28"/>
        <v>0</v>
      </c>
      <c r="M267" s="17"/>
      <c r="N267" s="21">
        <f t="shared" si="24"/>
        <v>0</v>
      </c>
      <c r="O267" s="17">
        <f t="shared" si="25"/>
        <v>0</v>
      </c>
      <c r="P267" s="20"/>
    </row>
    <row r="268" spans="1:16" ht="21" x14ac:dyDescent="0.5">
      <c r="A268" s="17"/>
      <c r="B268" s="18">
        <v>46510</v>
      </c>
      <c r="C268" s="17" t="str">
        <f t="shared" si="26"/>
        <v>39.0 - day 1</v>
      </c>
      <c r="D268" s="17"/>
      <c r="E268" s="17">
        <f t="shared" si="29"/>
        <v>13436</v>
      </c>
      <c r="F268" s="17"/>
      <c r="G268" s="17"/>
      <c r="H268" s="17">
        <f t="shared" si="27"/>
        <v>13436</v>
      </c>
      <c r="I268" s="17"/>
      <c r="J268" s="17"/>
      <c r="K268" s="17"/>
      <c r="L268" s="17">
        <f t="shared" si="28"/>
        <v>0</v>
      </c>
      <c r="M268" s="17"/>
      <c r="N268" s="21">
        <f t="shared" si="24"/>
        <v>0</v>
      </c>
      <c r="O268" s="17">
        <f t="shared" si="25"/>
        <v>0</v>
      </c>
      <c r="P268" s="20"/>
    </row>
    <row r="269" spans="1:16" ht="21" x14ac:dyDescent="0.5">
      <c r="A269" s="17"/>
      <c r="B269" s="18">
        <v>46511</v>
      </c>
      <c r="C269" s="17" t="str">
        <f t="shared" si="26"/>
        <v>39.1 - day 2</v>
      </c>
      <c r="D269" s="17"/>
      <c r="E269" s="17">
        <f t="shared" si="29"/>
        <v>13436</v>
      </c>
      <c r="F269" s="17"/>
      <c r="G269" s="17"/>
      <c r="H269" s="17">
        <f t="shared" si="27"/>
        <v>13436</v>
      </c>
      <c r="I269" s="17"/>
      <c r="J269" s="17"/>
      <c r="K269" s="17"/>
      <c r="L269" s="17">
        <f t="shared" si="28"/>
        <v>0</v>
      </c>
      <c r="M269" s="17"/>
      <c r="N269" s="21">
        <f t="shared" si="24"/>
        <v>0</v>
      </c>
      <c r="O269" s="17">
        <f t="shared" si="25"/>
        <v>0</v>
      </c>
      <c r="P269" s="20"/>
    </row>
    <row r="270" spans="1:16" ht="21" x14ac:dyDescent="0.5">
      <c r="A270" s="17"/>
      <c r="B270" s="18">
        <v>46512</v>
      </c>
      <c r="C270" s="17" t="str">
        <f t="shared" si="26"/>
        <v>39.2 - day 3</v>
      </c>
      <c r="D270" s="17"/>
      <c r="E270" s="17">
        <f t="shared" si="29"/>
        <v>13436</v>
      </c>
      <c r="F270" s="17"/>
      <c r="G270" s="17"/>
      <c r="H270" s="17">
        <f t="shared" si="27"/>
        <v>13436</v>
      </c>
      <c r="I270" s="17"/>
      <c r="J270" s="17"/>
      <c r="K270" s="17"/>
      <c r="L270" s="17">
        <f t="shared" si="28"/>
        <v>0</v>
      </c>
      <c r="M270" s="17"/>
      <c r="N270" s="21">
        <f t="shared" si="24"/>
        <v>0</v>
      </c>
      <c r="O270" s="17">
        <f t="shared" si="25"/>
        <v>0</v>
      </c>
      <c r="P270" s="20"/>
    </row>
    <row r="271" spans="1:16" ht="21" x14ac:dyDescent="0.5">
      <c r="A271" s="17"/>
      <c r="B271" s="18">
        <v>46513</v>
      </c>
      <c r="C271" s="17" t="str">
        <f t="shared" si="26"/>
        <v>39.3 - day 4</v>
      </c>
      <c r="D271" s="17"/>
      <c r="E271" s="17">
        <f t="shared" si="29"/>
        <v>13436</v>
      </c>
      <c r="F271" s="17"/>
      <c r="G271" s="17"/>
      <c r="H271" s="17">
        <f t="shared" si="27"/>
        <v>13436</v>
      </c>
      <c r="I271" s="17"/>
      <c r="J271" s="17"/>
      <c r="K271" s="17"/>
      <c r="L271" s="17">
        <f t="shared" si="28"/>
        <v>0</v>
      </c>
      <c r="M271" s="17"/>
      <c r="N271" s="21">
        <f t="shared" si="24"/>
        <v>0</v>
      </c>
      <c r="O271" s="17">
        <f t="shared" si="25"/>
        <v>0</v>
      </c>
      <c r="P271" s="20"/>
    </row>
    <row r="272" spans="1:16" ht="21" x14ac:dyDescent="0.5">
      <c r="A272" s="17"/>
      <c r="B272" s="18">
        <v>46514</v>
      </c>
      <c r="C272" s="17" t="str">
        <f t="shared" si="26"/>
        <v>39.4 - day 5</v>
      </c>
      <c r="D272" s="17"/>
      <c r="E272" s="17">
        <f t="shared" si="29"/>
        <v>13436</v>
      </c>
      <c r="F272" s="17"/>
      <c r="G272" s="17"/>
      <c r="H272" s="17">
        <f t="shared" si="27"/>
        <v>13436</v>
      </c>
      <c r="I272" s="17"/>
      <c r="J272" s="17"/>
      <c r="K272" s="17"/>
      <c r="L272" s="17">
        <f t="shared" si="28"/>
        <v>0</v>
      </c>
      <c r="M272" s="17"/>
      <c r="N272" s="21">
        <f t="shared" si="24"/>
        <v>0</v>
      </c>
      <c r="O272" s="17">
        <f t="shared" si="25"/>
        <v>0</v>
      </c>
      <c r="P272" s="20"/>
    </row>
    <row r="273" spans="1:16" ht="21" x14ac:dyDescent="0.5">
      <c r="A273" s="17"/>
      <c r="B273" s="18">
        <v>46515</v>
      </c>
      <c r="C273" s="17" t="str">
        <f t="shared" si="26"/>
        <v>39.5 - day 6</v>
      </c>
      <c r="D273" s="17"/>
      <c r="E273" s="17">
        <f t="shared" si="29"/>
        <v>13436</v>
      </c>
      <c r="F273" s="17"/>
      <c r="G273" s="17"/>
      <c r="H273" s="17">
        <f t="shared" si="27"/>
        <v>13436</v>
      </c>
      <c r="I273" s="17"/>
      <c r="J273" s="17"/>
      <c r="K273" s="17"/>
      <c r="L273" s="17">
        <f t="shared" si="28"/>
        <v>0</v>
      </c>
      <c r="M273" s="17"/>
      <c r="N273" s="21">
        <f t="shared" si="24"/>
        <v>0</v>
      </c>
      <c r="O273" s="17">
        <f t="shared" si="25"/>
        <v>0</v>
      </c>
      <c r="P273" s="20"/>
    </row>
    <row r="274" spans="1:16" ht="21" x14ac:dyDescent="0.5">
      <c r="A274" s="17"/>
      <c r="B274" s="18">
        <v>46516</v>
      </c>
      <c r="C274" s="17" t="str">
        <f t="shared" si="26"/>
        <v>39.6 - day 7</v>
      </c>
      <c r="D274" s="17"/>
      <c r="E274" s="17">
        <f t="shared" si="29"/>
        <v>13436</v>
      </c>
      <c r="F274" s="17"/>
      <c r="G274" s="17"/>
      <c r="H274" s="17">
        <f t="shared" si="27"/>
        <v>13436</v>
      </c>
      <c r="I274" s="17"/>
      <c r="J274" s="17"/>
      <c r="K274" s="17"/>
      <c r="L274" s="17">
        <f t="shared" si="28"/>
        <v>0</v>
      </c>
      <c r="M274" s="17"/>
      <c r="N274" s="21">
        <f t="shared" si="24"/>
        <v>0</v>
      </c>
      <c r="O274" s="17">
        <f t="shared" si="25"/>
        <v>0</v>
      </c>
      <c r="P274" s="20"/>
    </row>
    <row r="275" spans="1:16" ht="21" x14ac:dyDescent="0.5">
      <c r="A275" s="17"/>
      <c r="B275" s="18">
        <v>46517</v>
      </c>
      <c r="C275" s="17" t="str">
        <f t="shared" si="26"/>
        <v>40.0 - day 1</v>
      </c>
      <c r="D275" s="17"/>
      <c r="E275" s="17">
        <f t="shared" si="29"/>
        <v>13436</v>
      </c>
      <c r="F275" s="17"/>
      <c r="G275" s="17"/>
      <c r="H275" s="17">
        <f t="shared" si="27"/>
        <v>13436</v>
      </c>
      <c r="I275" s="17"/>
      <c r="J275" s="17"/>
      <c r="K275" s="17"/>
      <c r="L275" s="17">
        <f t="shared" si="28"/>
        <v>0</v>
      </c>
      <c r="M275" s="17"/>
      <c r="N275" s="21">
        <f t="shared" si="24"/>
        <v>0</v>
      </c>
      <c r="O275" s="17">
        <f t="shared" si="25"/>
        <v>0</v>
      </c>
      <c r="P275" s="20"/>
    </row>
    <row r="276" spans="1:16" ht="21" x14ac:dyDescent="0.5">
      <c r="A276" s="17"/>
      <c r="B276" s="18">
        <v>46518</v>
      </c>
      <c r="C276" s="17" t="str">
        <f t="shared" si="26"/>
        <v>40.1 - day 2</v>
      </c>
      <c r="D276" s="17"/>
      <c r="E276" s="17">
        <f t="shared" si="29"/>
        <v>13436</v>
      </c>
      <c r="F276" s="17"/>
      <c r="G276" s="17"/>
      <c r="H276" s="17">
        <f t="shared" si="27"/>
        <v>13436</v>
      </c>
      <c r="I276" s="17"/>
      <c r="J276" s="17"/>
      <c r="K276" s="17"/>
      <c r="L276" s="17">
        <f t="shared" si="28"/>
        <v>0</v>
      </c>
      <c r="M276" s="17"/>
      <c r="N276" s="21">
        <f t="shared" si="24"/>
        <v>0</v>
      </c>
      <c r="O276" s="17">
        <f t="shared" si="25"/>
        <v>0</v>
      </c>
      <c r="P276" s="20"/>
    </row>
    <row r="277" spans="1:16" ht="21" x14ac:dyDescent="0.5">
      <c r="A277" s="17"/>
      <c r="B277" s="18">
        <v>46519</v>
      </c>
      <c r="C277" s="17" t="str">
        <f t="shared" si="26"/>
        <v>40.2 - day 3</v>
      </c>
      <c r="D277" s="17"/>
      <c r="E277" s="17">
        <f t="shared" si="29"/>
        <v>13436</v>
      </c>
      <c r="F277" s="17"/>
      <c r="G277" s="17"/>
      <c r="H277" s="17">
        <f t="shared" si="27"/>
        <v>13436</v>
      </c>
      <c r="I277" s="17"/>
      <c r="J277" s="17"/>
      <c r="K277" s="17"/>
      <c r="L277" s="17">
        <f t="shared" si="28"/>
        <v>0</v>
      </c>
      <c r="M277" s="17"/>
      <c r="N277" s="21">
        <f t="shared" ref="N277:N340" si="30">SUM(L277-M277)</f>
        <v>0</v>
      </c>
      <c r="O277" s="17">
        <f t="shared" ref="O277:O340" si="31">SUM(I277/H277)*1000</f>
        <v>0</v>
      </c>
      <c r="P277" s="20"/>
    </row>
    <row r="278" spans="1:16" ht="21" x14ac:dyDescent="0.5">
      <c r="A278" s="17"/>
      <c r="B278" s="18">
        <v>46520</v>
      </c>
      <c r="C278" s="17" t="str">
        <f t="shared" si="26"/>
        <v>40.3 - day 4</v>
      </c>
      <c r="D278" s="17"/>
      <c r="E278" s="17">
        <f t="shared" si="29"/>
        <v>13436</v>
      </c>
      <c r="F278" s="17"/>
      <c r="G278" s="17"/>
      <c r="H278" s="17">
        <f t="shared" si="27"/>
        <v>13436</v>
      </c>
      <c r="I278" s="17"/>
      <c r="J278" s="17"/>
      <c r="K278" s="17"/>
      <c r="L278" s="17">
        <f t="shared" si="28"/>
        <v>0</v>
      </c>
      <c r="M278" s="17"/>
      <c r="N278" s="21">
        <f t="shared" si="30"/>
        <v>0</v>
      </c>
      <c r="O278" s="17">
        <f t="shared" si="31"/>
        <v>0</v>
      </c>
      <c r="P278" s="20"/>
    </row>
    <row r="279" spans="1:16" ht="21" x14ac:dyDescent="0.5">
      <c r="A279" s="17"/>
      <c r="B279" s="18">
        <v>46521</v>
      </c>
      <c r="C279" s="17" t="str">
        <f t="shared" si="26"/>
        <v>40.4 - day 5</v>
      </c>
      <c r="D279" s="17"/>
      <c r="E279" s="17">
        <f t="shared" si="29"/>
        <v>13436</v>
      </c>
      <c r="F279" s="17"/>
      <c r="G279" s="17"/>
      <c r="H279" s="17">
        <f t="shared" si="27"/>
        <v>13436</v>
      </c>
      <c r="I279" s="17"/>
      <c r="J279" s="17"/>
      <c r="K279" s="17"/>
      <c r="L279" s="17">
        <f t="shared" si="28"/>
        <v>0</v>
      </c>
      <c r="M279" s="17"/>
      <c r="N279" s="21">
        <f t="shared" si="30"/>
        <v>0</v>
      </c>
      <c r="O279" s="17">
        <f t="shared" si="31"/>
        <v>0</v>
      </c>
      <c r="P279" s="20"/>
    </row>
    <row r="280" spans="1:16" ht="21" x14ac:dyDescent="0.5">
      <c r="A280" s="17"/>
      <c r="B280" s="18">
        <v>46522</v>
      </c>
      <c r="C280" s="17" t="str">
        <f t="shared" si="26"/>
        <v>40.5 - day 6</v>
      </c>
      <c r="D280" s="17"/>
      <c r="E280" s="17">
        <f t="shared" si="29"/>
        <v>13436</v>
      </c>
      <c r="F280" s="17"/>
      <c r="G280" s="17"/>
      <c r="H280" s="17">
        <f t="shared" si="27"/>
        <v>13436</v>
      </c>
      <c r="I280" s="17"/>
      <c r="J280" s="17"/>
      <c r="K280" s="17"/>
      <c r="L280" s="17">
        <f t="shared" si="28"/>
        <v>0</v>
      </c>
      <c r="M280" s="17"/>
      <c r="N280" s="21">
        <f t="shared" si="30"/>
        <v>0</v>
      </c>
      <c r="O280" s="17">
        <f t="shared" si="31"/>
        <v>0</v>
      </c>
      <c r="P280" s="20"/>
    </row>
    <row r="281" spans="1:16" ht="21" x14ac:dyDescent="0.5">
      <c r="A281" s="17"/>
      <c r="B281" s="18">
        <v>46523</v>
      </c>
      <c r="C281" s="17" t="str">
        <f t="shared" si="26"/>
        <v>40.6 - day 7</v>
      </c>
      <c r="D281" s="17"/>
      <c r="E281" s="17">
        <f t="shared" si="29"/>
        <v>13436</v>
      </c>
      <c r="F281" s="17"/>
      <c r="G281" s="17"/>
      <c r="H281" s="17">
        <f t="shared" si="27"/>
        <v>13436</v>
      </c>
      <c r="I281" s="17"/>
      <c r="J281" s="17"/>
      <c r="K281" s="17"/>
      <c r="L281" s="17">
        <f t="shared" si="28"/>
        <v>0</v>
      </c>
      <c r="M281" s="17"/>
      <c r="N281" s="21">
        <f t="shared" si="30"/>
        <v>0</v>
      </c>
      <c r="O281" s="17">
        <f t="shared" si="31"/>
        <v>0</v>
      </c>
      <c r="P281" s="20"/>
    </row>
    <row r="282" spans="1:16" ht="21" x14ac:dyDescent="0.5">
      <c r="A282" s="17"/>
      <c r="B282" s="18">
        <v>46524</v>
      </c>
      <c r="C282" s="17" t="str">
        <f t="shared" si="26"/>
        <v>41.0 - day 1</v>
      </c>
      <c r="D282" s="17"/>
      <c r="E282" s="17">
        <f t="shared" si="29"/>
        <v>13436</v>
      </c>
      <c r="F282" s="17"/>
      <c r="G282" s="17"/>
      <c r="H282" s="17">
        <f t="shared" si="27"/>
        <v>13436</v>
      </c>
      <c r="I282" s="17"/>
      <c r="J282" s="17"/>
      <c r="K282" s="17"/>
      <c r="L282" s="17">
        <f t="shared" si="28"/>
        <v>0</v>
      </c>
      <c r="M282" s="17"/>
      <c r="N282" s="21">
        <f t="shared" si="30"/>
        <v>0</v>
      </c>
      <c r="O282" s="17">
        <f t="shared" si="31"/>
        <v>0</v>
      </c>
      <c r="P282" s="20"/>
    </row>
    <row r="283" spans="1:16" ht="21" x14ac:dyDescent="0.5">
      <c r="A283" s="17"/>
      <c r="B283" s="18">
        <v>46525</v>
      </c>
      <c r="C283" s="17" t="str">
        <f t="shared" si="26"/>
        <v>41.1 - day 2</v>
      </c>
      <c r="D283" s="17"/>
      <c r="E283" s="17">
        <f t="shared" si="29"/>
        <v>13436</v>
      </c>
      <c r="F283" s="17"/>
      <c r="G283" s="17"/>
      <c r="H283" s="17">
        <f t="shared" si="27"/>
        <v>13436</v>
      </c>
      <c r="I283" s="17"/>
      <c r="J283" s="17"/>
      <c r="K283" s="17"/>
      <c r="L283" s="17">
        <f t="shared" si="28"/>
        <v>0</v>
      </c>
      <c r="M283" s="17"/>
      <c r="N283" s="21">
        <f t="shared" si="30"/>
        <v>0</v>
      </c>
      <c r="O283" s="17">
        <f t="shared" si="31"/>
        <v>0</v>
      </c>
      <c r="P283" s="20"/>
    </row>
    <row r="284" spans="1:16" ht="21" x14ac:dyDescent="0.5">
      <c r="A284" s="17"/>
      <c r="B284" s="18">
        <v>46526</v>
      </c>
      <c r="C284" s="17" t="str">
        <f t="shared" si="26"/>
        <v>41.2 - day 3</v>
      </c>
      <c r="D284" s="17"/>
      <c r="E284" s="17">
        <f t="shared" si="29"/>
        <v>13436</v>
      </c>
      <c r="F284" s="17"/>
      <c r="G284" s="17"/>
      <c r="H284" s="17">
        <f t="shared" si="27"/>
        <v>13436</v>
      </c>
      <c r="I284" s="17"/>
      <c r="J284" s="17"/>
      <c r="K284" s="17"/>
      <c r="L284" s="17">
        <f t="shared" si="28"/>
        <v>0</v>
      </c>
      <c r="M284" s="17"/>
      <c r="N284" s="21">
        <f t="shared" si="30"/>
        <v>0</v>
      </c>
      <c r="O284" s="17">
        <f t="shared" si="31"/>
        <v>0</v>
      </c>
      <c r="P284" s="20"/>
    </row>
    <row r="285" spans="1:16" ht="21" x14ac:dyDescent="0.5">
      <c r="A285" s="17"/>
      <c r="B285" s="18">
        <v>46527</v>
      </c>
      <c r="C285" s="17" t="str">
        <f t="shared" si="26"/>
        <v>41.3 - day 4</v>
      </c>
      <c r="D285" s="17"/>
      <c r="E285" s="17">
        <f t="shared" si="29"/>
        <v>13436</v>
      </c>
      <c r="F285" s="17"/>
      <c r="G285" s="17"/>
      <c r="H285" s="17">
        <f t="shared" si="27"/>
        <v>13436</v>
      </c>
      <c r="I285" s="17"/>
      <c r="J285" s="17"/>
      <c r="K285" s="17"/>
      <c r="L285" s="17">
        <f t="shared" si="28"/>
        <v>0</v>
      </c>
      <c r="M285" s="17"/>
      <c r="N285" s="21">
        <f t="shared" si="30"/>
        <v>0</v>
      </c>
      <c r="O285" s="17">
        <f t="shared" si="31"/>
        <v>0</v>
      </c>
      <c r="P285" s="20"/>
    </row>
    <row r="286" spans="1:16" ht="21" x14ac:dyDescent="0.5">
      <c r="A286" s="17"/>
      <c r="B286" s="18">
        <v>46528</v>
      </c>
      <c r="C286" s="17" t="str">
        <f t="shared" si="26"/>
        <v>41.4 - day 5</v>
      </c>
      <c r="D286" s="17"/>
      <c r="E286" s="17">
        <f t="shared" si="29"/>
        <v>13436</v>
      </c>
      <c r="F286" s="17"/>
      <c r="G286" s="17"/>
      <c r="H286" s="17">
        <f t="shared" si="27"/>
        <v>13436</v>
      </c>
      <c r="I286" s="17"/>
      <c r="J286" s="17"/>
      <c r="K286" s="17"/>
      <c r="L286" s="17">
        <f t="shared" si="28"/>
        <v>0</v>
      </c>
      <c r="M286" s="17"/>
      <c r="N286" s="21">
        <f t="shared" si="30"/>
        <v>0</v>
      </c>
      <c r="O286" s="17">
        <f t="shared" si="31"/>
        <v>0</v>
      </c>
      <c r="P286" s="20"/>
    </row>
    <row r="287" spans="1:16" ht="21" x14ac:dyDescent="0.5">
      <c r="A287" s="17"/>
      <c r="B287" s="18">
        <v>46529</v>
      </c>
      <c r="C287" s="17" t="str">
        <f t="shared" si="26"/>
        <v>41.5 - day 6</v>
      </c>
      <c r="D287" s="17"/>
      <c r="E287" s="17">
        <f t="shared" si="29"/>
        <v>13436</v>
      </c>
      <c r="F287" s="17"/>
      <c r="G287" s="17"/>
      <c r="H287" s="17">
        <f t="shared" si="27"/>
        <v>13436</v>
      </c>
      <c r="I287" s="17"/>
      <c r="J287" s="17"/>
      <c r="K287" s="17"/>
      <c r="L287" s="17">
        <f t="shared" si="28"/>
        <v>0</v>
      </c>
      <c r="M287" s="17"/>
      <c r="N287" s="21">
        <f t="shared" si="30"/>
        <v>0</v>
      </c>
      <c r="O287" s="17">
        <f t="shared" si="31"/>
        <v>0</v>
      </c>
      <c r="P287" s="20"/>
    </row>
    <row r="288" spans="1:16" ht="21" x14ac:dyDescent="0.5">
      <c r="A288" s="17"/>
      <c r="B288" s="18">
        <v>46530</v>
      </c>
      <c r="C288" s="17" t="str">
        <f t="shared" si="26"/>
        <v>41.6 - day 7</v>
      </c>
      <c r="D288" s="17"/>
      <c r="E288" s="17">
        <f t="shared" si="29"/>
        <v>13436</v>
      </c>
      <c r="F288" s="17"/>
      <c r="G288" s="17"/>
      <c r="H288" s="17">
        <f t="shared" si="27"/>
        <v>13436</v>
      </c>
      <c r="I288" s="17"/>
      <c r="J288" s="17"/>
      <c r="K288" s="17"/>
      <c r="L288" s="17">
        <f t="shared" si="28"/>
        <v>0</v>
      </c>
      <c r="M288" s="17"/>
      <c r="N288" s="21">
        <f t="shared" si="30"/>
        <v>0</v>
      </c>
      <c r="O288" s="17">
        <f t="shared" si="31"/>
        <v>0</v>
      </c>
      <c r="P288" s="20"/>
    </row>
    <row r="289" spans="1:16" ht="21" x14ac:dyDescent="0.5">
      <c r="A289" s="17"/>
      <c r="B289" s="18">
        <v>46531</v>
      </c>
      <c r="C289" s="17" t="str">
        <f t="shared" si="26"/>
        <v>42.0 - day 1</v>
      </c>
      <c r="D289" s="17"/>
      <c r="E289" s="17">
        <f t="shared" si="29"/>
        <v>13436</v>
      </c>
      <c r="F289" s="17"/>
      <c r="G289" s="17"/>
      <c r="H289" s="17">
        <f t="shared" si="27"/>
        <v>13436</v>
      </c>
      <c r="I289" s="17"/>
      <c r="J289" s="17"/>
      <c r="K289" s="17"/>
      <c r="L289" s="17">
        <f t="shared" si="28"/>
        <v>0</v>
      </c>
      <c r="M289" s="17"/>
      <c r="N289" s="21">
        <f t="shared" si="30"/>
        <v>0</v>
      </c>
      <c r="O289" s="17">
        <f t="shared" si="31"/>
        <v>0</v>
      </c>
      <c r="P289" s="20"/>
    </row>
    <row r="290" spans="1:16" ht="21" x14ac:dyDescent="0.5">
      <c r="A290" s="17"/>
      <c r="B290" s="18">
        <v>46532</v>
      </c>
      <c r="C290" s="17" t="str">
        <f t="shared" si="26"/>
        <v>42.1 - day 2</v>
      </c>
      <c r="D290" s="17"/>
      <c r="E290" s="17">
        <f t="shared" si="29"/>
        <v>13436</v>
      </c>
      <c r="F290" s="17"/>
      <c r="G290" s="17"/>
      <c r="H290" s="17">
        <f t="shared" si="27"/>
        <v>13436</v>
      </c>
      <c r="I290" s="17"/>
      <c r="J290" s="17"/>
      <c r="K290" s="17"/>
      <c r="L290" s="17">
        <f t="shared" si="28"/>
        <v>0</v>
      </c>
      <c r="M290" s="17"/>
      <c r="N290" s="21">
        <f t="shared" si="30"/>
        <v>0</v>
      </c>
      <c r="O290" s="17">
        <f t="shared" si="31"/>
        <v>0</v>
      </c>
      <c r="P290" s="20"/>
    </row>
    <row r="291" spans="1:16" ht="21" x14ac:dyDescent="0.5">
      <c r="A291" s="17"/>
      <c r="B291" s="18">
        <v>46533</v>
      </c>
      <c r="C291" s="17" t="str">
        <f t="shared" si="26"/>
        <v>42.2 - day 3</v>
      </c>
      <c r="D291" s="17"/>
      <c r="E291" s="17">
        <f t="shared" si="29"/>
        <v>13436</v>
      </c>
      <c r="F291" s="17"/>
      <c r="G291" s="17"/>
      <c r="H291" s="17">
        <f t="shared" si="27"/>
        <v>13436</v>
      </c>
      <c r="I291" s="17"/>
      <c r="J291" s="17"/>
      <c r="K291" s="17"/>
      <c r="L291" s="17">
        <f t="shared" si="28"/>
        <v>0</v>
      </c>
      <c r="M291" s="17"/>
      <c r="N291" s="21">
        <f t="shared" si="30"/>
        <v>0</v>
      </c>
      <c r="O291" s="17">
        <f t="shared" si="31"/>
        <v>0</v>
      </c>
      <c r="P291" s="20"/>
    </row>
    <row r="292" spans="1:16" ht="21" x14ac:dyDescent="0.5">
      <c r="A292" s="17"/>
      <c r="B292" s="18">
        <v>46534</v>
      </c>
      <c r="C292" s="17" t="str">
        <f t="shared" si="26"/>
        <v>42.3 - day 4</v>
      </c>
      <c r="D292" s="17"/>
      <c r="E292" s="17">
        <f t="shared" si="29"/>
        <v>13436</v>
      </c>
      <c r="F292" s="17"/>
      <c r="G292" s="17"/>
      <c r="H292" s="17">
        <f t="shared" si="27"/>
        <v>13436</v>
      </c>
      <c r="I292" s="17"/>
      <c r="J292" s="17"/>
      <c r="K292" s="17"/>
      <c r="L292" s="17">
        <f t="shared" si="28"/>
        <v>0</v>
      </c>
      <c r="M292" s="17"/>
      <c r="N292" s="21">
        <f t="shared" si="30"/>
        <v>0</v>
      </c>
      <c r="O292" s="17">
        <f t="shared" si="31"/>
        <v>0</v>
      </c>
      <c r="P292" s="20"/>
    </row>
    <row r="293" spans="1:16" ht="21" x14ac:dyDescent="0.5">
      <c r="A293" s="17"/>
      <c r="B293" s="18">
        <v>46535</v>
      </c>
      <c r="C293" s="17" t="str">
        <f t="shared" si="26"/>
        <v>42.4 - day 5</v>
      </c>
      <c r="D293" s="17"/>
      <c r="E293" s="17">
        <f t="shared" si="29"/>
        <v>13436</v>
      </c>
      <c r="F293" s="17"/>
      <c r="G293" s="17"/>
      <c r="H293" s="17">
        <f t="shared" si="27"/>
        <v>13436</v>
      </c>
      <c r="I293" s="17"/>
      <c r="J293" s="17"/>
      <c r="K293" s="17"/>
      <c r="L293" s="17">
        <f t="shared" si="28"/>
        <v>0</v>
      </c>
      <c r="M293" s="17"/>
      <c r="N293" s="21">
        <f t="shared" si="30"/>
        <v>0</v>
      </c>
      <c r="O293" s="17">
        <f t="shared" si="31"/>
        <v>0</v>
      </c>
      <c r="P293" s="20"/>
    </row>
    <row r="294" spans="1:16" ht="21" x14ac:dyDescent="0.5">
      <c r="A294" s="17"/>
      <c r="B294" s="18">
        <v>46536</v>
      </c>
      <c r="C294" s="17" t="str">
        <f t="shared" si="26"/>
        <v>42.5 - day 6</v>
      </c>
      <c r="D294" s="17"/>
      <c r="E294" s="17">
        <f t="shared" si="29"/>
        <v>13436</v>
      </c>
      <c r="F294" s="17"/>
      <c r="G294" s="17"/>
      <c r="H294" s="17">
        <f t="shared" si="27"/>
        <v>13436</v>
      </c>
      <c r="I294" s="17"/>
      <c r="J294" s="17"/>
      <c r="K294" s="17"/>
      <c r="L294" s="17">
        <f t="shared" si="28"/>
        <v>0</v>
      </c>
      <c r="M294" s="17"/>
      <c r="N294" s="21">
        <f t="shared" si="30"/>
        <v>0</v>
      </c>
      <c r="O294" s="17">
        <f t="shared" si="31"/>
        <v>0</v>
      </c>
      <c r="P294" s="20"/>
    </row>
    <row r="295" spans="1:16" ht="21" x14ac:dyDescent="0.5">
      <c r="A295" s="17"/>
      <c r="B295" s="18">
        <v>46537</v>
      </c>
      <c r="C295" s="17" t="str">
        <f t="shared" si="26"/>
        <v>42.6 - day 7</v>
      </c>
      <c r="D295" s="17"/>
      <c r="E295" s="17">
        <f t="shared" si="29"/>
        <v>13436</v>
      </c>
      <c r="F295" s="17"/>
      <c r="G295" s="17"/>
      <c r="H295" s="17">
        <f t="shared" si="27"/>
        <v>13436</v>
      </c>
      <c r="I295" s="17"/>
      <c r="J295" s="17"/>
      <c r="K295" s="17"/>
      <c r="L295" s="17">
        <f t="shared" si="28"/>
        <v>0</v>
      </c>
      <c r="M295" s="17"/>
      <c r="N295" s="21">
        <f t="shared" si="30"/>
        <v>0</v>
      </c>
      <c r="O295" s="17">
        <f t="shared" si="31"/>
        <v>0</v>
      </c>
      <c r="P295" s="20"/>
    </row>
    <row r="296" spans="1:16" ht="21" x14ac:dyDescent="0.5">
      <c r="A296" s="17"/>
      <c r="B296" s="18">
        <v>46538</v>
      </c>
      <c r="C296" s="17" t="str">
        <f t="shared" si="26"/>
        <v>43.0 - day 1</v>
      </c>
      <c r="D296" s="17"/>
      <c r="E296" s="17">
        <f t="shared" si="29"/>
        <v>13436</v>
      </c>
      <c r="F296" s="17"/>
      <c r="G296" s="17"/>
      <c r="H296" s="17">
        <f t="shared" si="27"/>
        <v>13436</v>
      </c>
      <c r="I296" s="17"/>
      <c r="J296" s="17"/>
      <c r="K296" s="17"/>
      <c r="L296" s="17">
        <f t="shared" si="28"/>
        <v>0</v>
      </c>
      <c r="M296" s="17"/>
      <c r="N296" s="21">
        <f t="shared" si="30"/>
        <v>0</v>
      </c>
      <c r="O296" s="17">
        <f t="shared" si="31"/>
        <v>0</v>
      </c>
      <c r="P296" s="20"/>
    </row>
    <row r="297" spans="1:16" ht="21" x14ac:dyDescent="0.5">
      <c r="A297" s="17"/>
      <c r="B297" s="18">
        <v>46539</v>
      </c>
      <c r="C297" s="17" t="str">
        <f t="shared" si="26"/>
        <v>43.1 - day 2</v>
      </c>
      <c r="D297" s="17"/>
      <c r="E297" s="17">
        <f t="shared" si="29"/>
        <v>13436</v>
      </c>
      <c r="F297" s="17"/>
      <c r="G297" s="17"/>
      <c r="H297" s="17">
        <f t="shared" si="27"/>
        <v>13436</v>
      </c>
      <c r="I297" s="17"/>
      <c r="J297" s="17"/>
      <c r="K297" s="17"/>
      <c r="L297" s="17">
        <f t="shared" si="28"/>
        <v>0</v>
      </c>
      <c r="M297" s="17"/>
      <c r="N297" s="21">
        <f t="shared" si="30"/>
        <v>0</v>
      </c>
      <c r="O297" s="17">
        <f t="shared" si="31"/>
        <v>0</v>
      </c>
      <c r="P297" s="20"/>
    </row>
    <row r="298" spans="1:16" ht="21" x14ac:dyDescent="0.5">
      <c r="A298" s="17"/>
      <c r="B298" s="18">
        <v>46540</v>
      </c>
      <c r="C298" s="17" t="str">
        <f t="shared" si="26"/>
        <v>43.2 - day 3</v>
      </c>
      <c r="D298" s="17"/>
      <c r="E298" s="17">
        <f t="shared" si="29"/>
        <v>13436</v>
      </c>
      <c r="F298" s="17"/>
      <c r="G298" s="17"/>
      <c r="H298" s="17">
        <f t="shared" si="27"/>
        <v>13436</v>
      </c>
      <c r="I298" s="17"/>
      <c r="J298" s="17"/>
      <c r="K298" s="17"/>
      <c r="L298" s="17">
        <f t="shared" si="28"/>
        <v>0</v>
      </c>
      <c r="M298" s="17"/>
      <c r="N298" s="21">
        <f t="shared" si="30"/>
        <v>0</v>
      </c>
      <c r="O298" s="17">
        <f t="shared" si="31"/>
        <v>0</v>
      </c>
      <c r="P298" s="20"/>
    </row>
    <row r="299" spans="1:16" ht="21" x14ac:dyDescent="0.5">
      <c r="A299" s="17"/>
      <c r="B299" s="18">
        <v>46541</v>
      </c>
      <c r="C299" s="17" t="str">
        <f t="shared" si="26"/>
        <v>43.3 - day 4</v>
      </c>
      <c r="D299" s="17"/>
      <c r="E299" s="17">
        <f t="shared" si="29"/>
        <v>13436</v>
      </c>
      <c r="F299" s="17"/>
      <c r="G299" s="17"/>
      <c r="H299" s="17">
        <f t="shared" si="27"/>
        <v>13436</v>
      </c>
      <c r="I299" s="17"/>
      <c r="J299" s="17"/>
      <c r="K299" s="17"/>
      <c r="L299" s="17">
        <f t="shared" si="28"/>
        <v>0</v>
      </c>
      <c r="M299" s="17"/>
      <c r="N299" s="21">
        <f t="shared" si="30"/>
        <v>0</v>
      </c>
      <c r="O299" s="17">
        <f t="shared" si="31"/>
        <v>0</v>
      </c>
      <c r="P299" s="20"/>
    </row>
    <row r="300" spans="1:16" ht="21" x14ac:dyDescent="0.5">
      <c r="A300" s="17"/>
      <c r="B300" s="18">
        <v>46542</v>
      </c>
      <c r="C300" s="17" t="str">
        <f t="shared" si="26"/>
        <v>43.4 - day 5</v>
      </c>
      <c r="D300" s="17"/>
      <c r="E300" s="17">
        <f t="shared" si="29"/>
        <v>13436</v>
      </c>
      <c r="F300" s="17"/>
      <c r="G300" s="17"/>
      <c r="H300" s="17">
        <f t="shared" si="27"/>
        <v>13436</v>
      </c>
      <c r="I300" s="17"/>
      <c r="J300" s="17"/>
      <c r="K300" s="17"/>
      <c r="L300" s="17">
        <f t="shared" si="28"/>
        <v>0</v>
      </c>
      <c r="M300" s="17"/>
      <c r="N300" s="21">
        <f t="shared" si="30"/>
        <v>0</v>
      </c>
      <c r="O300" s="17">
        <f t="shared" si="31"/>
        <v>0</v>
      </c>
      <c r="P300" s="20"/>
    </row>
    <row r="301" spans="1:16" ht="21" x14ac:dyDescent="0.5">
      <c r="A301" s="17"/>
      <c r="B301" s="18">
        <v>46543</v>
      </c>
      <c r="C301" s="17" t="str">
        <f t="shared" si="26"/>
        <v>43.5 - day 6</v>
      </c>
      <c r="D301" s="17"/>
      <c r="E301" s="17">
        <f t="shared" si="29"/>
        <v>13436</v>
      </c>
      <c r="F301" s="17"/>
      <c r="G301" s="17"/>
      <c r="H301" s="17">
        <f t="shared" si="27"/>
        <v>13436</v>
      </c>
      <c r="I301" s="17"/>
      <c r="J301" s="17"/>
      <c r="K301" s="17"/>
      <c r="L301" s="17">
        <f t="shared" si="28"/>
        <v>0</v>
      </c>
      <c r="M301" s="17"/>
      <c r="N301" s="21">
        <f t="shared" si="30"/>
        <v>0</v>
      </c>
      <c r="O301" s="17">
        <f t="shared" si="31"/>
        <v>0</v>
      </c>
      <c r="P301" s="20"/>
    </row>
    <row r="302" spans="1:16" ht="21" x14ac:dyDescent="0.5">
      <c r="A302" s="17"/>
      <c r="B302" s="18">
        <v>46544</v>
      </c>
      <c r="C302" s="17" t="str">
        <f t="shared" si="26"/>
        <v>43.6 - day 7</v>
      </c>
      <c r="D302" s="17"/>
      <c r="E302" s="17">
        <f t="shared" si="29"/>
        <v>13436</v>
      </c>
      <c r="F302" s="17"/>
      <c r="G302" s="17"/>
      <c r="H302" s="17">
        <f t="shared" si="27"/>
        <v>13436</v>
      </c>
      <c r="I302" s="17"/>
      <c r="J302" s="17"/>
      <c r="K302" s="17"/>
      <c r="L302" s="17">
        <f t="shared" si="28"/>
        <v>0</v>
      </c>
      <c r="M302" s="17"/>
      <c r="N302" s="21">
        <f t="shared" si="30"/>
        <v>0</v>
      </c>
      <c r="O302" s="17">
        <f t="shared" si="31"/>
        <v>0</v>
      </c>
      <c r="P302" s="20"/>
    </row>
    <row r="303" spans="1:16" ht="21" x14ac:dyDescent="0.5">
      <c r="A303" s="17"/>
      <c r="B303" s="18">
        <v>46545</v>
      </c>
      <c r="C303" s="17" t="str">
        <f t="shared" si="26"/>
        <v>44.0 - day 1</v>
      </c>
      <c r="D303" s="17"/>
      <c r="E303" s="17">
        <f t="shared" si="29"/>
        <v>13436</v>
      </c>
      <c r="F303" s="17"/>
      <c r="G303" s="17"/>
      <c r="H303" s="17">
        <f t="shared" si="27"/>
        <v>13436</v>
      </c>
      <c r="I303" s="17"/>
      <c r="J303" s="17"/>
      <c r="K303" s="17"/>
      <c r="L303" s="17">
        <f t="shared" si="28"/>
        <v>0</v>
      </c>
      <c r="M303" s="17"/>
      <c r="N303" s="21">
        <f t="shared" si="30"/>
        <v>0</v>
      </c>
      <c r="O303" s="17">
        <f t="shared" si="31"/>
        <v>0</v>
      </c>
      <c r="P303" s="20"/>
    </row>
    <row r="304" spans="1:16" ht="21" x14ac:dyDescent="0.5">
      <c r="A304" s="17"/>
      <c r="B304" s="18">
        <v>46546</v>
      </c>
      <c r="C304" s="17" t="str">
        <f t="shared" si="26"/>
        <v>44.1 - day 2</v>
      </c>
      <c r="D304" s="17"/>
      <c r="E304" s="17">
        <f t="shared" si="29"/>
        <v>13436</v>
      </c>
      <c r="F304" s="17"/>
      <c r="G304" s="17"/>
      <c r="H304" s="17">
        <f t="shared" si="27"/>
        <v>13436</v>
      </c>
      <c r="I304" s="17"/>
      <c r="J304" s="17"/>
      <c r="K304" s="17"/>
      <c r="L304" s="17">
        <f t="shared" si="28"/>
        <v>0</v>
      </c>
      <c r="M304" s="17"/>
      <c r="N304" s="21">
        <f t="shared" si="30"/>
        <v>0</v>
      </c>
      <c r="O304" s="17">
        <f t="shared" si="31"/>
        <v>0</v>
      </c>
      <c r="P304" s="20"/>
    </row>
    <row r="305" spans="1:16" ht="21" x14ac:dyDescent="0.5">
      <c r="A305" s="17"/>
      <c r="B305" s="18">
        <v>46547</v>
      </c>
      <c r="C305" s="17" t="str">
        <f t="shared" si="26"/>
        <v>44.2 - day 3</v>
      </c>
      <c r="D305" s="17"/>
      <c r="E305" s="17">
        <f t="shared" si="29"/>
        <v>13436</v>
      </c>
      <c r="F305" s="17"/>
      <c r="G305" s="17"/>
      <c r="H305" s="17">
        <f t="shared" si="27"/>
        <v>13436</v>
      </c>
      <c r="I305" s="17"/>
      <c r="J305" s="17"/>
      <c r="K305" s="17"/>
      <c r="L305" s="17">
        <f t="shared" si="28"/>
        <v>0</v>
      </c>
      <c r="M305" s="17"/>
      <c r="N305" s="21">
        <f t="shared" si="30"/>
        <v>0</v>
      </c>
      <c r="O305" s="17">
        <f t="shared" si="31"/>
        <v>0</v>
      </c>
      <c r="P305" s="20"/>
    </row>
    <row r="306" spans="1:16" ht="21" x14ac:dyDescent="0.5">
      <c r="A306" s="17"/>
      <c r="B306" s="18">
        <v>46548</v>
      </c>
      <c r="C306" s="17" t="str">
        <f t="shared" si="26"/>
        <v>44.3 - day 4</v>
      </c>
      <c r="D306" s="17"/>
      <c r="E306" s="17">
        <f t="shared" si="29"/>
        <v>13436</v>
      </c>
      <c r="F306" s="17"/>
      <c r="G306" s="17"/>
      <c r="H306" s="17">
        <f t="shared" si="27"/>
        <v>13436</v>
      </c>
      <c r="I306" s="17"/>
      <c r="J306" s="17"/>
      <c r="K306" s="17"/>
      <c r="L306" s="17">
        <f t="shared" si="28"/>
        <v>0</v>
      </c>
      <c r="M306" s="17"/>
      <c r="N306" s="21">
        <f t="shared" si="30"/>
        <v>0</v>
      </c>
      <c r="O306" s="17">
        <f t="shared" si="31"/>
        <v>0</v>
      </c>
      <c r="P306" s="20"/>
    </row>
    <row r="307" spans="1:16" ht="21" x14ac:dyDescent="0.5">
      <c r="A307" s="17"/>
      <c r="B307" s="18">
        <v>46549</v>
      </c>
      <c r="C307" s="17" t="str">
        <f t="shared" si="26"/>
        <v>44.4 - day 5</v>
      </c>
      <c r="D307" s="17"/>
      <c r="E307" s="17">
        <f t="shared" si="29"/>
        <v>13436</v>
      </c>
      <c r="F307" s="17"/>
      <c r="G307" s="17"/>
      <c r="H307" s="17">
        <f t="shared" si="27"/>
        <v>13436</v>
      </c>
      <c r="I307" s="17"/>
      <c r="J307" s="17"/>
      <c r="K307" s="17"/>
      <c r="L307" s="17">
        <f t="shared" si="28"/>
        <v>0</v>
      </c>
      <c r="M307" s="17"/>
      <c r="N307" s="21">
        <f t="shared" si="30"/>
        <v>0</v>
      </c>
      <c r="O307" s="17">
        <f t="shared" si="31"/>
        <v>0</v>
      </c>
      <c r="P307" s="20"/>
    </row>
    <row r="308" spans="1:16" ht="21" x14ac:dyDescent="0.5">
      <c r="A308" s="17"/>
      <c r="B308" s="18">
        <v>46550</v>
      </c>
      <c r="C308" s="17" t="str">
        <f t="shared" si="26"/>
        <v>44.5 - day 6</v>
      </c>
      <c r="D308" s="17"/>
      <c r="E308" s="17">
        <f t="shared" si="29"/>
        <v>13436</v>
      </c>
      <c r="F308" s="17"/>
      <c r="G308" s="17"/>
      <c r="H308" s="17">
        <f t="shared" si="27"/>
        <v>13436</v>
      </c>
      <c r="I308" s="17"/>
      <c r="J308" s="17"/>
      <c r="K308" s="17"/>
      <c r="L308" s="17">
        <f t="shared" si="28"/>
        <v>0</v>
      </c>
      <c r="M308" s="17"/>
      <c r="N308" s="21">
        <f t="shared" si="30"/>
        <v>0</v>
      </c>
      <c r="O308" s="17">
        <f t="shared" si="31"/>
        <v>0</v>
      </c>
      <c r="P308" s="20"/>
    </row>
    <row r="309" spans="1:16" ht="21" x14ac:dyDescent="0.5">
      <c r="A309" s="17"/>
      <c r="B309" s="18">
        <v>46551</v>
      </c>
      <c r="C309" s="17" t="str">
        <f t="shared" si="26"/>
        <v>44.6 - day 7</v>
      </c>
      <c r="D309" s="17"/>
      <c r="E309" s="17">
        <f t="shared" si="29"/>
        <v>13436</v>
      </c>
      <c r="F309" s="17"/>
      <c r="G309" s="17"/>
      <c r="H309" s="17">
        <f t="shared" si="27"/>
        <v>13436</v>
      </c>
      <c r="I309" s="17"/>
      <c r="J309" s="17"/>
      <c r="K309" s="17"/>
      <c r="L309" s="17">
        <f t="shared" si="28"/>
        <v>0</v>
      </c>
      <c r="M309" s="17"/>
      <c r="N309" s="21">
        <f t="shared" si="30"/>
        <v>0</v>
      </c>
      <c r="O309" s="17">
        <f t="shared" si="31"/>
        <v>0</v>
      </c>
      <c r="P309" s="20"/>
    </row>
    <row r="310" spans="1:16" ht="21" x14ac:dyDescent="0.5">
      <c r="A310" s="17"/>
      <c r="B310" s="18">
        <v>46552</v>
      </c>
      <c r="C310" s="17" t="str">
        <f t="shared" si="26"/>
        <v>45.0 - day 1</v>
      </c>
      <c r="D310" s="17"/>
      <c r="E310" s="17">
        <f t="shared" si="29"/>
        <v>13436</v>
      </c>
      <c r="F310" s="17"/>
      <c r="G310" s="17"/>
      <c r="H310" s="17">
        <f t="shared" si="27"/>
        <v>13436</v>
      </c>
      <c r="I310" s="17"/>
      <c r="J310" s="17"/>
      <c r="K310" s="17"/>
      <c r="L310" s="17">
        <f t="shared" si="28"/>
        <v>0</v>
      </c>
      <c r="M310" s="17"/>
      <c r="N310" s="21">
        <f t="shared" si="30"/>
        <v>0</v>
      </c>
      <c r="O310" s="17">
        <f t="shared" si="31"/>
        <v>0</v>
      </c>
      <c r="P310" s="20"/>
    </row>
    <row r="311" spans="1:16" ht="21" x14ac:dyDescent="0.5">
      <c r="A311" s="17"/>
      <c r="B311" s="18">
        <v>46553</v>
      </c>
      <c r="C311" s="17" t="str">
        <f t="shared" si="26"/>
        <v>45.1 - day 2</v>
      </c>
      <c r="D311" s="17"/>
      <c r="E311" s="17">
        <f t="shared" si="29"/>
        <v>13436</v>
      </c>
      <c r="F311" s="17"/>
      <c r="G311" s="17"/>
      <c r="H311" s="17">
        <f t="shared" si="27"/>
        <v>13436</v>
      </c>
      <c r="I311" s="17"/>
      <c r="J311" s="17"/>
      <c r="K311" s="17"/>
      <c r="L311" s="17">
        <f t="shared" si="28"/>
        <v>0</v>
      </c>
      <c r="M311" s="17"/>
      <c r="N311" s="21">
        <f t="shared" si="30"/>
        <v>0</v>
      </c>
      <c r="O311" s="17">
        <f t="shared" si="31"/>
        <v>0</v>
      </c>
      <c r="P311" s="20"/>
    </row>
    <row r="312" spans="1:16" ht="21" x14ac:dyDescent="0.5">
      <c r="A312" s="17"/>
      <c r="B312" s="18">
        <v>46554</v>
      </c>
      <c r="C312" s="17" t="str">
        <f t="shared" si="26"/>
        <v>45.2 - day 3</v>
      </c>
      <c r="D312" s="17"/>
      <c r="E312" s="17">
        <f t="shared" si="29"/>
        <v>13436</v>
      </c>
      <c r="F312" s="17"/>
      <c r="G312" s="17"/>
      <c r="H312" s="17">
        <f t="shared" si="27"/>
        <v>13436</v>
      </c>
      <c r="I312" s="17"/>
      <c r="J312" s="17"/>
      <c r="K312" s="17"/>
      <c r="L312" s="17">
        <f t="shared" si="28"/>
        <v>0</v>
      </c>
      <c r="M312" s="17"/>
      <c r="N312" s="21">
        <f t="shared" si="30"/>
        <v>0</v>
      </c>
      <c r="O312" s="17">
        <f t="shared" si="31"/>
        <v>0</v>
      </c>
      <c r="P312" s="20"/>
    </row>
    <row r="313" spans="1:16" ht="21" x14ac:dyDescent="0.5">
      <c r="A313" s="17"/>
      <c r="B313" s="18">
        <v>46555</v>
      </c>
      <c r="C313" s="17" t="str">
        <f t="shared" si="26"/>
        <v>45.3 - day 4</v>
      </c>
      <c r="D313" s="17"/>
      <c r="E313" s="17">
        <f t="shared" si="29"/>
        <v>13436</v>
      </c>
      <c r="F313" s="17"/>
      <c r="G313" s="17"/>
      <c r="H313" s="17">
        <f t="shared" si="27"/>
        <v>13436</v>
      </c>
      <c r="I313" s="17"/>
      <c r="J313" s="17"/>
      <c r="K313" s="17"/>
      <c r="L313" s="17">
        <f t="shared" si="28"/>
        <v>0</v>
      </c>
      <c r="M313" s="17"/>
      <c r="N313" s="21">
        <f t="shared" si="30"/>
        <v>0</v>
      </c>
      <c r="O313" s="17">
        <f t="shared" si="31"/>
        <v>0</v>
      </c>
      <c r="P313" s="20"/>
    </row>
    <row r="314" spans="1:16" ht="21" x14ac:dyDescent="0.5">
      <c r="A314" s="17"/>
      <c r="B314" s="18">
        <v>46556</v>
      </c>
      <c r="C314" s="17" t="str">
        <f t="shared" si="26"/>
        <v>45.4 - day 5</v>
      </c>
      <c r="D314" s="17"/>
      <c r="E314" s="17">
        <f t="shared" si="29"/>
        <v>13436</v>
      </c>
      <c r="F314" s="17"/>
      <c r="G314" s="17"/>
      <c r="H314" s="17">
        <f t="shared" si="27"/>
        <v>13436</v>
      </c>
      <c r="I314" s="17"/>
      <c r="J314" s="17"/>
      <c r="K314" s="17"/>
      <c r="L314" s="17">
        <f t="shared" si="28"/>
        <v>0</v>
      </c>
      <c r="M314" s="17"/>
      <c r="N314" s="21">
        <f t="shared" si="30"/>
        <v>0</v>
      </c>
      <c r="O314" s="17">
        <f t="shared" si="31"/>
        <v>0</v>
      </c>
      <c r="P314" s="20"/>
    </row>
    <row r="315" spans="1:16" ht="21" x14ac:dyDescent="0.5">
      <c r="A315" s="17"/>
      <c r="B315" s="18">
        <v>46557</v>
      </c>
      <c r="C315" s="17" t="str">
        <f t="shared" si="26"/>
        <v>45.5 - day 6</v>
      </c>
      <c r="D315" s="17"/>
      <c r="E315" s="17">
        <f t="shared" si="29"/>
        <v>13436</v>
      </c>
      <c r="F315" s="17"/>
      <c r="G315" s="17"/>
      <c r="H315" s="17">
        <f t="shared" si="27"/>
        <v>13436</v>
      </c>
      <c r="I315" s="17"/>
      <c r="J315" s="17"/>
      <c r="K315" s="17"/>
      <c r="L315" s="17">
        <f t="shared" si="28"/>
        <v>0</v>
      </c>
      <c r="M315" s="17"/>
      <c r="N315" s="21">
        <f t="shared" si="30"/>
        <v>0</v>
      </c>
      <c r="O315" s="17">
        <f t="shared" si="31"/>
        <v>0</v>
      </c>
      <c r="P315" s="20"/>
    </row>
    <row r="316" spans="1:16" ht="21" x14ac:dyDescent="0.5">
      <c r="A316" s="17"/>
      <c r="B316" s="18">
        <v>46558</v>
      </c>
      <c r="C316" s="17" t="str">
        <f t="shared" si="26"/>
        <v>45.6 - day 7</v>
      </c>
      <c r="D316" s="17"/>
      <c r="E316" s="17">
        <f t="shared" si="29"/>
        <v>13436</v>
      </c>
      <c r="F316" s="17"/>
      <c r="G316" s="17"/>
      <c r="H316" s="17">
        <f t="shared" si="27"/>
        <v>13436</v>
      </c>
      <c r="I316" s="17"/>
      <c r="J316" s="17"/>
      <c r="K316" s="17"/>
      <c r="L316" s="17">
        <f t="shared" si="28"/>
        <v>0</v>
      </c>
      <c r="M316" s="17"/>
      <c r="N316" s="21">
        <f t="shared" si="30"/>
        <v>0</v>
      </c>
      <c r="O316" s="17">
        <f t="shared" si="31"/>
        <v>0</v>
      </c>
      <c r="P316" s="20"/>
    </row>
    <row r="317" spans="1:16" ht="21" x14ac:dyDescent="0.5">
      <c r="A317" s="17"/>
      <c r="B317" s="18">
        <v>46559</v>
      </c>
      <c r="C317" s="17" t="str">
        <f t="shared" si="26"/>
        <v>46.0 - day 1</v>
      </c>
      <c r="D317" s="17"/>
      <c r="E317" s="17">
        <f t="shared" si="29"/>
        <v>13436</v>
      </c>
      <c r="F317" s="17"/>
      <c r="G317" s="17"/>
      <c r="H317" s="17">
        <f t="shared" si="27"/>
        <v>13436</v>
      </c>
      <c r="I317" s="17"/>
      <c r="J317" s="17"/>
      <c r="K317" s="17"/>
      <c r="L317" s="17">
        <f t="shared" si="28"/>
        <v>0</v>
      </c>
      <c r="M317" s="17"/>
      <c r="N317" s="21">
        <f t="shared" si="30"/>
        <v>0</v>
      </c>
      <c r="O317" s="17">
        <f t="shared" si="31"/>
        <v>0</v>
      </c>
      <c r="P317" s="20"/>
    </row>
    <row r="318" spans="1:16" ht="21" x14ac:dyDescent="0.5">
      <c r="A318" s="17"/>
      <c r="B318" s="18">
        <v>46560</v>
      </c>
      <c r="C318" s="17" t="str">
        <f t="shared" si="26"/>
        <v>46.1 - day 2</v>
      </c>
      <c r="D318" s="17"/>
      <c r="E318" s="17">
        <f t="shared" si="29"/>
        <v>13436</v>
      </c>
      <c r="F318" s="17"/>
      <c r="G318" s="17"/>
      <c r="H318" s="17">
        <f t="shared" si="27"/>
        <v>13436</v>
      </c>
      <c r="I318" s="17"/>
      <c r="J318" s="17"/>
      <c r="K318" s="17"/>
      <c r="L318" s="17">
        <f t="shared" si="28"/>
        <v>0</v>
      </c>
      <c r="M318" s="17"/>
      <c r="N318" s="21">
        <f t="shared" si="30"/>
        <v>0</v>
      </c>
      <c r="O318" s="17">
        <f t="shared" si="31"/>
        <v>0</v>
      </c>
      <c r="P318" s="20"/>
    </row>
    <row r="319" spans="1:16" ht="21" x14ac:dyDescent="0.5">
      <c r="A319" s="17"/>
      <c r="B319" s="18">
        <v>46561</v>
      </c>
      <c r="C319" s="17" t="str">
        <f t="shared" si="26"/>
        <v>46.2 - day 3</v>
      </c>
      <c r="D319" s="17"/>
      <c r="E319" s="17">
        <f t="shared" si="29"/>
        <v>13436</v>
      </c>
      <c r="F319" s="17"/>
      <c r="G319" s="17"/>
      <c r="H319" s="17">
        <f t="shared" si="27"/>
        <v>13436</v>
      </c>
      <c r="I319" s="17"/>
      <c r="J319" s="17"/>
      <c r="K319" s="17"/>
      <c r="L319" s="17">
        <f t="shared" si="28"/>
        <v>0</v>
      </c>
      <c r="M319" s="17"/>
      <c r="N319" s="21">
        <f t="shared" si="30"/>
        <v>0</v>
      </c>
      <c r="O319" s="17">
        <f t="shared" si="31"/>
        <v>0</v>
      </c>
      <c r="P319" s="20"/>
    </row>
    <row r="320" spans="1:16" ht="21" x14ac:dyDescent="0.5">
      <c r="A320" s="17"/>
      <c r="B320" s="18">
        <v>46562</v>
      </c>
      <c r="C320" s="17" t="str">
        <f t="shared" si="26"/>
        <v>46.3 - day 4</v>
      </c>
      <c r="D320" s="17"/>
      <c r="E320" s="17">
        <f t="shared" si="29"/>
        <v>13436</v>
      </c>
      <c r="F320" s="17"/>
      <c r="G320" s="17"/>
      <c r="H320" s="17">
        <f t="shared" si="27"/>
        <v>13436</v>
      </c>
      <c r="I320" s="17"/>
      <c r="J320" s="17"/>
      <c r="K320" s="17"/>
      <c r="L320" s="17">
        <f t="shared" si="28"/>
        <v>0</v>
      </c>
      <c r="M320" s="17"/>
      <c r="N320" s="21">
        <f t="shared" si="30"/>
        <v>0</v>
      </c>
      <c r="O320" s="17">
        <f t="shared" si="31"/>
        <v>0</v>
      </c>
      <c r="P320" s="20"/>
    </row>
    <row r="321" spans="1:16" ht="21" x14ac:dyDescent="0.5">
      <c r="A321" s="17"/>
      <c r="B321" s="18">
        <v>46563</v>
      </c>
      <c r="C321" s="17" t="str">
        <f t="shared" si="26"/>
        <v>46.4 - day 5</v>
      </c>
      <c r="D321" s="17"/>
      <c r="E321" s="17">
        <f t="shared" si="29"/>
        <v>13436</v>
      </c>
      <c r="F321" s="17"/>
      <c r="G321" s="17"/>
      <c r="H321" s="17">
        <f t="shared" si="27"/>
        <v>13436</v>
      </c>
      <c r="I321" s="17"/>
      <c r="J321" s="17"/>
      <c r="K321" s="17"/>
      <c r="L321" s="17">
        <f t="shared" si="28"/>
        <v>0</v>
      </c>
      <c r="M321" s="17"/>
      <c r="N321" s="21">
        <f t="shared" si="30"/>
        <v>0</v>
      </c>
      <c r="O321" s="17">
        <f t="shared" si="31"/>
        <v>0</v>
      </c>
      <c r="P321" s="20"/>
    </row>
    <row r="322" spans="1:16" ht="21" x14ac:dyDescent="0.5">
      <c r="A322" s="17"/>
      <c r="B322" s="18">
        <v>46564</v>
      </c>
      <c r="C322" s="17" t="str">
        <f t="shared" si="26"/>
        <v>46.5 - day 6</v>
      </c>
      <c r="D322" s="17"/>
      <c r="E322" s="17">
        <f t="shared" si="29"/>
        <v>13436</v>
      </c>
      <c r="F322" s="17"/>
      <c r="G322" s="17"/>
      <c r="H322" s="17">
        <f t="shared" si="27"/>
        <v>13436</v>
      </c>
      <c r="I322" s="17"/>
      <c r="J322" s="17"/>
      <c r="K322" s="17"/>
      <c r="L322" s="17">
        <f t="shared" si="28"/>
        <v>0</v>
      </c>
      <c r="M322" s="17"/>
      <c r="N322" s="21">
        <f t="shared" si="30"/>
        <v>0</v>
      </c>
      <c r="O322" s="17">
        <f t="shared" si="31"/>
        <v>0</v>
      </c>
      <c r="P322" s="20"/>
    </row>
    <row r="323" spans="1:16" ht="21" x14ac:dyDescent="0.5">
      <c r="A323" s="17"/>
      <c r="B323" s="18">
        <v>46565</v>
      </c>
      <c r="C323" s="17" t="str">
        <f t="shared" si="26"/>
        <v>46.6 - day 7</v>
      </c>
      <c r="D323" s="17"/>
      <c r="E323" s="17">
        <f t="shared" si="29"/>
        <v>13436</v>
      </c>
      <c r="F323" s="17"/>
      <c r="G323" s="17"/>
      <c r="H323" s="17">
        <f t="shared" si="27"/>
        <v>13436</v>
      </c>
      <c r="I323" s="17"/>
      <c r="J323" s="17"/>
      <c r="K323" s="17"/>
      <c r="L323" s="17">
        <f t="shared" si="28"/>
        <v>0</v>
      </c>
      <c r="M323" s="17"/>
      <c r="N323" s="21">
        <f t="shared" si="30"/>
        <v>0</v>
      </c>
      <c r="O323" s="17">
        <f t="shared" si="31"/>
        <v>0</v>
      </c>
      <c r="P323" s="20"/>
    </row>
    <row r="324" spans="1:16" ht="21" x14ac:dyDescent="0.5">
      <c r="A324" s="17"/>
      <c r="B324" s="18">
        <v>46566</v>
      </c>
      <c r="C324" s="17" t="str">
        <f t="shared" ref="C324:C387" si="32">(QUOTIENT(ROW()-2,7)+1)&amp;"."&amp;MOD(ROW()-2,7)&amp;" - day "&amp;(MOD(ROW()-2,7)+1)</f>
        <v>47.0 - day 1</v>
      </c>
      <c r="D324" s="17"/>
      <c r="E324" s="17">
        <f t="shared" si="29"/>
        <v>13436</v>
      </c>
      <c r="F324" s="17"/>
      <c r="G324" s="17"/>
      <c r="H324" s="17">
        <f t="shared" ref="H324:H387" si="33">SUM(E324-F324-G324)</f>
        <v>13436</v>
      </c>
      <c r="I324" s="17"/>
      <c r="J324" s="17"/>
      <c r="K324" s="17"/>
      <c r="L324" s="17">
        <f t="shared" ref="L324:L387" si="34">SUM(J324+K324)/H324*100</f>
        <v>0</v>
      </c>
      <c r="M324" s="17"/>
      <c r="N324" s="21">
        <f t="shared" si="30"/>
        <v>0</v>
      </c>
      <c r="O324" s="17">
        <f t="shared" si="31"/>
        <v>0</v>
      </c>
      <c r="P324" s="20"/>
    </row>
    <row r="325" spans="1:16" ht="21" x14ac:dyDescent="0.5">
      <c r="A325" s="17"/>
      <c r="B325" s="18">
        <v>46567</v>
      </c>
      <c r="C325" s="17" t="str">
        <f t="shared" si="32"/>
        <v>47.1 - day 2</v>
      </c>
      <c r="D325" s="17"/>
      <c r="E325" s="17">
        <f t="shared" si="29"/>
        <v>13436</v>
      </c>
      <c r="F325" s="17"/>
      <c r="G325" s="17"/>
      <c r="H325" s="17">
        <f t="shared" si="33"/>
        <v>13436</v>
      </c>
      <c r="I325" s="17"/>
      <c r="J325" s="17"/>
      <c r="K325" s="17"/>
      <c r="L325" s="17">
        <f t="shared" si="34"/>
        <v>0</v>
      </c>
      <c r="M325" s="17"/>
      <c r="N325" s="21">
        <f t="shared" si="30"/>
        <v>0</v>
      </c>
      <c r="O325" s="17">
        <f t="shared" si="31"/>
        <v>0</v>
      </c>
      <c r="P325" s="20"/>
    </row>
    <row r="326" spans="1:16" ht="21" x14ac:dyDescent="0.5">
      <c r="A326" s="17"/>
      <c r="B326" s="18">
        <v>46568</v>
      </c>
      <c r="C326" s="17" t="str">
        <f t="shared" si="32"/>
        <v>47.2 - day 3</v>
      </c>
      <c r="D326" s="17"/>
      <c r="E326" s="17">
        <f t="shared" ref="E326:E389" si="35">H325</f>
        <v>13436</v>
      </c>
      <c r="F326" s="17"/>
      <c r="G326" s="17"/>
      <c r="H326" s="17">
        <f t="shared" si="33"/>
        <v>13436</v>
      </c>
      <c r="I326" s="17"/>
      <c r="J326" s="17"/>
      <c r="K326" s="17"/>
      <c r="L326" s="17">
        <f t="shared" si="34"/>
        <v>0</v>
      </c>
      <c r="M326" s="17"/>
      <c r="N326" s="21">
        <f t="shared" si="30"/>
        <v>0</v>
      </c>
      <c r="O326" s="17">
        <f t="shared" si="31"/>
        <v>0</v>
      </c>
      <c r="P326" s="20"/>
    </row>
    <row r="327" spans="1:16" ht="21" x14ac:dyDescent="0.5">
      <c r="A327" s="17"/>
      <c r="B327" s="18">
        <v>46569</v>
      </c>
      <c r="C327" s="17" t="str">
        <f t="shared" si="32"/>
        <v>47.3 - day 4</v>
      </c>
      <c r="D327" s="17"/>
      <c r="E327" s="17">
        <f t="shared" si="35"/>
        <v>13436</v>
      </c>
      <c r="F327" s="17"/>
      <c r="G327" s="17"/>
      <c r="H327" s="17">
        <f t="shared" si="33"/>
        <v>13436</v>
      </c>
      <c r="I327" s="17"/>
      <c r="J327" s="17"/>
      <c r="K327" s="17"/>
      <c r="L327" s="17">
        <f t="shared" si="34"/>
        <v>0</v>
      </c>
      <c r="M327" s="17"/>
      <c r="N327" s="21">
        <f t="shared" si="30"/>
        <v>0</v>
      </c>
      <c r="O327" s="17">
        <f t="shared" si="31"/>
        <v>0</v>
      </c>
      <c r="P327" s="20"/>
    </row>
    <row r="328" spans="1:16" ht="21" x14ac:dyDescent="0.5">
      <c r="A328" s="17"/>
      <c r="B328" s="18">
        <v>46570</v>
      </c>
      <c r="C328" s="17" t="str">
        <f t="shared" si="32"/>
        <v>47.4 - day 5</v>
      </c>
      <c r="D328" s="17"/>
      <c r="E328" s="17">
        <f t="shared" si="35"/>
        <v>13436</v>
      </c>
      <c r="F328" s="17"/>
      <c r="G328" s="17"/>
      <c r="H328" s="17">
        <f t="shared" si="33"/>
        <v>13436</v>
      </c>
      <c r="I328" s="17"/>
      <c r="J328" s="17"/>
      <c r="K328" s="17"/>
      <c r="L328" s="17">
        <f t="shared" si="34"/>
        <v>0</v>
      </c>
      <c r="M328" s="17"/>
      <c r="N328" s="21">
        <f t="shared" si="30"/>
        <v>0</v>
      </c>
      <c r="O328" s="17">
        <f t="shared" si="31"/>
        <v>0</v>
      </c>
      <c r="P328" s="20"/>
    </row>
    <row r="329" spans="1:16" ht="21" x14ac:dyDescent="0.5">
      <c r="A329" s="17"/>
      <c r="B329" s="18">
        <v>46571</v>
      </c>
      <c r="C329" s="17" t="str">
        <f t="shared" si="32"/>
        <v>47.5 - day 6</v>
      </c>
      <c r="D329" s="17"/>
      <c r="E329" s="17">
        <f t="shared" si="35"/>
        <v>13436</v>
      </c>
      <c r="F329" s="17"/>
      <c r="G329" s="17"/>
      <c r="H329" s="17">
        <f t="shared" si="33"/>
        <v>13436</v>
      </c>
      <c r="I329" s="17"/>
      <c r="J329" s="17"/>
      <c r="K329" s="17"/>
      <c r="L329" s="17">
        <f t="shared" si="34"/>
        <v>0</v>
      </c>
      <c r="M329" s="17"/>
      <c r="N329" s="21">
        <f t="shared" si="30"/>
        <v>0</v>
      </c>
      <c r="O329" s="17">
        <f t="shared" si="31"/>
        <v>0</v>
      </c>
      <c r="P329" s="20"/>
    </row>
    <row r="330" spans="1:16" ht="21" x14ac:dyDescent="0.5">
      <c r="A330" s="17"/>
      <c r="B330" s="18">
        <v>46572</v>
      </c>
      <c r="C330" s="17" t="str">
        <f t="shared" si="32"/>
        <v>47.6 - day 7</v>
      </c>
      <c r="D330" s="17"/>
      <c r="E330" s="17">
        <f t="shared" si="35"/>
        <v>13436</v>
      </c>
      <c r="F330" s="17"/>
      <c r="G330" s="17"/>
      <c r="H330" s="17">
        <f t="shared" si="33"/>
        <v>13436</v>
      </c>
      <c r="I330" s="17"/>
      <c r="J330" s="17"/>
      <c r="K330" s="17"/>
      <c r="L330" s="17">
        <f t="shared" si="34"/>
        <v>0</v>
      </c>
      <c r="M330" s="17"/>
      <c r="N330" s="21">
        <f t="shared" si="30"/>
        <v>0</v>
      </c>
      <c r="O330" s="17">
        <f t="shared" si="31"/>
        <v>0</v>
      </c>
      <c r="P330" s="20"/>
    </row>
    <row r="331" spans="1:16" ht="21" x14ac:dyDescent="0.5">
      <c r="A331" s="17"/>
      <c r="B331" s="18">
        <v>46573</v>
      </c>
      <c r="C331" s="17" t="str">
        <f t="shared" si="32"/>
        <v>48.0 - day 1</v>
      </c>
      <c r="D331" s="17"/>
      <c r="E331" s="17">
        <f t="shared" si="35"/>
        <v>13436</v>
      </c>
      <c r="F331" s="17"/>
      <c r="G331" s="17"/>
      <c r="H331" s="17">
        <f t="shared" si="33"/>
        <v>13436</v>
      </c>
      <c r="I331" s="17"/>
      <c r="J331" s="17"/>
      <c r="K331" s="17"/>
      <c r="L331" s="17">
        <f t="shared" si="34"/>
        <v>0</v>
      </c>
      <c r="M331" s="17"/>
      <c r="N331" s="21">
        <f t="shared" si="30"/>
        <v>0</v>
      </c>
      <c r="O331" s="17">
        <f t="shared" si="31"/>
        <v>0</v>
      </c>
      <c r="P331" s="20"/>
    </row>
    <row r="332" spans="1:16" ht="21" x14ac:dyDescent="0.5">
      <c r="A332" s="17"/>
      <c r="B332" s="18">
        <v>46574</v>
      </c>
      <c r="C332" s="17" t="str">
        <f t="shared" si="32"/>
        <v>48.1 - day 2</v>
      </c>
      <c r="D332" s="17"/>
      <c r="E332" s="17">
        <f t="shared" si="35"/>
        <v>13436</v>
      </c>
      <c r="F332" s="17"/>
      <c r="G332" s="17"/>
      <c r="H332" s="17">
        <f t="shared" si="33"/>
        <v>13436</v>
      </c>
      <c r="I332" s="17"/>
      <c r="J332" s="17"/>
      <c r="K332" s="17"/>
      <c r="L332" s="17">
        <f t="shared" si="34"/>
        <v>0</v>
      </c>
      <c r="M332" s="17"/>
      <c r="N332" s="21">
        <f t="shared" si="30"/>
        <v>0</v>
      </c>
      <c r="O332" s="17">
        <f t="shared" si="31"/>
        <v>0</v>
      </c>
      <c r="P332" s="20"/>
    </row>
    <row r="333" spans="1:16" ht="21" x14ac:dyDescent="0.5">
      <c r="A333" s="17"/>
      <c r="B333" s="18">
        <v>46575</v>
      </c>
      <c r="C333" s="17" t="str">
        <f t="shared" si="32"/>
        <v>48.2 - day 3</v>
      </c>
      <c r="D333" s="17"/>
      <c r="E333" s="17">
        <f t="shared" si="35"/>
        <v>13436</v>
      </c>
      <c r="F333" s="17"/>
      <c r="G333" s="17"/>
      <c r="H333" s="17">
        <f t="shared" si="33"/>
        <v>13436</v>
      </c>
      <c r="I333" s="17"/>
      <c r="J333" s="17"/>
      <c r="K333" s="17"/>
      <c r="L333" s="17">
        <f t="shared" si="34"/>
        <v>0</v>
      </c>
      <c r="M333" s="17"/>
      <c r="N333" s="21">
        <f t="shared" si="30"/>
        <v>0</v>
      </c>
      <c r="O333" s="17">
        <f t="shared" si="31"/>
        <v>0</v>
      </c>
      <c r="P333" s="20"/>
    </row>
    <row r="334" spans="1:16" ht="21" x14ac:dyDescent="0.5">
      <c r="A334" s="17"/>
      <c r="B334" s="18">
        <v>46576</v>
      </c>
      <c r="C334" s="17" t="str">
        <f t="shared" si="32"/>
        <v>48.3 - day 4</v>
      </c>
      <c r="D334" s="17"/>
      <c r="E334" s="17">
        <f t="shared" si="35"/>
        <v>13436</v>
      </c>
      <c r="F334" s="17"/>
      <c r="G334" s="17"/>
      <c r="H334" s="17">
        <f t="shared" si="33"/>
        <v>13436</v>
      </c>
      <c r="I334" s="17"/>
      <c r="J334" s="17"/>
      <c r="K334" s="17"/>
      <c r="L334" s="17">
        <f t="shared" si="34"/>
        <v>0</v>
      </c>
      <c r="M334" s="17"/>
      <c r="N334" s="21">
        <f t="shared" si="30"/>
        <v>0</v>
      </c>
      <c r="O334" s="17">
        <f t="shared" si="31"/>
        <v>0</v>
      </c>
      <c r="P334" s="20"/>
    </row>
    <row r="335" spans="1:16" ht="21" x14ac:dyDescent="0.5">
      <c r="A335" s="17"/>
      <c r="B335" s="18">
        <v>46577</v>
      </c>
      <c r="C335" s="17" t="str">
        <f t="shared" si="32"/>
        <v>48.4 - day 5</v>
      </c>
      <c r="D335" s="17"/>
      <c r="E335" s="17">
        <f t="shared" si="35"/>
        <v>13436</v>
      </c>
      <c r="F335" s="17"/>
      <c r="G335" s="17"/>
      <c r="H335" s="17">
        <f t="shared" si="33"/>
        <v>13436</v>
      </c>
      <c r="I335" s="17"/>
      <c r="J335" s="17"/>
      <c r="K335" s="17"/>
      <c r="L335" s="17">
        <f t="shared" si="34"/>
        <v>0</v>
      </c>
      <c r="M335" s="17"/>
      <c r="N335" s="21">
        <f t="shared" si="30"/>
        <v>0</v>
      </c>
      <c r="O335" s="17">
        <f t="shared" si="31"/>
        <v>0</v>
      </c>
      <c r="P335" s="20"/>
    </row>
    <row r="336" spans="1:16" ht="21" x14ac:dyDescent="0.5">
      <c r="A336" s="17"/>
      <c r="B336" s="18">
        <v>46578</v>
      </c>
      <c r="C336" s="17" t="str">
        <f t="shared" si="32"/>
        <v>48.5 - day 6</v>
      </c>
      <c r="D336" s="17"/>
      <c r="E336" s="17">
        <f t="shared" si="35"/>
        <v>13436</v>
      </c>
      <c r="F336" s="17"/>
      <c r="G336" s="17"/>
      <c r="H336" s="17">
        <f t="shared" si="33"/>
        <v>13436</v>
      </c>
      <c r="I336" s="17"/>
      <c r="J336" s="17"/>
      <c r="K336" s="17"/>
      <c r="L336" s="17">
        <f t="shared" si="34"/>
        <v>0</v>
      </c>
      <c r="M336" s="17"/>
      <c r="N336" s="21">
        <f t="shared" si="30"/>
        <v>0</v>
      </c>
      <c r="O336" s="17">
        <f t="shared" si="31"/>
        <v>0</v>
      </c>
      <c r="P336" s="20"/>
    </row>
    <row r="337" spans="1:16" ht="21" x14ac:dyDescent="0.5">
      <c r="A337" s="17"/>
      <c r="B337" s="18">
        <v>46579</v>
      </c>
      <c r="C337" s="17" t="str">
        <f t="shared" si="32"/>
        <v>48.6 - day 7</v>
      </c>
      <c r="D337" s="17"/>
      <c r="E337" s="17">
        <f t="shared" si="35"/>
        <v>13436</v>
      </c>
      <c r="F337" s="17"/>
      <c r="G337" s="17"/>
      <c r="H337" s="17">
        <f t="shared" si="33"/>
        <v>13436</v>
      </c>
      <c r="I337" s="17"/>
      <c r="J337" s="17"/>
      <c r="K337" s="17"/>
      <c r="L337" s="17">
        <f t="shared" si="34"/>
        <v>0</v>
      </c>
      <c r="M337" s="17"/>
      <c r="N337" s="21">
        <f t="shared" si="30"/>
        <v>0</v>
      </c>
      <c r="O337" s="17">
        <f t="shared" si="31"/>
        <v>0</v>
      </c>
      <c r="P337" s="20"/>
    </row>
    <row r="338" spans="1:16" ht="21" x14ac:dyDescent="0.5">
      <c r="A338" s="17"/>
      <c r="B338" s="18">
        <v>46580</v>
      </c>
      <c r="C338" s="17" t="str">
        <f t="shared" si="32"/>
        <v>49.0 - day 1</v>
      </c>
      <c r="D338" s="17"/>
      <c r="E338" s="17">
        <f t="shared" si="35"/>
        <v>13436</v>
      </c>
      <c r="F338" s="17"/>
      <c r="G338" s="17"/>
      <c r="H338" s="17">
        <f t="shared" si="33"/>
        <v>13436</v>
      </c>
      <c r="I338" s="17"/>
      <c r="J338" s="17"/>
      <c r="K338" s="17"/>
      <c r="L338" s="17">
        <f t="shared" si="34"/>
        <v>0</v>
      </c>
      <c r="M338" s="17"/>
      <c r="N338" s="21">
        <f t="shared" si="30"/>
        <v>0</v>
      </c>
      <c r="O338" s="17">
        <f t="shared" si="31"/>
        <v>0</v>
      </c>
      <c r="P338" s="20"/>
    </row>
    <row r="339" spans="1:16" ht="21" x14ac:dyDescent="0.5">
      <c r="A339" s="17"/>
      <c r="B339" s="18">
        <v>46581</v>
      </c>
      <c r="C339" s="17" t="str">
        <f t="shared" si="32"/>
        <v>49.1 - day 2</v>
      </c>
      <c r="D339" s="17"/>
      <c r="E339" s="17">
        <f t="shared" si="35"/>
        <v>13436</v>
      </c>
      <c r="F339" s="17"/>
      <c r="G339" s="17"/>
      <c r="H339" s="17">
        <f t="shared" si="33"/>
        <v>13436</v>
      </c>
      <c r="I339" s="17"/>
      <c r="J339" s="17"/>
      <c r="K339" s="17"/>
      <c r="L339" s="17">
        <f t="shared" si="34"/>
        <v>0</v>
      </c>
      <c r="M339" s="17"/>
      <c r="N339" s="21">
        <f t="shared" si="30"/>
        <v>0</v>
      </c>
      <c r="O339" s="17">
        <f t="shared" si="31"/>
        <v>0</v>
      </c>
      <c r="P339" s="20"/>
    </row>
    <row r="340" spans="1:16" ht="21" x14ac:dyDescent="0.5">
      <c r="A340" s="17"/>
      <c r="B340" s="18">
        <v>46582</v>
      </c>
      <c r="C340" s="17" t="str">
        <f t="shared" si="32"/>
        <v>49.2 - day 3</v>
      </c>
      <c r="D340" s="17"/>
      <c r="E340" s="17">
        <f t="shared" si="35"/>
        <v>13436</v>
      </c>
      <c r="F340" s="17"/>
      <c r="G340" s="17"/>
      <c r="H340" s="17">
        <f t="shared" si="33"/>
        <v>13436</v>
      </c>
      <c r="I340" s="17"/>
      <c r="J340" s="17"/>
      <c r="K340" s="17"/>
      <c r="L340" s="17">
        <f t="shared" si="34"/>
        <v>0</v>
      </c>
      <c r="M340" s="17"/>
      <c r="N340" s="21">
        <f t="shared" si="30"/>
        <v>0</v>
      </c>
      <c r="O340" s="17">
        <f t="shared" si="31"/>
        <v>0</v>
      </c>
      <c r="P340" s="20"/>
    </row>
    <row r="341" spans="1:16" ht="21" x14ac:dyDescent="0.5">
      <c r="A341" s="17"/>
      <c r="B341" s="18">
        <v>46583</v>
      </c>
      <c r="C341" s="17" t="str">
        <f t="shared" si="32"/>
        <v>49.3 - day 4</v>
      </c>
      <c r="D341" s="17"/>
      <c r="E341" s="17">
        <f t="shared" si="35"/>
        <v>13436</v>
      </c>
      <c r="F341" s="17"/>
      <c r="G341" s="17"/>
      <c r="H341" s="17">
        <f t="shared" si="33"/>
        <v>13436</v>
      </c>
      <c r="I341" s="17"/>
      <c r="J341" s="17"/>
      <c r="K341" s="17"/>
      <c r="L341" s="17">
        <f t="shared" si="34"/>
        <v>0</v>
      </c>
      <c r="M341" s="17"/>
      <c r="N341" s="21">
        <f t="shared" ref="N341:N404" si="36">SUM(L341-M341)</f>
        <v>0</v>
      </c>
      <c r="O341" s="17">
        <f t="shared" ref="O341:O404" si="37">SUM(I341/H341)*1000</f>
        <v>0</v>
      </c>
      <c r="P341" s="20"/>
    </row>
    <row r="342" spans="1:16" ht="21" x14ac:dyDescent="0.5">
      <c r="A342" s="17"/>
      <c r="B342" s="18">
        <v>46584</v>
      </c>
      <c r="C342" s="17" t="str">
        <f t="shared" si="32"/>
        <v>49.4 - day 5</v>
      </c>
      <c r="D342" s="17"/>
      <c r="E342" s="17">
        <f t="shared" si="35"/>
        <v>13436</v>
      </c>
      <c r="F342" s="17"/>
      <c r="G342" s="17"/>
      <c r="H342" s="17">
        <f t="shared" si="33"/>
        <v>13436</v>
      </c>
      <c r="I342" s="17"/>
      <c r="J342" s="17"/>
      <c r="K342" s="17"/>
      <c r="L342" s="17">
        <f t="shared" si="34"/>
        <v>0</v>
      </c>
      <c r="M342" s="17"/>
      <c r="N342" s="21">
        <f t="shared" si="36"/>
        <v>0</v>
      </c>
      <c r="O342" s="17">
        <f t="shared" si="37"/>
        <v>0</v>
      </c>
      <c r="P342" s="20"/>
    </row>
    <row r="343" spans="1:16" ht="21" x14ac:dyDescent="0.5">
      <c r="A343" s="17"/>
      <c r="B343" s="18">
        <v>46585</v>
      </c>
      <c r="C343" s="17" t="str">
        <f t="shared" si="32"/>
        <v>49.5 - day 6</v>
      </c>
      <c r="D343" s="17"/>
      <c r="E343" s="17">
        <f t="shared" si="35"/>
        <v>13436</v>
      </c>
      <c r="F343" s="17"/>
      <c r="G343" s="17"/>
      <c r="H343" s="17">
        <f t="shared" si="33"/>
        <v>13436</v>
      </c>
      <c r="I343" s="17"/>
      <c r="J343" s="17"/>
      <c r="K343" s="17"/>
      <c r="L343" s="17">
        <f t="shared" si="34"/>
        <v>0</v>
      </c>
      <c r="M343" s="17"/>
      <c r="N343" s="21">
        <f t="shared" si="36"/>
        <v>0</v>
      </c>
      <c r="O343" s="17">
        <f t="shared" si="37"/>
        <v>0</v>
      </c>
      <c r="P343" s="20"/>
    </row>
    <row r="344" spans="1:16" ht="21" x14ac:dyDescent="0.5">
      <c r="A344" s="17"/>
      <c r="B344" s="18">
        <v>46586</v>
      </c>
      <c r="C344" s="17" t="str">
        <f t="shared" si="32"/>
        <v>49.6 - day 7</v>
      </c>
      <c r="D344" s="17"/>
      <c r="E344" s="17">
        <f t="shared" si="35"/>
        <v>13436</v>
      </c>
      <c r="F344" s="17"/>
      <c r="G344" s="17"/>
      <c r="H344" s="17">
        <f t="shared" si="33"/>
        <v>13436</v>
      </c>
      <c r="I344" s="17"/>
      <c r="J344" s="17"/>
      <c r="K344" s="17"/>
      <c r="L344" s="17">
        <f t="shared" si="34"/>
        <v>0</v>
      </c>
      <c r="M344" s="17"/>
      <c r="N344" s="21">
        <f t="shared" si="36"/>
        <v>0</v>
      </c>
      <c r="O344" s="17">
        <f t="shared" si="37"/>
        <v>0</v>
      </c>
      <c r="P344" s="20"/>
    </row>
    <row r="345" spans="1:16" ht="21" x14ac:dyDescent="0.5">
      <c r="A345" s="17"/>
      <c r="B345" s="18">
        <v>46587</v>
      </c>
      <c r="C345" s="17" t="str">
        <f t="shared" si="32"/>
        <v>50.0 - day 1</v>
      </c>
      <c r="D345" s="17"/>
      <c r="E345" s="17">
        <f t="shared" si="35"/>
        <v>13436</v>
      </c>
      <c r="F345" s="17"/>
      <c r="G345" s="17"/>
      <c r="H345" s="17">
        <f t="shared" si="33"/>
        <v>13436</v>
      </c>
      <c r="I345" s="17"/>
      <c r="J345" s="17"/>
      <c r="K345" s="17"/>
      <c r="L345" s="17">
        <f t="shared" si="34"/>
        <v>0</v>
      </c>
      <c r="M345" s="17"/>
      <c r="N345" s="21">
        <f t="shared" si="36"/>
        <v>0</v>
      </c>
      <c r="O345" s="17">
        <f t="shared" si="37"/>
        <v>0</v>
      </c>
      <c r="P345" s="20"/>
    </row>
    <row r="346" spans="1:16" ht="21" x14ac:dyDescent="0.5">
      <c r="A346" s="17"/>
      <c r="B346" s="18">
        <v>46588</v>
      </c>
      <c r="C346" s="17" t="str">
        <f t="shared" si="32"/>
        <v>50.1 - day 2</v>
      </c>
      <c r="D346" s="17"/>
      <c r="E346" s="17">
        <f t="shared" si="35"/>
        <v>13436</v>
      </c>
      <c r="F346" s="17"/>
      <c r="G346" s="17"/>
      <c r="H346" s="17">
        <f t="shared" si="33"/>
        <v>13436</v>
      </c>
      <c r="I346" s="17"/>
      <c r="J346" s="17"/>
      <c r="K346" s="17"/>
      <c r="L346" s="17">
        <f t="shared" si="34"/>
        <v>0</v>
      </c>
      <c r="M346" s="17"/>
      <c r="N346" s="21">
        <f t="shared" si="36"/>
        <v>0</v>
      </c>
      <c r="O346" s="17">
        <f t="shared" si="37"/>
        <v>0</v>
      </c>
      <c r="P346" s="20"/>
    </row>
    <row r="347" spans="1:16" ht="21" x14ac:dyDescent="0.5">
      <c r="A347" s="17"/>
      <c r="B347" s="18">
        <v>46589</v>
      </c>
      <c r="C347" s="17" t="str">
        <f t="shared" si="32"/>
        <v>50.2 - day 3</v>
      </c>
      <c r="D347" s="17"/>
      <c r="E347" s="17">
        <f t="shared" si="35"/>
        <v>13436</v>
      </c>
      <c r="F347" s="17"/>
      <c r="G347" s="17"/>
      <c r="H347" s="17">
        <f t="shared" si="33"/>
        <v>13436</v>
      </c>
      <c r="I347" s="17"/>
      <c r="J347" s="17"/>
      <c r="K347" s="17"/>
      <c r="L347" s="17">
        <f t="shared" si="34"/>
        <v>0</v>
      </c>
      <c r="M347" s="17"/>
      <c r="N347" s="21">
        <f t="shared" si="36"/>
        <v>0</v>
      </c>
      <c r="O347" s="17">
        <f t="shared" si="37"/>
        <v>0</v>
      </c>
      <c r="P347" s="20"/>
    </row>
    <row r="348" spans="1:16" ht="21" x14ac:dyDescent="0.5">
      <c r="A348" s="17"/>
      <c r="B348" s="18">
        <v>46590</v>
      </c>
      <c r="C348" s="17" t="str">
        <f t="shared" si="32"/>
        <v>50.3 - day 4</v>
      </c>
      <c r="D348" s="17"/>
      <c r="E348" s="17">
        <f t="shared" si="35"/>
        <v>13436</v>
      </c>
      <c r="F348" s="17"/>
      <c r="G348" s="17"/>
      <c r="H348" s="17">
        <f t="shared" si="33"/>
        <v>13436</v>
      </c>
      <c r="I348" s="17"/>
      <c r="J348" s="17"/>
      <c r="K348" s="17"/>
      <c r="L348" s="17">
        <f t="shared" si="34"/>
        <v>0</v>
      </c>
      <c r="M348" s="17"/>
      <c r="N348" s="21">
        <f t="shared" si="36"/>
        <v>0</v>
      </c>
      <c r="O348" s="17">
        <f t="shared" si="37"/>
        <v>0</v>
      </c>
      <c r="P348" s="20"/>
    </row>
    <row r="349" spans="1:16" ht="21" x14ac:dyDescent="0.5">
      <c r="A349" s="17"/>
      <c r="B349" s="18">
        <v>46591</v>
      </c>
      <c r="C349" s="17" t="str">
        <f t="shared" si="32"/>
        <v>50.4 - day 5</v>
      </c>
      <c r="D349" s="17"/>
      <c r="E349" s="17">
        <f t="shared" si="35"/>
        <v>13436</v>
      </c>
      <c r="F349" s="17"/>
      <c r="G349" s="17"/>
      <c r="H349" s="17">
        <f t="shared" si="33"/>
        <v>13436</v>
      </c>
      <c r="I349" s="17"/>
      <c r="J349" s="17"/>
      <c r="K349" s="17"/>
      <c r="L349" s="17">
        <f t="shared" si="34"/>
        <v>0</v>
      </c>
      <c r="M349" s="17"/>
      <c r="N349" s="21">
        <f t="shared" si="36"/>
        <v>0</v>
      </c>
      <c r="O349" s="17">
        <f t="shared" si="37"/>
        <v>0</v>
      </c>
      <c r="P349" s="20"/>
    </row>
    <row r="350" spans="1:16" ht="21" x14ac:dyDescent="0.5">
      <c r="A350" s="17"/>
      <c r="B350" s="18">
        <v>46592</v>
      </c>
      <c r="C350" s="17" t="str">
        <f t="shared" si="32"/>
        <v>50.5 - day 6</v>
      </c>
      <c r="D350" s="17"/>
      <c r="E350" s="17">
        <f t="shared" si="35"/>
        <v>13436</v>
      </c>
      <c r="F350" s="17"/>
      <c r="G350" s="17"/>
      <c r="H350" s="17">
        <f t="shared" si="33"/>
        <v>13436</v>
      </c>
      <c r="I350" s="17"/>
      <c r="J350" s="17"/>
      <c r="K350" s="17"/>
      <c r="L350" s="17">
        <f t="shared" si="34"/>
        <v>0</v>
      </c>
      <c r="M350" s="17"/>
      <c r="N350" s="21">
        <f t="shared" si="36"/>
        <v>0</v>
      </c>
      <c r="O350" s="17">
        <f t="shared" si="37"/>
        <v>0</v>
      </c>
      <c r="P350" s="20"/>
    </row>
    <row r="351" spans="1:16" ht="21" x14ac:dyDescent="0.5">
      <c r="A351" s="17"/>
      <c r="B351" s="18">
        <v>46593</v>
      </c>
      <c r="C351" s="17" t="str">
        <f t="shared" si="32"/>
        <v>50.6 - day 7</v>
      </c>
      <c r="D351" s="17"/>
      <c r="E351" s="17">
        <f t="shared" si="35"/>
        <v>13436</v>
      </c>
      <c r="F351" s="17"/>
      <c r="G351" s="17"/>
      <c r="H351" s="17">
        <f t="shared" si="33"/>
        <v>13436</v>
      </c>
      <c r="I351" s="17"/>
      <c r="J351" s="17"/>
      <c r="K351" s="17"/>
      <c r="L351" s="17">
        <f t="shared" si="34"/>
        <v>0</v>
      </c>
      <c r="M351" s="17"/>
      <c r="N351" s="21">
        <f t="shared" si="36"/>
        <v>0</v>
      </c>
      <c r="O351" s="17">
        <f t="shared" si="37"/>
        <v>0</v>
      </c>
      <c r="P351" s="20"/>
    </row>
    <row r="352" spans="1:16" ht="21" x14ac:dyDescent="0.5">
      <c r="A352" s="17"/>
      <c r="B352" s="18">
        <v>46594</v>
      </c>
      <c r="C352" s="17" t="str">
        <f t="shared" si="32"/>
        <v>51.0 - day 1</v>
      </c>
      <c r="D352" s="17"/>
      <c r="E352" s="17">
        <f t="shared" si="35"/>
        <v>13436</v>
      </c>
      <c r="F352" s="17"/>
      <c r="G352" s="17"/>
      <c r="H352" s="17">
        <f t="shared" si="33"/>
        <v>13436</v>
      </c>
      <c r="I352" s="17"/>
      <c r="J352" s="17"/>
      <c r="K352" s="17"/>
      <c r="L352" s="17">
        <f t="shared" si="34"/>
        <v>0</v>
      </c>
      <c r="M352" s="17"/>
      <c r="N352" s="21">
        <f t="shared" si="36"/>
        <v>0</v>
      </c>
      <c r="O352" s="17">
        <f t="shared" si="37"/>
        <v>0</v>
      </c>
      <c r="P352" s="20"/>
    </row>
    <row r="353" spans="1:16" ht="21" x14ac:dyDescent="0.5">
      <c r="A353" s="17"/>
      <c r="B353" s="18">
        <v>46595</v>
      </c>
      <c r="C353" s="17" t="str">
        <f t="shared" si="32"/>
        <v>51.1 - day 2</v>
      </c>
      <c r="D353" s="17"/>
      <c r="E353" s="17">
        <f t="shared" si="35"/>
        <v>13436</v>
      </c>
      <c r="F353" s="17"/>
      <c r="G353" s="17"/>
      <c r="H353" s="17">
        <f t="shared" si="33"/>
        <v>13436</v>
      </c>
      <c r="I353" s="17"/>
      <c r="J353" s="17"/>
      <c r="K353" s="17"/>
      <c r="L353" s="17">
        <f t="shared" si="34"/>
        <v>0</v>
      </c>
      <c r="M353" s="17"/>
      <c r="N353" s="21">
        <f t="shared" si="36"/>
        <v>0</v>
      </c>
      <c r="O353" s="17">
        <f t="shared" si="37"/>
        <v>0</v>
      </c>
      <c r="P353" s="20"/>
    </row>
    <row r="354" spans="1:16" ht="21" x14ac:dyDescent="0.5">
      <c r="A354" s="17"/>
      <c r="B354" s="18">
        <v>46596</v>
      </c>
      <c r="C354" s="17" t="str">
        <f t="shared" si="32"/>
        <v>51.2 - day 3</v>
      </c>
      <c r="D354" s="17"/>
      <c r="E354" s="17">
        <f t="shared" si="35"/>
        <v>13436</v>
      </c>
      <c r="F354" s="17"/>
      <c r="G354" s="17"/>
      <c r="H354" s="17">
        <f t="shared" si="33"/>
        <v>13436</v>
      </c>
      <c r="I354" s="17"/>
      <c r="J354" s="17"/>
      <c r="K354" s="17"/>
      <c r="L354" s="17">
        <f t="shared" si="34"/>
        <v>0</v>
      </c>
      <c r="M354" s="17"/>
      <c r="N354" s="21">
        <f t="shared" si="36"/>
        <v>0</v>
      </c>
      <c r="O354" s="17">
        <f t="shared" si="37"/>
        <v>0</v>
      </c>
      <c r="P354" s="20"/>
    </row>
    <row r="355" spans="1:16" ht="21" x14ac:dyDescent="0.5">
      <c r="A355" s="17"/>
      <c r="B355" s="18">
        <v>46597</v>
      </c>
      <c r="C355" s="17" t="str">
        <f t="shared" si="32"/>
        <v>51.3 - day 4</v>
      </c>
      <c r="D355" s="17"/>
      <c r="E355" s="17">
        <f t="shared" si="35"/>
        <v>13436</v>
      </c>
      <c r="F355" s="17"/>
      <c r="G355" s="17"/>
      <c r="H355" s="17">
        <f t="shared" si="33"/>
        <v>13436</v>
      </c>
      <c r="I355" s="17"/>
      <c r="J355" s="17"/>
      <c r="K355" s="17"/>
      <c r="L355" s="17">
        <f t="shared" si="34"/>
        <v>0</v>
      </c>
      <c r="M355" s="17"/>
      <c r="N355" s="21">
        <f t="shared" si="36"/>
        <v>0</v>
      </c>
      <c r="O355" s="17">
        <f t="shared" si="37"/>
        <v>0</v>
      </c>
      <c r="P355" s="20"/>
    </row>
    <row r="356" spans="1:16" ht="21" x14ac:dyDescent="0.5">
      <c r="A356" s="17"/>
      <c r="B356" s="18">
        <v>46598</v>
      </c>
      <c r="C356" s="17" t="str">
        <f t="shared" si="32"/>
        <v>51.4 - day 5</v>
      </c>
      <c r="D356" s="17"/>
      <c r="E356" s="17">
        <f t="shared" si="35"/>
        <v>13436</v>
      </c>
      <c r="F356" s="17"/>
      <c r="G356" s="17"/>
      <c r="H356" s="17">
        <f t="shared" si="33"/>
        <v>13436</v>
      </c>
      <c r="I356" s="17"/>
      <c r="J356" s="17"/>
      <c r="K356" s="17"/>
      <c r="L356" s="17">
        <f t="shared" si="34"/>
        <v>0</v>
      </c>
      <c r="M356" s="17"/>
      <c r="N356" s="21">
        <f t="shared" si="36"/>
        <v>0</v>
      </c>
      <c r="O356" s="17">
        <f t="shared" si="37"/>
        <v>0</v>
      </c>
      <c r="P356" s="20"/>
    </row>
    <row r="357" spans="1:16" ht="21" x14ac:dyDescent="0.5">
      <c r="A357" s="17"/>
      <c r="B357" s="18">
        <v>46599</v>
      </c>
      <c r="C357" s="17" t="str">
        <f t="shared" si="32"/>
        <v>51.5 - day 6</v>
      </c>
      <c r="D357" s="17"/>
      <c r="E357" s="17">
        <f t="shared" si="35"/>
        <v>13436</v>
      </c>
      <c r="F357" s="17"/>
      <c r="G357" s="17"/>
      <c r="H357" s="17">
        <f t="shared" si="33"/>
        <v>13436</v>
      </c>
      <c r="I357" s="17"/>
      <c r="J357" s="17"/>
      <c r="K357" s="17"/>
      <c r="L357" s="17">
        <f t="shared" si="34"/>
        <v>0</v>
      </c>
      <c r="M357" s="17"/>
      <c r="N357" s="21">
        <f t="shared" si="36"/>
        <v>0</v>
      </c>
      <c r="O357" s="17">
        <f t="shared" si="37"/>
        <v>0</v>
      </c>
      <c r="P357" s="20"/>
    </row>
    <row r="358" spans="1:16" ht="21" x14ac:dyDescent="0.5">
      <c r="A358" s="17"/>
      <c r="B358" s="18">
        <v>46600</v>
      </c>
      <c r="C358" s="17" t="str">
        <f t="shared" si="32"/>
        <v>51.6 - day 7</v>
      </c>
      <c r="D358" s="17"/>
      <c r="E358" s="17">
        <f t="shared" si="35"/>
        <v>13436</v>
      </c>
      <c r="F358" s="17"/>
      <c r="G358" s="17"/>
      <c r="H358" s="17">
        <f t="shared" si="33"/>
        <v>13436</v>
      </c>
      <c r="I358" s="17"/>
      <c r="J358" s="17"/>
      <c r="K358" s="17"/>
      <c r="L358" s="17">
        <f t="shared" si="34"/>
        <v>0</v>
      </c>
      <c r="M358" s="17"/>
      <c r="N358" s="21">
        <f t="shared" si="36"/>
        <v>0</v>
      </c>
      <c r="O358" s="17">
        <f t="shared" si="37"/>
        <v>0</v>
      </c>
      <c r="P358" s="20"/>
    </row>
    <row r="359" spans="1:16" ht="21" x14ac:dyDescent="0.5">
      <c r="A359" s="17"/>
      <c r="B359" s="18">
        <v>46601</v>
      </c>
      <c r="C359" s="17" t="str">
        <f t="shared" si="32"/>
        <v>52.0 - day 1</v>
      </c>
      <c r="D359" s="17"/>
      <c r="E359" s="17">
        <f t="shared" si="35"/>
        <v>13436</v>
      </c>
      <c r="F359" s="17"/>
      <c r="G359" s="17"/>
      <c r="H359" s="17">
        <f t="shared" si="33"/>
        <v>13436</v>
      </c>
      <c r="I359" s="17"/>
      <c r="J359" s="17"/>
      <c r="K359" s="17"/>
      <c r="L359" s="17">
        <f t="shared" si="34"/>
        <v>0</v>
      </c>
      <c r="M359" s="17"/>
      <c r="N359" s="21">
        <f t="shared" si="36"/>
        <v>0</v>
      </c>
      <c r="O359" s="17">
        <f t="shared" si="37"/>
        <v>0</v>
      </c>
      <c r="P359" s="20"/>
    </row>
    <row r="360" spans="1:16" ht="21" x14ac:dyDescent="0.5">
      <c r="A360" s="17"/>
      <c r="B360" s="18">
        <v>46602</v>
      </c>
      <c r="C360" s="17" t="str">
        <f t="shared" si="32"/>
        <v>52.1 - day 2</v>
      </c>
      <c r="D360" s="17"/>
      <c r="E360" s="17">
        <f t="shared" si="35"/>
        <v>13436</v>
      </c>
      <c r="F360" s="17"/>
      <c r="G360" s="17"/>
      <c r="H360" s="17">
        <f t="shared" si="33"/>
        <v>13436</v>
      </c>
      <c r="I360" s="17"/>
      <c r="J360" s="17"/>
      <c r="K360" s="17"/>
      <c r="L360" s="17">
        <f t="shared" si="34"/>
        <v>0</v>
      </c>
      <c r="M360" s="17"/>
      <c r="N360" s="21">
        <f t="shared" si="36"/>
        <v>0</v>
      </c>
      <c r="O360" s="17">
        <f t="shared" si="37"/>
        <v>0</v>
      </c>
      <c r="P360" s="20"/>
    </row>
    <row r="361" spans="1:16" ht="21" x14ac:dyDescent="0.5">
      <c r="A361" s="17"/>
      <c r="B361" s="18">
        <v>46603</v>
      </c>
      <c r="C361" s="17" t="str">
        <f t="shared" si="32"/>
        <v>52.2 - day 3</v>
      </c>
      <c r="D361" s="17"/>
      <c r="E361" s="17">
        <f t="shared" si="35"/>
        <v>13436</v>
      </c>
      <c r="F361" s="17"/>
      <c r="G361" s="17"/>
      <c r="H361" s="17">
        <f t="shared" si="33"/>
        <v>13436</v>
      </c>
      <c r="I361" s="17"/>
      <c r="J361" s="17"/>
      <c r="K361" s="17"/>
      <c r="L361" s="17">
        <f t="shared" si="34"/>
        <v>0</v>
      </c>
      <c r="M361" s="17"/>
      <c r="N361" s="21">
        <f t="shared" si="36"/>
        <v>0</v>
      </c>
      <c r="O361" s="17">
        <f t="shared" si="37"/>
        <v>0</v>
      </c>
      <c r="P361" s="20"/>
    </row>
    <row r="362" spans="1:16" ht="21" x14ac:dyDescent="0.5">
      <c r="A362" s="17"/>
      <c r="B362" s="18">
        <v>46604</v>
      </c>
      <c r="C362" s="17" t="str">
        <f t="shared" si="32"/>
        <v>52.3 - day 4</v>
      </c>
      <c r="D362" s="17"/>
      <c r="E362" s="17">
        <f t="shared" si="35"/>
        <v>13436</v>
      </c>
      <c r="F362" s="17"/>
      <c r="G362" s="17"/>
      <c r="H362" s="17">
        <f t="shared" si="33"/>
        <v>13436</v>
      </c>
      <c r="I362" s="17"/>
      <c r="J362" s="17"/>
      <c r="K362" s="17"/>
      <c r="L362" s="17">
        <f t="shared" si="34"/>
        <v>0</v>
      </c>
      <c r="M362" s="17"/>
      <c r="N362" s="21">
        <f t="shared" si="36"/>
        <v>0</v>
      </c>
      <c r="O362" s="17">
        <f t="shared" si="37"/>
        <v>0</v>
      </c>
      <c r="P362" s="20"/>
    </row>
    <row r="363" spans="1:16" ht="21" x14ac:dyDescent="0.5">
      <c r="A363" s="17"/>
      <c r="B363" s="18">
        <v>46605</v>
      </c>
      <c r="C363" s="17" t="str">
        <f t="shared" si="32"/>
        <v>52.4 - day 5</v>
      </c>
      <c r="D363" s="17"/>
      <c r="E363" s="17">
        <f t="shared" si="35"/>
        <v>13436</v>
      </c>
      <c r="F363" s="17"/>
      <c r="G363" s="17"/>
      <c r="H363" s="17">
        <f t="shared" si="33"/>
        <v>13436</v>
      </c>
      <c r="I363" s="17"/>
      <c r="J363" s="17"/>
      <c r="K363" s="17"/>
      <c r="L363" s="17">
        <f t="shared" si="34"/>
        <v>0</v>
      </c>
      <c r="M363" s="17"/>
      <c r="N363" s="21">
        <f t="shared" si="36"/>
        <v>0</v>
      </c>
      <c r="O363" s="17">
        <f t="shared" si="37"/>
        <v>0</v>
      </c>
      <c r="P363" s="20"/>
    </row>
    <row r="364" spans="1:16" ht="21" x14ac:dyDescent="0.5">
      <c r="A364" s="17"/>
      <c r="B364" s="18">
        <v>46606</v>
      </c>
      <c r="C364" s="17" t="str">
        <f t="shared" si="32"/>
        <v>52.5 - day 6</v>
      </c>
      <c r="D364" s="17"/>
      <c r="E364" s="17">
        <f t="shared" si="35"/>
        <v>13436</v>
      </c>
      <c r="F364" s="17"/>
      <c r="G364" s="17"/>
      <c r="H364" s="17">
        <f t="shared" si="33"/>
        <v>13436</v>
      </c>
      <c r="I364" s="17"/>
      <c r="J364" s="17"/>
      <c r="K364" s="17"/>
      <c r="L364" s="17">
        <f t="shared" si="34"/>
        <v>0</v>
      </c>
      <c r="M364" s="17"/>
      <c r="N364" s="21">
        <f t="shared" si="36"/>
        <v>0</v>
      </c>
      <c r="O364" s="17">
        <f t="shared" si="37"/>
        <v>0</v>
      </c>
      <c r="P364" s="20"/>
    </row>
    <row r="365" spans="1:16" ht="21" x14ac:dyDescent="0.5">
      <c r="A365" s="17"/>
      <c r="B365" s="18">
        <v>46607</v>
      </c>
      <c r="C365" s="17" t="str">
        <f t="shared" si="32"/>
        <v>52.6 - day 7</v>
      </c>
      <c r="D365" s="17"/>
      <c r="E365" s="17">
        <f t="shared" si="35"/>
        <v>13436</v>
      </c>
      <c r="F365" s="17"/>
      <c r="G365" s="17"/>
      <c r="H365" s="17">
        <f t="shared" si="33"/>
        <v>13436</v>
      </c>
      <c r="I365" s="17"/>
      <c r="J365" s="17"/>
      <c r="K365" s="17"/>
      <c r="L365" s="17">
        <f t="shared" si="34"/>
        <v>0</v>
      </c>
      <c r="M365" s="17"/>
      <c r="N365" s="21">
        <f t="shared" si="36"/>
        <v>0</v>
      </c>
      <c r="O365" s="17">
        <f t="shared" si="37"/>
        <v>0</v>
      </c>
      <c r="P365" s="20"/>
    </row>
    <row r="366" spans="1:16" ht="21" x14ac:dyDescent="0.5">
      <c r="A366" s="17"/>
      <c r="B366" s="18">
        <v>46608</v>
      </c>
      <c r="C366" s="17" t="str">
        <f t="shared" si="32"/>
        <v>53.0 - day 1</v>
      </c>
      <c r="D366" s="17"/>
      <c r="E366" s="17">
        <f t="shared" si="35"/>
        <v>13436</v>
      </c>
      <c r="F366" s="17"/>
      <c r="G366" s="17"/>
      <c r="H366" s="17">
        <f t="shared" si="33"/>
        <v>13436</v>
      </c>
      <c r="I366" s="17"/>
      <c r="J366" s="17"/>
      <c r="K366" s="17"/>
      <c r="L366" s="17">
        <f t="shared" si="34"/>
        <v>0</v>
      </c>
      <c r="M366" s="17"/>
      <c r="N366" s="21">
        <f t="shared" si="36"/>
        <v>0</v>
      </c>
      <c r="O366" s="17">
        <f t="shared" si="37"/>
        <v>0</v>
      </c>
      <c r="P366" s="20"/>
    </row>
    <row r="367" spans="1:16" ht="21" x14ac:dyDescent="0.5">
      <c r="A367" s="17"/>
      <c r="B367" s="18">
        <v>46609</v>
      </c>
      <c r="C367" s="17" t="str">
        <f t="shared" si="32"/>
        <v>53.1 - day 2</v>
      </c>
      <c r="D367" s="17"/>
      <c r="E367" s="17">
        <f t="shared" si="35"/>
        <v>13436</v>
      </c>
      <c r="F367" s="17"/>
      <c r="G367" s="17"/>
      <c r="H367" s="17">
        <f t="shared" si="33"/>
        <v>13436</v>
      </c>
      <c r="I367" s="17"/>
      <c r="J367" s="17"/>
      <c r="K367" s="17"/>
      <c r="L367" s="17">
        <f t="shared" si="34"/>
        <v>0</v>
      </c>
      <c r="M367" s="17"/>
      <c r="N367" s="21">
        <f t="shared" si="36"/>
        <v>0</v>
      </c>
      <c r="O367" s="17">
        <f t="shared" si="37"/>
        <v>0</v>
      </c>
      <c r="P367" s="20"/>
    </row>
    <row r="368" spans="1:16" ht="21" x14ac:dyDescent="0.5">
      <c r="A368" s="17"/>
      <c r="B368" s="18">
        <v>46610</v>
      </c>
      <c r="C368" s="17" t="str">
        <f t="shared" si="32"/>
        <v>53.2 - day 3</v>
      </c>
      <c r="D368" s="17"/>
      <c r="E368" s="17">
        <f t="shared" si="35"/>
        <v>13436</v>
      </c>
      <c r="F368" s="17"/>
      <c r="G368" s="17"/>
      <c r="H368" s="17">
        <f t="shared" si="33"/>
        <v>13436</v>
      </c>
      <c r="I368" s="17"/>
      <c r="J368" s="17"/>
      <c r="K368" s="17"/>
      <c r="L368" s="17">
        <f t="shared" si="34"/>
        <v>0</v>
      </c>
      <c r="M368" s="17"/>
      <c r="N368" s="21">
        <f t="shared" si="36"/>
        <v>0</v>
      </c>
      <c r="O368" s="17">
        <f t="shared" si="37"/>
        <v>0</v>
      </c>
      <c r="P368" s="20"/>
    </row>
    <row r="369" spans="1:16" ht="21" x14ac:dyDescent="0.5">
      <c r="A369" s="17"/>
      <c r="B369" s="18">
        <v>46611</v>
      </c>
      <c r="C369" s="17" t="str">
        <f t="shared" si="32"/>
        <v>53.3 - day 4</v>
      </c>
      <c r="D369" s="17"/>
      <c r="E369" s="17">
        <f t="shared" si="35"/>
        <v>13436</v>
      </c>
      <c r="F369" s="17"/>
      <c r="G369" s="17"/>
      <c r="H369" s="17">
        <f t="shared" si="33"/>
        <v>13436</v>
      </c>
      <c r="I369" s="17"/>
      <c r="J369" s="17"/>
      <c r="K369" s="17"/>
      <c r="L369" s="17">
        <f t="shared" si="34"/>
        <v>0</v>
      </c>
      <c r="M369" s="17"/>
      <c r="N369" s="21">
        <f t="shared" si="36"/>
        <v>0</v>
      </c>
      <c r="O369" s="17">
        <f t="shared" si="37"/>
        <v>0</v>
      </c>
      <c r="P369" s="20"/>
    </row>
    <row r="370" spans="1:16" ht="21" x14ac:dyDescent="0.5">
      <c r="A370" s="17"/>
      <c r="B370" s="18">
        <v>46612</v>
      </c>
      <c r="C370" s="17" t="str">
        <f t="shared" si="32"/>
        <v>53.4 - day 5</v>
      </c>
      <c r="D370" s="17"/>
      <c r="E370" s="17">
        <f t="shared" si="35"/>
        <v>13436</v>
      </c>
      <c r="F370" s="17"/>
      <c r="G370" s="17"/>
      <c r="H370" s="17">
        <f t="shared" si="33"/>
        <v>13436</v>
      </c>
      <c r="I370" s="17"/>
      <c r="J370" s="17"/>
      <c r="K370" s="17"/>
      <c r="L370" s="17">
        <f t="shared" si="34"/>
        <v>0</v>
      </c>
      <c r="M370" s="17"/>
      <c r="N370" s="21">
        <f t="shared" si="36"/>
        <v>0</v>
      </c>
      <c r="O370" s="17">
        <f t="shared" si="37"/>
        <v>0</v>
      </c>
      <c r="P370" s="20"/>
    </row>
    <row r="371" spans="1:16" ht="21" x14ac:dyDescent="0.5">
      <c r="A371" s="17"/>
      <c r="B371" s="18">
        <v>46613</v>
      </c>
      <c r="C371" s="17" t="str">
        <f t="shared" si="32"/>
        <v>53.5 - day 6</v>
      </c>
      <c r="D371" s="17"/>
      <c r="E371" s="17">
        <f t="shared" si="35"/>
        <v>13436</v>
      </c>
      <c r="F371" s="17"/>
      <c r="G371" s="17"/>
      <c r="H371" s="17">
        <f t="shared" si="33"/>
        <v>13436</v>
      </c>
      <c r="I371" s="17"/>
      <c r="J371" s="17"/>
      <c r="K371" s="17"/>
      <c r="L371" s="17">
        <f t="shared" si="34"/>
        <v>0</v>
      </c>
      <c r="M371" s="17"/>
      <c r="N371" s="21">
        <f t="shared" si="36"/>
        <v>0</v>
      </c>
      <c r="O371" s="17">
        <f t="shared" si="37"/>
        <v>0</v>
      </c>
      <c r="P371" s="20"/>
    </row>
    <row r="372" spans="1:16" ht="21" x14ac:dyDescent="0.5">
      <c r="A372" s="17"/>
      <c r="B372" s="18">
        <v>46614</v>
      </c>
      <c r="C372" s="17" t="str">
        <f t="shared" si="32"/>
        <v>53.6 - day 7</v>
      </c>
      <c r="D372" s="17"/>
      <c r="E372" s="17">
        <f t="shared" si="35"/>
        <v>13436</v>
      </c>
      <c r="F372" s="17"/>
      <c r="G372" s="17"/>
      <c r="H372" s="17">
        <f t="shared" si="33"/>
        <v>13436</v>
      </c>
      <c r="I372" s="17"/>
      <c r="J372" s="17"/>
      <c r="K372" s="17"/>
      <c r="L372" s="17">
        <f t="shared" si="34"/>
        <v>0</v>
      </c>
      <c r="M372" s="17"/>
      <c r="N372" s="21">
        <f t="shared" si="36"/>
        <v>0</v>
      </c>
      <c r="O372" s="17">
        <f t="shared" si="37"/>
        <v>0</v>
      </c>
      <c r="P372" s="20"/>
    </row>
    <row r="373" spans="1:16" ht="21" x14ac:dyDescent="0.5">
      <c r="A373" s="17"/>
      <c r="B373" s="18">
        <v>46615</v>
      </c>
      <c r="C373" s="17" t="str">
        <f t="shared" si="32"/>
        <v>54.0 - day 1</v>
      </c>
      <c r="D373" s="17"/>
      <c r="E373" s="17">
        <f t="shared" si="35"/>
        <v>13436</v>
      </c>
      <c r="F373" s="17"/>
      <c r="G373" s="17"/>
      <c r="H373" s="17">
        <f t="shared" si="33"/>
        <v>13436</v>
      </c>
      <c r="I373" s="17"/>
      <c r="J373" s="17"/>
      <c r="K373" s="17"/>
      <c r="L373" s="17">
        <f t="shared" si="34"/>
        <v>0</v>
      </c>
      <c r="M373" s="17"/>
      <c r="N373" s="21">
        <f t="shared" si="36"/>
        <v>0</v>
      </c>
      <c r="O373" s="17">
        <f t="shared" si="37"/>
        <v>0</v>
      </c>
      <c r="P373" s="20"/>
    </row>
    <row r="374" spans="1:16" ht="21" x14ac:dyDescent="0.5">
      <c r="A374" s="17"/>
      <c r="B374" s="18">
        <v>46616</v>
      </c>
      <c r="C374" s="17" t="str">
        <f t="shared" si="32"/>
        <v>54.1 - day 2</v>
      </c>
      <c r="D374" s="17"/>
      <c r="E374" s="17">
        <f t="shared" si="35"/>
        <v>13436</v>
      </c>
      <c r="F374" s="17"/>
      <c r="G374" s="17"/>
      <c r="H374" s="17">
        <f t="shared" si="33"/>
        <v>13436</v>
      </c>
      <c r="I374" s="17"/>
      <c r="J374" s="17"/>
      <c r="K374" s="17"/>
      <c r="L374" s="17">
        <f t="shared" si="34"/>
        <v>0</v>
      </c>
      <c r="M374" s="17"/>
      <c r="N374" s="21">
        <f t="shared" si="36"/>
        <v>0</v>
      </c>
      <c r="O374" s="17">
        <f t="shared" si="37"/>
        <v>0</v>
      </c>
      <c r="P374" s="20"/>
    </row>
    <row r="375" spans="1:16" ht="21" x14ac:dyDescent="0.5">
      <c r="A375" s="17"/>
      <c r="B375" s="18">
        <v>46617</v>
      </c>
      <c r="C375" s="17" t="str">
        <f t="shared" si="32"/>
        <v>54.2 - day 3</v>
      </c>
      <c r="D375" s="17"/>
      <c r="E375" s="17">
        <f t="shared" si="35"/>
        <v>13436</v>
      </c>
      <c r="F375" s="17"/>
      <c r="G375" s="17"/>
      <c r="H375" s="17">
        <f t="shared" si="33"/>
        <v>13436</v>
      </c>
      <c r="I375" s="17"/>
      <c r="J375" s="17"/>
      <c r="K375" s="17"/>
      <c r="L375" s="17">
        <f t="shared" si="34"/>
        <v>0</v>
      </c>
      <c r="M375" s="17"/>
      <c r="N375" s="21">
        <f t="shared" si="36"/>
        <v>0</v>
      </c>
      <c r="O375" s="17">
        <f t="shared" si="37"/>
        <v>0</v>
      </c>
      <c r="P375" s="20"/>
    </row>
    <row r="376" spans="1:16" ht="21" x14ac:dyDescent="0.5">
      <c r="A376" s="17"/>
      <c r="B376" s="18">
        <v>46618</v>
      </c>
      <c r="C376" s="17" t="str">
        <f t="shared" si="32"/>
        <v>54.3 - day 4</v>
      </c>
      <c r="D376" s="17"/>
      <c r="E376" s="17">
        <f t="shared" si="35"/>
        <v>13436</v>
      </c>
      <c r="F376" s="17"/>
      <c r="G376" s="17"/>
      <c r="H376" s="17">
        <f t="shared" si="33"/>
        <v>13436</v>
      </c>
      <c r="I376" s="17"/>
      <c r="J376" s="17"/>
      <c r="K376" s="17"/>
      <c r="L376" s="17">
        <f t="shared" si="34"/>
        <v>0</v>
      </c>
      <c r="M376" s="17"/>
      <c r="N376" s="21">
        <f t="shared" si="36"/>
        <v>0</v>
      </c>
      <c r="O376" s="17">
        <f t="shared" si="37"/>
        <v>0</v>
      </c>
      <c r="P376" s="20"/>
    </row>
    <row r="377" spans="1:16" ht="21" x14ac:dyDescent="0.5">
      <c r="A377" s="17"/>
      <c r="B377" s="18">
        <v>46619</v>
      </c>
      <c r="C377" s="17" t="str">
        <f t="shared" si="32"/>
        <v>54.4 - day 5</v>
      </c>
      <c r="D377" s="17"/>
      <c r="E377" s="17">
        <f t="shared" si="35"/>
        <v>13436</v>
      </c>
      <c r="F377" s="17"/>
      <c r="G377" s="17"/>
      <c r="H377" s="17">
        <f t="shared" si="33"/>
        <v>13436</v>
      </c>
      <c r="I377" s="17"/>
      <c r="J377" s="17"/>
      <c r="K377" s="17"/>
      <c r="L377" s="17">
        <f t="shared" si="34"/>
        <v>0</v>
      </c>
      <c r="M377" s="17"/>
      <c r="N377" s="21">
        <f t="shared" si="36"/>
        <v>0</v>
      </c>
      <c r="O377" s="17">
        <f t="shared" si="37"/>
        <v>0</v>
      </c>
      <c r="P377" s="20"/>
    </row>
    <row r="378" spans="1:16" ht="21" x14ac:dyDescent="0.5">
      <c r="A378" s="17"/>
      <c r="B378" s="18">
        <v>46620</v>
      </c>
      <c r="C378" s="17" t="str">
        <f t="shared" si="32"/>
        <v>54.5 - day 6</v>
      </c>
      <c r="D378" s="17"/>
      <c r="E378" s="17">
        <f t="shared" si="35"/>
        <v>13436</v>
      </c>
      <c r="F378" s="17"/>
      <c r="G378" s="17"/>
      <c r="H378" s="17">
        <f t="shared" si="33"/>
        <v>13436</v>
      </c>
      <c r="I378" s="17"/>
      <c r="J378" s="17"/>
      <c r="K378" s="17"/>
      <c r="L378" s="17">
        <f t="shared" si="34"/>
        <v>0</v>
      </c>
      <c r="M378" s="17"/>
      <c r="N378" s="21">
        <f t="shared" si="36"/>
        <v>0</v>
      </c>
      <c r="O378" s="17">
        <f t="shared" si="37"/>
        <v>0</v>
      </c>
      <c r="P378" s="20"/>
    </row>
    <row r="379" spans="1:16" ht="21" x14ac:dyDescent="0.5">
      <c r="A379" s="17"/>
      <c r="B379" s="18">
        <v>46621</v>
      </c>
      <c r="C379" s="17" t="str">
        <f t="shared" si="32"/>
        <v>54.6 - day 7</v>
      </c>
      <c r="D379" s="17"/>
      <c r="E379" s="17">
        <f t="shared" si="35"/>
        <v>13436</v>
      </c>
      <c r="F379" s="17"/>
      <c r="G379" s="17"/>
      <c r="H379" s="17">
        <f t="shared" si="33"/>
        <v>13436</v>
      </c>
      <c r="I379" s="17"/>
      <c r="J379" s="17"/>
      <c r="K379" s="17"/>
      <c r="L379" s="17">
        <f t="shared" si="34"/>
        <v>0</v>
      </c>
      <c r="M379" s="17"/>
      <c r="N379" s="21">
        <f t="shared" si="36"/>
        <v>0</v>
      </c>
      <c r="O379" s="17">
        <f t="shared" si="37"/>
        <v>0</v>
      </c>
      <c r="P379" s="20"/>
    </row>
    <row r="380" spans="1:16" ht="21" x14ac:dyDescent="0.5">
      <c r="A380" s="17"/>
      <c r="B380" s="18">
        <v>46622</v>
      </c>
      <c r="C380" s="17" t="str">
        <f t="shared" si="32"/>
        <v>55.0 - day 1</v>
      </c>
      <c r="D380" s="17"/>
      <c r="E380" s="17">
        <f t="shared" si="35"/>
        <v>13436</v>
      </c>
      <c r="F380" s="17"/>
      <c r="G380" s="17"/>
      <c r="H380" s="17">
        <f t="shared" si="33"/>
        <v>13436</v>
      </c>
      <c r="I380" s="17"/>
      <c r="J380" s="17"/>
      <c r="K380" s="17"/>
      <c r="L380" s="17">
        <f t="shared" si="34"/>
        <v>0</v>
      </c>
      <c r="M380" s="17"/>
      <c r="N380" s="21">
        <f t="shared" si="36"/>
        <v>0</v>
      </c>
      <c r="O380" s="17">
        <f t="shared" si="37"/>
        <v>0</v>
      </c>
      <c r="P380" s="20"/>
    </row>
    <row r="381" spans="1:16" ht="21" x14ac:dyDescent="0.5">
      <c r="A381" s="17"/>
      <c r="B381" s="18">
        <v>46623</v>
      </c>
      <c r="C381" s="17" t="str">
        <f t="shared" si="32"/>
        <v>55.1 - day 2</v>
      </c>
      <c r="D381" s="17"/>
      <c r="E381" s="17">
        <f t="shared" si="35"/>
        <v>13436</v>
      </c>
      <c r="F381" s="17"/>
      <c r="G381" s="17"/>
      <c r="H381" s="17">
        <f t="shared" si="33"/>
        <v>13436</v>
      </c>
      <c r="I381" s="17"/>
      <c r="J381" s="17"/>
      <c r="K381" s="17"/>
      <c r="L381" s="17">
        <f t="shared" si="34"/>
        <v>0</v>
      </c>
      <c r="M381" s="17"/>
      <c r="N381" s="21">
        <f t="shared" si="36"/>
        <v>0</v>
      </c>
      <c r="O381" s="17">
        <f t="shared" si="37"/>
        <v>0</v>
      </c>
      <c r="P381" s="20"/>
    </row>
    <row r="382" spans="1:16" ht="21" x14ac:dyDescent="0.5">
      <c r="A382" s="17"/>
      <c r="B382" s="18">
        <v>46624</v>
      </c>
      <c r="C382" s="17" t="str">
        <f t="shared" si="32"/>
        <v>55.2 - day 3</v>
      </c>
      <c r="D382" s="17"/>
      <c r="E382" s="17">
        <f t="shared" si="35"/>
        <v>13436</v>
      </c>
      <c r="F382" s="17"/>
      <c r="G382" s="17"/>
      <c r="H382" s="17">
        <f t="shared" si="33"/>
        <v>13436</v>
      </c>
      <c r="I382" s="17"/>
      <c r="J382" s="17"/>
      <c r="K382" s="17"/>
      <c r="L382" s="17">
        <f t="shared" si="34"/>
        <v>0</v>
      </c>
      <c r="M382" s="17"/>
      <c r="N382" s="21">
        <f t="shared" si="36"/>
        <v>0</v>
      </c>
      <c r="O382" s="17">
        <f t="shared" si="37"/>
        <v>0</v>
      </c>
      <c r="P382" s="20"/>
    </row>
    <row r="383" spans="1:16" ht="21" x14ac:dyDescent="0.5">
      <c r="A383" s="17"/>
      <c r="B383" s="18">
        <v>46625</v>
      </c>
      <c r="C383" s="17" t="str">
        <f t="shared" si="32"/>
        <v>55.3 - day 4</v>
      </c>
      <c r="D383" s="17"/>
      <c r="E383" s="17">
        <f t="shared" si="35"/>
        <v>13436</v>
      </c>
      <c r="F383" s="17"/>
      <c r="G383" s="17"/>
      <c r="H383" s="17">
        <f t="shared" si="33"/>
        <v>13436</v>
      </c>
      <c r="I383" s="17"/>
      <c r="J383" s="17"/>
      <c r="K383" s="17"/>
      <c r="L383" s="17">
        <f t="shared" si="34"/>
        <v>0</v>
      </c>
      <c r="M383" s="17"/>
      <c r="N383" s="21">
        <f t="shared" si="36"/>
        <v>0</v>
      </c>
      <c r="O383" s="17">
        <f t="shared" si="37"/>
        <v>0</v>
      </c>
      <c r="P383" s="20"/>
    </row>
    <row r="384" spans="1:16" ht="21" x14ac:dyDescent="0.5">
      <c r="A384" s="17"/>
      <c r="B384" s="18">
        <v>46626</v>
      </c>
      <c r="C384" s="17" t="str">
        <f t="shared" si="32"/>
        <v>55.4 - day 5</v>
      </c>
      <c r="D384" s="17"/>
      <c r="E384" s="17">
        <f t="shared" si="35"/>
        <v>13436</v>
      </c>
      <c r="F384" s="17"/>
      <c r="G384" s="17"/>
      <c r="H384" s="17">
        <f t="shared" si="33"/>
        <v>13436</v>
      </c>
      <c r="I384" s="17"/>
      <c r="J384" s="17"/>
      <c r="K384" s="17"/>
      <c r="L384" s="17">
        <f t="shared" si="34"/>
        <v>0</v>
      </c>
      <c r="M384" s="17"/>
      <c r="N384" s="21">
        <f t="shared" si="36"/>
        <v>0</v>
      </c>
      <c r="O384" s="17">
        <f t="shared" si="37"/>
        <v>0</v>
      </c>
      <c r="P384" s="20"/>
    </row>
    <row r="385" spans="1:16" ht="21" x14ac:dyDescent="0.5">
      <c r="A385" s="17"/>
      <c r="B385" s="18">
        <v>46627</v>
      </c>
      <c r="C385" s="17" t="str">
        <f t="shared" si="32"/>
        <v>55.5 - day 6</v>
      </c>
      <c r="D385" s="17"/>
      <c r="E385" s="17">
        <f t="shared" si="35"/>
        <v>13436</v>
      </c>
      <c r="F385" s="17"/>
      <c r="G385" s="17"/>
      <c r="H385" s="17">
        <f t="shared" si="33"/>
        <v>13436</v>
      </c>
      <c r="I385" s="17"/>
      <c r="J385" s="17"/>
      <c r="K385" s="17"/>
      <c r="L385" s="17">
        <f t="shared" si="34"/>
        <v>0</v>
      </c>
      <c r="M385" s="17"/>
      <c r="N385" s="21">
        <f t="shared" si="36"/>
        <v>0</v>
      </c>
      <c r="O385" s="17">
        <f t="shared" si="37"/>
        <v>0</v>
      </c>
      <c r="P385" s="20"/>
    </row>
    <row r="386" spans="1:16" ht="21" x14ac:dyDescent="0.5">
      <c r="A386" s="17"/>
      <c r="B386" s="18">
        <v>46628</v>
      </c>
      <c r="C386" s="17" t="str">
        <f t="shared" si="32"/>
        <v>55.6 - day 7</v>
      </c>
      <c r="D386" s="17"/>
      <c r="E386" s="17">
        <f t="shared" si="35"/>
        <v>13436</v>
      </c>
      <c r="F386" s="17"/>
      <c r="G386" s="17"/>
      <c r="H386" s="17">
        <f t="shared" si="33"/>
        <v>13436</v>
      </c>
      <c r="I386" s="17"/>
      <c r="J386" s="17"/>
      <c r="K386" s="17"/>
      <c r="L386" s="17">
        <f t="shared" si="34"/>
        <v>0</v>
      </c>
      <c r="M386" s="17"/>
      <c r="N386" s="21">
        <f t="shared" si="36"/>
        <v>0</v>
      </c>
      <c r="O386" s="17">
        <f t="shared" si="37"/>
        <v>0</v>
      </c>
      <c r="P386" s="20"/>
    </row>
    <row r="387" spans="1:16" ht="21" x14ac:dyDescent="0.5">
      <c r="A387" s="17"/>
      <c r="B387" s="18">
        <v>46629</v>
      </c>
      <c r="C387" s="17" t="str">
        <f t="shared" si="32"/>
        <v>56.0 - day 1</v>
      </c>
      <c r="D387" s="17"/>
      <c r="E387" s="17">
        <f t="shared" si="35"/>
        <v>13436</v>
      </c>
      <c r="F387" s="17"/>
      <c r="G387" s="17"/>
      <c r="H387" s="17">
        <f t="shared" si="33"/>
        <v>13436</v>
      </c>
      <c r="I387" s="17"/>
      <c r="J387" s="17"/>
      <c r="K387" s="17"/>
      <c r="L387" s="17">
        <f t="shared" si="34"/>
        <v>0</v>
      </c>
      <c r="M387" s="17"/>
      <c r="N387" s="21">
        <f t="shared" si="36"/>
        <v>0</v>
      </c>
      <c r="O387" s="17">
        <f t="shared" si="37"/>
        <v>0</v>
      </c>
      <c r="P387" s="20"/>
    </row>
    <row r="388" spans="1:16" ht="21" x14ac:dyDescent="0.5">
      <c r="A388" s="17"/>
      <c r="B388" s="18">
        <v>46630</v>
      </c>
      <c r="C388" s="17" t="str">
        <f t="shared" ref="C388:C451" si="38">(QUOTIENT(ROW()-2,7)+1)&amp;"."&amp;MOD(ROW()-2,7)&amp;" - day "&amp;(MOD(ROW()-2,7)+1)</f>
        <v>56.1 - day 2</v>
      </c>
      <c r="D388" s="17"/>
      <c r="E388" s="17">
        <f t="shared" si="35"/>
        <v>13436</v>
      </c>
      <c r="F388" s="17"/>
      <c r="G388" s="17"/>
      <c r="H388" s="17">
        <f t="shared" ref="H388:H451" si="39">SUM(E388-F388-G388)</f>
        <v>13436</v>
      </c>
      <c r="I388" s="17"/>
      <c r="J388" s="17"/>
      <c r="K388" s="17"/>
      <c r="L388" s="17">
        <f t="shared" ref="L388:L451" si="40">SUM(J388+K388)/H388*100</f>
        <v>0</v>
      </c>
      <c r="M388" s="17"/>
      <c r="N388" s="21">
        <f t="shared" si="36"/>
        <v>0</v>
      </c>
      <c r="O388" s="17">
        <f t="shared" si="37"/>
        <v>0</v>
      </c>
      <c r="P388" s="20"/>
    </row>
    <row r="389" spans="1:16" ht="21" x14ac:dyDescent="0.5">
      <c r="A389" s="17"/>
      <c r="B389" s="18">
        <v>46631</v>
      </c>
      <c r="C389" s="17" t="str">
        <f t="shared" si="38"/>
        <v>56.2 - day 3</v>
      </c>
      <c r="D389" s="17"/>
      <c r="E389" s="17">
        <f t="shared" si="35"/>
        <v>13436</v>
      </c>
      <c r="F389" s="17"/>
      <c r="G389" s="17"/>
      <c r="H389" s="17">
        <f t="shared" si="39"/>
        <v>13436</v>
      </c>
      <c r="I389" s="17"/>
      <c r="J389" s="17"/>
      <c r="K389" s="17"/>
      <c r="L389" s="17">
        <f t="shared" si="40"/>
        <v>0</v>
      </c>
      <c r="M389" s="17"/>
      <c r="N389" s="21">
        <f t="shared" si="36"/>
        <v>0</v>
      </c>
      <c r="O389" s="17">
        <f t="shared" si="37"/>
        <v>0</v>
      </c>
      <c r="P389" s="20"/>
    </row>
    <row r="390" spans="1:16" ht="21" x14ac:dyDescent="0.5">
      <c r="A390" s="17"/>
      <c r="B390" s="18">
        <v>46632</v>
      </c>
      <c r="C390" s="17" t="str">
        <f t="shared" si="38"/>
        <v>56.3 - day 4</v>
      </c>
      <c r="D390" s="17"/>
      <c r="E390" s="17">
        <f t="shared" ref="E390:E453" si="41">H389</f>
        <v>13436</v>
      </c>
      <c r="F390" s="17"/>
      <c r="G390" s="17"/>
      <c r="H390" s="17">
        <f t="shared" si="39"/>
        <v>13436</v>
      </c>
      <c r="I390" s="17"/>
      <c r="J390" s="17"/>
      <c r="K390" s="17"/>
      <c r="L390" s="17">
        <f t="shared" si="40"/>
        <v>0</v>
      </c>
      <c r="M390" s="17"/>
      <c r="N390" s="21">
        <f t="shared" si="36"/>
        <v>0</v>
      </c>
      <c r="O390" s="17">
        <f t="shared" si="37"/>
        <v>0</v>
      </c>
      <c r="P390" s="20"/>
    </row>
    <row r="391" spans="1:16" ht="21" x14ac:dyDescent="0.5">
      <c r="A391" s="17"/>
      <c r="B391" s="18">
        <v>46633</v>
      </c>
      <c r="C391" s="17" t="str">
        <f t="shared" si="38"/>
        <v>56.4 - day 5</v>
      </c>
      <c r="D391" s="17"/>
      <c r="E391" s="17">
        <f t="shared" si="41"/>
        <v>13436</v>
      </c>
      <c r="F391" s="17"/>
      <c r="G391" s="17"/>
      <c r="H391" s="17">
        <f t="shared" si="39"/>
        <v>13436</v>
      </c>
      <c r="I391" s="17"/>
      <c r="J391" s="17"/>
      <c r="K391" s="17"/>
      <c r="L391" s="17">
        <f t="shared" si="40"/>
        <v>0</v>
      </c>
      <c r="M391" s="17"/>
      <c r="N391" s="21">
        <f t="shared" si="36"/>
        <v>0</v>
      </c>
      <c r="O391" s="17">
        <f t="shared" si="37"/>
        <v>0</v>
      </c>
      <c r="P391" s="20"/>
    </row>
    <row r="392" spans="1:16" ht="21" x14ac:dyDescent="0.5">
      <c r="A392" s="17"/>
      <c r="B392" s="18">
        <v>46634</v>
      </c>
      <c r="C392" s="17" t="str">
        <f t="shared" si="38"/>
        <v>56.5 - day 6</v>
      </c>
      <c r="D392" s="17"/>
      <c r="E392" s="17">
        <f t="shared" si="41"/>
        <v>13436</v>
      </c>
      <c r="F392" s="17"/>
      <c r="G392" s="17"/>
      <c r="H392" s="17">
        <f t="shared" si="39"/>
        <v>13436</v>
      </c>
      <c r="I392" s="17"/>
      <c r="J392" s="17"/>
      <c r="K392" s="17"/>
      <c r="L392" s="17">
        <f t="shared" si="40"/>
        <v>0</v>
      </c>
      <c r="M392" s="17"/>
      <c r="N392" s="21">
        <f t="shared" si="36"/>
        <v>0</v>
      </c>
      <c r="O392" s="17">
        <f t="shared" si="37"/>
        <v>0</v>
      </c>
      <c r="P392" s="20"/>
    </row>
    <row r="393" spans="1:16" ht="21" x14ac:dyDescent="0.5">
      <c r="A393" s="17"/>
      <c r="B393" s="18">
        <v>46635</v>
      </c>
      <c r="C393" s="17" t="str">
        <f t="shared" si="38"/>
        <v>56.6 - day 7</v>
      </c>
      <c r="D393" s="17"/>
      <c r="E393" s="17">
        <f t="shared" si="41"/>
        <v>13436</v>
      </c>
      <c r="F393" s="17"/>
      <c r="G393" s="17"/>
      <c r="H393" s="17">
        <f t="shared" si="39"/>
        <v>13436</v>
      </c>
      <c r="I393" s="17"/>
      <c r="J393" s="17"/>
      <c r="K393" s="17"/>
      <c r="L393" s="17">
        <f t="shared" si="40"/>
        <v>0</v>
      </c>
      <c r="M393" s="17"/>
      <c r="N393" s="21">
        <f t="shared" si="36"/>
        <v>0</v>
      </c>
      <c r="O393" s="17">
        <f t="shared" si="37"/>
        <v>0</v>
      </c>
      <c r="P393" s="20"/>
    </row>
    <row r="394" spans="1:16" ht="21" x14ac:dyDescent="0.5">
      <c r="A394" s="17"/>
      <c r="B394" s="18">
        <v>46636</v>
      </c>
      <c r="C394" s="17" t="str">
        <f t="shared" si="38"/>
        <v>57.0 - day 1</v>
      </c>
      <c r="D394" s="17"/>
      <c r="E394" s="17">
        <f t="shared" si="41"/>
        <v>13436</v>
      </c>
      <c r="F394" s="17"/>
      <c r="G394" s="17"/>
      <c r="H394" s="17">
        <f t="shared" si="39"/>
        <v>13436</v>
      </c>
      <c r="I394" s="17"/>
      <c r="J394" s="17"/>
      <c r="K394" s="17"/>
      <c r="L394" s="17">
        <f t="shared" si="40"/>
        <v>0</v>
      </c>
      <c r="M394" s="17"/>
      <c r="N394" s="21">
        <f t="shared" si="36"/>
        <v>0</v>
      </c>
      <c r="O394" s="17">
        <f t="shared" si="37"/>
        <v>0</v>
      </c>
      <c r="P394" s="20"/>
    </row>
    <row r="395" spans="1:16" ht="21" x14ac:dyDescent="0.5">
      <c r="A395" s="17"/>
      <c r="B395" s="18">
        <v>46637</v>
      </c>
      <c r="C395" s="17" t="str">
        <f t="shared" si="38"/>
        <v>57.1 - day 2</v>
      </c>
      <c r="D395" s="17"/>
      <c r="E395" s="17">
        <f t="shared" si="41"/>
        <v>13436</v>
      </c>
      <c r="F395" s="17"/>
      <c r="G395" s="17"/>
      <c r="H395" s="17">
        <f t="shared" si="39"/>
        <v>13436</v>
      </c>
      <c r="I395" s="17"/>
      <c r="J395" s="17"/>
      <c r="K395" s="17"/>
      <c r="L395" s="17">
        <f t="shared" si="40"/>
        <v>0</v>
      </c>
      <c r="M395" s="17"/>
      <c r="N395" s="21">
        <f t="shared" si="36"/>
        <v>0</v>
      </c>
      <c r="O395" s="17">
        <f t="shared" si="37"/>
        <v>0</v>
      </c>
      <c r="P395" s="20"/>
    </row>
    <row r="396" spans="1:16" ht="21" x14ac:dyDescent="0.5">
      <c r="A396" s="17"/>
      <c r="B396" s="18">
        <v>46638</v>
      </c>
      <c r="C396" s="17" t="str">
        <f t="shared" si="38"/>
        <v>57.2 - day 3</v>
      </c>
      <c r="D396" s="17"/>
      <c r="E396" s="17">
        <f t="shared" si="41"/>
        <v>13436</v>
      </c>
      <c r="F396" s="17"/>
      <c r="G396" s="17"/>
      <c r="H396" s="17">
        <f t="shared" si="39"/>
        <v>13436</v>
      </c>
      <c r="I396" s="17"/>
      <c r="J396" s="17"/>
      <c r="K396" s="17"/>
      <c r="L396" s="17">
        <f t="shared" si="40"/>
        <v>0</v>
      </c>
      <c r="M396" s="17"/>
      <c r="N396" s="21">
        <f t="shared" si="36"/>
        <v>0</v>
      </c>
      <c r="O396" s="17">
        <f t="shared" si="37"/>
        <v>0</v>
      </c>
      <c r="P396" s="20"/>
    </row>
    <row r="397" spans="1:16" ht="21" x14ac:dyDescent="0.5">
      <c r="A397" s="17"/>
      <c r="B397" s="18">
        <v>46639</v>
      </c>
      <c r="C397" s="17" t="str">
        <f t="shared" si="38"/>
        <v>57.3 - day 4</v>
      </c>
      <c r="D397" s="17"/>
      <c r="E397" s="17">
        <f t="shared" si="41"/>
        <v>13436</v>
      </c>
      <c r="F397" s="17"/>
      <c r="G397" s="17"/>
      <c r="H397" s="17">
        <f t="shared" si="39"/>
        <v>13436</v>
      </c>
      <c r="I397" s="17"/>
      <c r="J397" s="17"/>
      <c r="K397" s="17"/>
      <c r="L397" s="17">
        <f t="shared" si="40"/>
        <v>0</v>
      </c>
      <c r="M397" s="17"/>
      <c r="N397" s="21">
        <f t="shared" si="36"/>
        <v>0</v>
      </c>
      <c r="O397" s="17">
        <f t="shared" si="37"/>
        <v>0</v>
      </c>
      <c r="P397" s="20"/>
    </row>
    <row r="398" spans="1:16" ht="21" x14ac:dyDescent="0.5">
      <c r="A398" s="17"/>
      <c r="B398" s="18">
        <v>46640</v>
      </c>
      <c r="C398" s="17" t="str">
        <f t="shared" si="38"/>
        <v>57.4 - day 5</v>
      </c>
      <c r="D398" s="17"/>
      <c r="E398" s="17">
        <f t="shared" si="41"/>
        <v>13436</v>
      </c>
      <c r="F398" s="17"/>
      <c r="G398" s="17"/>
      <c r="H398" s="17">
        <f t="shared" si="39"/>
        <v>13436</v>
      </c>
      <c r="I398" s="17"/>
      <c r="J398" s="17"/>
      <c r="K398" s="17"/>
      <c r="L398" s="17">
        <f t="shared" si="40"/>
        <v>0</v>
      </c>
      <c r="M398" s="17"/>
      <c r="N398" s="21">
        <f t="shared" si="36"/>
        <v>0</v>
      </c>
      <c r="O398" s="17">
        <f t="shared" si="37"/>
        <v>0</v>
      </c>
      <c r="P398" s="20"/>
    </row>
    <row r="399" spans="1:16" ht="21" x14ac:dyDescent="0.5">
      <c r="A399" s="17"/>
      <c r="B399" s="18">
        <v>46641</v>
      </c>
      <c r="C399" s="17" t="str">
        <f t="shared" si="38"/>
        <v>57.5 - day 6</v>
      </c>
      <c r="D399" s="17"/>
      <c r="E399" s="17">
        <f t="shared" si="41"/>
        <v>13436</v>
      </c>
      <c r="F399" s="17"/>
      <c r="G399" s="17"/>
      <c r="H399" s="17">
        <f t="shared" si="39"/>
        <v>13436</v>
      </c>
      <c r="I399" s="17"/>
      <c r="J399" s="17"/>
      <c r="K399" s="17"/>
      <c r="L399" s="17">
        <f t="shared" si="40"/>
        <v>0</v>
      </c>
      <c r="M399" s="17"/>
      <c r="N399" s="21">
        <f t="shared" si="36"/>
        <v>0</v>
      </c>
      <c r="O399" s="17">
        <f t="shared" si="37"/>
        <v>0</v>
      </c>
      <c r="P399" s="20"/>
    </row>
    <row r="400" spans="1:16" ht="21" x14ac:dyDescent="0.5">
      <c r="A400" s="17"/>
      <c r="B400" s="18">
        <v>46642</v>
      </c>
      <c r="C400" s="17" t="str">
        <f t="shared" si="38"/>
        <v>57.6 - day 7</v>
      </c>
      <c r="D400" s="17"/>
      <c r="E400" s="17">
        <f t="shared" si="41"/>
        <v>13436</v>
      </c>
      <c r="F400" s="17"/>
      <c r="G400" s="17"/>
      <c r="H400" s="17">
        <f t="shared" si="39"/>
        <v>13436</v>
      </c>
      <c r="I400" s="17"/>
      <c r="J400" s="17"/>
      <c r="K400" s="17"/>
      <c r="L400" s="17">
        <f t="shared" si="40"/>
        <v>0</v>
      </c>
      <c r="M400" s="17"/>
      <c r="N400" s="21">
        <f t="shared" si="36"/>
        <v>0</v>
      </c>
      <c r="O400" s="17">
        <f t="shared" si="37"/>
        <v>0</v>
      </c>
      <c r="P400" s="20"/>
    </row>
    <row r="401" spans="1:16" ht="21" x14ac:dyDescent="0.5">
      <c r="A401" s="17"/>
      <c r="B401" s="18">
        <v>46643</v>
      </c>
      <c r="C401" s="17" t="str">
        <f t="shared" si="38"/>
        <v>58.0 - day 1</v>
      </c>
      <c r="D401" s="17"/>
      <c r="E401" s="17">
        <f t="shared" si="41"/>
        <v>13436</v>
      </c>
      <c r="F401" s="17"/>
      <c r="G401" s="17"/>
      <c r="H401" s="17">
        <f t="shared" si="39"/>
        <v>13436</v>
      </c>
      <c r="I401" s="17"/>
      <c r="J401" s="17"/>
      <c r="K401" s="17"/>
      <c r="L401" s="17">
        <f t="shared" si="40"/>
        <v>0</v>
      </c>
      <c r="M401" s="17"/>
      <c r="N401" s="21">
        <f t="shared" si="36"/>
        <v>0</v>
      </c>
      <c r="O401" s="17">
        <f t="shared" si="37"/>
        <v>0</v>
      </c>
      <c r="P401" s="20"/>
    </row>
    <row r="402" spans="1:16" ht="21" x14ac:dyDescent="0.5">
      <c r="A402" s="17"/>
      <c r="B402" s="18">
        <v>46644</v>
      </c>
      <c r="C402" s="17" t="str">
        <f t="shared" si="38"/>
        <v>58.1 - day 2</v>
      </c>
      <c r="D402" s="17"/>
      <c r="E402" s="17">
        <f t="shared" si="41"/>
        <v>13436</v>
      </c>
      <c r="F402" s="17"/>
      <c r="G402" s="17"/>
      <c r="H402" s="17">
        <f t="shared" si="39"/>
        <v>13436</v>
      </c>
      <c r="I402" s="17"/>
      <c r="J402" s="17"/>
      <c r="K402" s="17"/>
      <c r="L402" s="17">
        <f t="shared" si="40"/>
        <v>0</v>
      </c>
      <c r="M402" s="17"/>
      <c r="N402" s="21">
        <f t="shared" si="36"/>
        <v>0</v>
      </c>
      <c r="O402" s="17">
        <f t="shared" si="37"/>
        <v>0</v>
      </c>
      <c r="P402" s="20"/>
    </row>
    <row r="403" spans="1:16" ht="21" x14ac:dyDescent="0.5">
      <c r="A403" s="17"/>
      <c r="B403" s="18">
        <v>46645</v>
      </c>
      <c r="C403" s="17" t="str">
        <f t="shared" si="38"/>
        <v>58.2 - day 3</v>
      </c>
      <c r="D403" s="17"/>
      <c r="E403" s="17">
        <f t="shared" si="41"/>
        <v>13436</v>
      </c>
      <c r="F403" s="17"/>
      <c r="G403" s="17"/>
      <c r="H403" s="17">
        <f t="shared" si="39"/>
        <v>13436</v>
      </c>
      <c r="I403" s="17"/>
      <c r="J403" s="17"/>
      <c r="K403" s="17"/>
      <c r="L403" s="17">
        <f t="shared" si="40"/>
        <v>0</v>
      </c>
      <c r="M403" s="17"/>
      <c r="N403" s="21">
        <f t="shared" si="36"/>
        <v>0</v>
      </c>
      <c r="O403" s="17">
        <f t="shared" si="37"/>
        <v>0</v>
      </c>
      <c r="P403" s="20"/>
    </row>
    <row r="404" spans="1:16" ht="21" x14ac:dyDescent="0.5">
      <c r="A404" s="17"/>
      <c r="B404" s="18">
        <v>46646</v>
      </c>
      <c r="C404" s="17" t="str">
        <f t="shared" si="38"/>
        <v>58.3 - day 4</v>
      </c>
      <c r="D404" s="17"/>
      <c r="E404" s="17">
        <f t="shared" si="41"/>
        <v>13436</v>
      </c>
      <c r="F404" s="17"/>
      <c r="G404" s="17"/>
      <c r="H404" s="17">
        <f t="shared" si="39"/>
        <v>13436</v>
      </c>
      <c r="I404" s="17"/>
      <c r="J404" s="17"/>
      <c r="K404" s="17"/>
      <c r="L404" s="17">
        <f t="shared" si="40"/>
        <v>0</v>
      </c>
      <c r="M404" s="17"/>
      <c r="N404" s="21">
        <f t="shared" si="36"/>
        <v>0</v>
      </c>
      <c r="O404" s="17">
        <f t="shared" si="37"/>
        <v>0</v>
      </c>
      <c r="P404" s="20"/>
    </row>
    <row r="405" spans="1:16" ht="21" x14ac:dyDescent="0.5">
      <c r="A405" s="17"/>
      <c r="B405" s="18">
        <v>46647</v>
      </c>
      <c r="C405" s="17" t="str">
        <f t="shared" si="38"/>
        <v>58.4 - day 5</v>
      </c>
      <c r="D405" s="17"/>
      <c r="E405" s="17">
        <f t="shared" si="41"/>
        <v>13436</v>
      </c>
      <c r="F405" s="17"/>
      <c r="G405" s="17"/>
      <c r="H405" s="17">
        <f t="shared" si="39"/>
        <v>13436</v>
      </c>
      <c r="I405" s="17"/>
      <c r="J405" s="17"/>
      <c r="K405" s="17"/>
      <c r="L405" s="17">
        <f t="shared" si="40"/>
        <v>0</v>
      </c>
      <c r="M405" s="17"/>
      <c r="N405" s="21">
        <f t="shared" ref="N405:N468" si="42">SUM(L405-M405)</f>
        <v>0</v>
      </c>
      <c r="O405" s="17">
        <f t="shared" ref="O405:O468" si="43">SUM(I405/H405)*1000</f>
        <v>0</v>
      </c>
      <c r="P405" s="20"/>
    </row>
    <row r="406" spans="1:16" ht="21" x14ac:dyDescent="0.5">
      <c r="A406" s="17"/>
      <c r="B406" s="18">
        <v>46648</v>
      </c>
      <c r="C406" s="17" t="str">
        <f t="shared" si="38"/>
        <v>58.5 - day 6</v>
      </c>
      <c r="D406" s="17"/>
      <c r="E406" s="17">
        <f t="shared" si="41"/>
        <v>13436</v>
      </c>
      <c r="F406" s="17"/>
      <c r="G406" s="17"/>
      <c r="H406" s="17">
        <f t="shared" si="39"/>
        <v>13436</v>
      </c>
      <c r="I406" s="17"/>
      <c r="J406" s="17"/>
      <c r="K406" s="17"/>
      <c r="L406" s="17">
        <f t="shared" si="40"/>
        <v>0</v>
      </c>
      <c r="M406" s="17"/>
      <c r="N406" s="21">
        <f t="shared" si="42"/>
        <v>0</v>
      </c>
      <c r="O406" s="17">
        <f t="shared" si="43"/>
        <v>0</v>
      </c>
      <c r="P406" s="20"/>
    </row>
    <row r="407" spans="1:16" ht="21" x14ac:dyDescent="0.5">
      <c r="A407" s="17"/>
      <c r="B407" s="18">
        <v>46649</v>
      </c>
      <c r="C407" s="17" t="str">
        <f t="shared" si="38"/>
        <v>58.6 - day 7</v>
      </c>
      <c r="D407" s="17"/>
      <c r="E407" s="17">
        <f t="shared" si="41"/>
        <v>13436</v>
      </c>
      <c r="F407" s="17"/>
      <c r="G407" s="17"/>
      <c r="H407" s="17">
        <f t="shared" si="39"/>
        <v>13436</v>
      </c>
      <c r="I407" s="17"/>
      <c r="J407" s="17"/>
      <c r="K407" s="17"/>
      <c r="L407" s="17">
        <f t="shared" si="40"/>
        <v>0</v>
      </c>
      <c r="M407" s="17"/>
      <c r="N407" s="21">
        <f t="shared" si="42"/>
        <v>0</v>
      </c>
      <c r="O407" s="17">
        <f t="shared" si="43"/>
        <v>0</v>
      </c>
      <c r="P407" s="20"/>
    </row>
    <row r="408" spans="1:16" ht="21" x14ac:dyDescent="0.5">
      <c r="A408" s="17"/>
      <c r="B408" s="18">
        <v>46650</v>
      </c>
      <c r="C408" s="17" t="str">
        <f t="shared" si="38"/>
        <v>59.0 - day 1</v>
      </c>
      <c r="D408" s="17"/>
      <c r="E408" s="17">
        <f t="shared" si="41"/>
        <v>13436</v>
      </c>
      <c r="F408" s="17"/>
      <c r="G408" s="17"/>
      <c r="H408" s="17">
        <f t="shared" si="39"/>
        <v>13436</v>
      </c>
      <c r="I408" s="17"/>
      <c r="J408" s="17"/>
      <c r="K408" s="17"/>
      <c r="L408" s="17">
        <f t="shared" si="40"/>
        <v>0</v>
      </c>
      <c r="M408" s="17"/>
      <c r="N408" s="21">
        <f t="shared" si="42"/>
        <v>0</v>
      </c>
      <c r="O408" s="17">
        <f t="shared" si="43"/>
        <v>0</v>
      </c>
      <c r="P408" s="20"/>
    </row>
    <row r="409" spans="1:16" ht="21" x14ac:dyDescent="0.5">
      <c r="A409" s="17"/>
      <c r="B409" s="18">
        <v>46651</v>
      </c>
      <c r="C409" s="17" t="str">
        <f t="shared" si="38"/>
        <v>59.1 - day 2</v>
      </c>
      <c r="D409" s="17"/>
      <c r="E409" s="17">
        <f t="shared" si="41"/>
        <v>13436</v>
      </c>
      <c r="F409" s="17"/>
      <c r="G409" s="17"/>
      <c r="H409" s="17">
        <f t="shared" si="39"/>
        <v>13436</v>
      </c>
      <c r="I409" s="17"/>
      <c r="J409" s="17"/>
      <c r="K409" s="17"/>
      <c r="L409" s="17">
        <f t="shared" si="40"/>
        <v>0</v>
      </c>
      <c r="M409" s="17"/>
      <c r="N409" s="21">
        <f t="shared" si="42"/>
        <v>0</v>
      </c>
      <c r="O409" s="17">
        <f t="shared" si="43"/>
        <v>0</v>
      </c>
      <c r="P409" s="20"/>
    </row>
    <row r="410" spans="1:16" ht="21" x14ac:dyDescent="0.5">
      <c r="A410" s="17"/>
      <c r="B410" s="18">
        <v>46652</v>
      </c>
      <c r="C410" s="17" t="str">
        <f t="shared" si="38"/>
        <v>59.2 - day 3</v>
      </c>
      <c r="D410" s="17"/>
      <c r="E410" s="17">
        <f t="shared" si="41"/>
        <v>13436</v>
      </c>
      <c r="F410" s="17"/>
      <c r="G410" s="17"/>
      <c r="H410" s="17">
        <f t="shared" si="39"/>
        <v>13436</v>
      </c>
      <c r="I410" s="17"/>
      <c r="J410" s="17"/>
      <c r="K410" s="17"/>
      <c r="L410" s="17">
        <f t="shared" si="40"/>
        <v>0</v>
      </c>
      <c r="M410" s="17"/>
      <c r="N410" s="21">
        <f t="shared" si="42"/>
        <v>0</v>
      </c>
      <c r="O410" s="17">
        <f t="shared" si="43"/>
        <v>0</v>
      </c>
      <c r="P410" s="20"/>
    </row>
    <row r="411" spans="1:16" ht="21" x14ac:dyDescent="0.5">
      <c r="A411" s="17"/>
      <c r="B411" s="18">
        <v>46653</v>
      </c>
      <c r="C411" s="17" t="str">
        <f t="shared" si="38"/>
        <v>59.3 - day 4</v>
      </c>
      <c r="D411" s="17"/>
      <c r="E411" s="17">
        <f t="shared" si="41"/>
        <v>13436</v>
      </c>
      <c r="F411" s="17"/>
      <c r="G411" s="17"/>
      <c r="H411" s="17">
        <f t="shared" si="39"/>
        <v>13436</v>
      </c>
      <c r="I411" s="17"/>
      <c r="J411" s="17"/>
      <c r="K411" s="17"/>
      <c r="L411" s="17">
        <f t="shared" si="40"/>
        <v>0</v>
      </c>
      <c r="M411" s="17"/>
      <c r="N411" s="21">
        <f t="shared" si="42"/>
        <v>0</v>
      </c>
      <c r="O411" s="17">
        <f t="shared" si="43"/>
        <v>0</v>
      </c>
      <c r="P411" s="20"/>
    </row>
    <row r="412" spans="1:16" ht="21" x14ac:dyDescent="0.5">
      <c r="A412" s="17"/>
      <c r="B412" s="18">
        <v>46654</v>
      </c>
      <c r="C412" s="17" t="str">
        <f t="shared" si="38"/>
        <v>59.4 - day 5</v>
      </c>
      <c r="D412" s="17"/>
      <c r="E412" s="17">
        <f t="shared" si="41"/>
        <v>13436</v>
      </c>
      <c r="F412" s="17"/>
      <c r="G412" s="17"/>
      <c r="H412" s="17">
        <f t="shared" si="39"/>
        <v>13436</v>
      </c>
      <c r="I412" s="17"/>
      <c r="J412" s="17"/>
      <c r="K412" s="17"/>
      <c r="L412" s="17">
        <f t="shared" si="40"/>
        <v>0</v>
      </c>
      <c r="M412" s="17"/>
      <c r="N412" s="21">
        <f t="shared" si="42"/>
        <v>0</v>
      </c>
      <c r="O412" s="17">
        <f t="shared" si="43"/>
        <v>0</v>
      </c>
      <c r="P412" s="20"/>
    </row>
    <row r="413" spans="1:16" ht="21" x14ac:dyDescent="0.5">
      <c r="A413" s="17"/>
      <c r="B413" s="18">
        <v>46655</v>
      </c>
      <c r="C413" s="17" t="str">
        <f t="shared" si="38"/>
        <v>59.5 - day 6</v>
      </c>
      <c r="D413" s="17"/>
      <c r="E413" s="17">
        <f t="shared" si="41"/>
        <v>13436</v>
      </c>
      <c r="F413" s="17"/>
      <c r="G413" s="17"/>
      <c r="H413" s="17">
        <f t="shared" si="39"/>
        <v>13436</v>
      </c>
      <c r="I413" s="17"/>
      <c r="J413" s="17"/>
      <c r="K413" s="17"/>
      <c r="L413" s="17">
        <f t="shared" si="40"/>
        <v>0</v>
      </c>
      <c r="M413" s="17"/>
      <c r="N413" s="21">
        <f t="shared" si="42"/>
        <v>0</v>
      </c>
      <c r="O413" s="17">
        <f t="shared" si="43"/>
        <v>0</v>
      </c>
      <c r="P413" s="20"/>
    </row>
    <row r="414" spans="1:16" ht="21" x14ac:dyDescent="0.5">
      <c r="A414" s="17"/>
      <c r="B414" s="18">
        <v>46656</v>
      </c>
      <c r="C414" s="17" t="str">
        <f t="shared" si="38"/>
        <v>59.6 - day 7</v>
      </c>
      <c r="D414" s="17"/>
      <c r="E414" s="17">
        <f t="shared" si="41"/>
        <v>13436</v>
      </c>
      <c r="F414" s="17"/>
      <c r="G414" s="17"/>
      <c r="H414" s="17">
        <f t="shared" si="39"/>
        <v>13436</v>
      </c>
      <c r="I414" s="17"/>
      <c r="J414" s="17"/>
      <c r="K414" s="17"/>
      <c r="L414" s="17">
        <f t="shared" si="40"/>
        <v>0</v>
      </c>
      <c r="M414" s="17"/>
      <c r="N414" s="21">
        <f t="shared" si="42"/>
        <v>0</v>
      </c>
      <c r="O414" s="17">
        <f t="shared" si="43"/>
        <v>0</v>
      </c>
      <c r="P414" s="20"/>
    </row>
    <row r="415" spans="1:16" ht="21" x14ac:dyDescent="0.5">
      <c r="A415" s="17"/>
      <c r="B415" s="18">
        <v>46657</v>
      </c>
      <c r="C415" s="17" t="str">
        <f t="shared" si="38"/>
        <v>60.0 - day 1</v>
      </c>
      <c r="D415" s="17"/>
      <c r="E415" s="17">
        <f t="shared" si="41"/>
        <v>13436</v>
      </c>
      <c r="F415" s="17"/>
      <c r="G415" s="17"/>
      <c r="H415" s="17">
        <f t="shared" si="39"/>
        <v>13436</v>
      </c>
      <c r="I415" s="17"/>
      <c r="J415" s="17"/>
      <c r="K415" s="17"/>
      <c r="L415" s="17">
        <f t="shared" si="40"/>
        <v>0</v>
      </c>
      <c r="M415" s="17"/>
      <c r="N415" s="21">
        <f t="shared" si="42"/>
        <v>0</v>
      </c>
      <c r="O415" s="17">
        <f t="shared" si="43"/>
        <v>0</v>
      </c>
      <c r="P415" s="20"/>
    </row>
    <row r="416" spans="1:16" ht="21" x14ac:dyDescent="0.5">
      <c r="A416" s="17"/>
      <c r="B416" s="18">
        <v>46658</v>
      </c>
      <c r="C416" s="17" t="str">
        <f t="shared" si="38"/>
        <v>60.1 - day 2</v>
      </c>
      <c r="D416" s="17"/>
      <c r="E416" s="17">
        <f t="shared" si="41"/>
        <v>13436</v>
      </c>
      <c r="F416" s="17"/>
      <c r="G416" s="17"/>
      <c r="H416" s="17">
        <f t="shared" si="39"/>
        <v>13436</v>
      </c>
      <c r="I416" s="17"/>
      <c r="J416" s="17"/>
      <c r="K416" s="17"/>
      <c r="L416" s="17">
        <f t="shared" si="40"/>
        <v>0</v>
      </c>
      <c r="M416" s="17"/>
      <c r="N416" s="21">
        <f t="shared" si="42"/>
        <v>0</v>
      </c>
      <c r="O416" s="17">
        <f t="shared" si="43"/>
        <v>0</v>
      </c>
      <c r="P416" s="20"/>
    </row>
    <row r="417" spans="1:16" ht="21" x14ac:dyDescent="0.5">
      <c r="A417" s="17"/>
      <c r="B417" s="18">
        <v>46659</v>
      </c>
      <c r="C417" s="17" t="str">
        <f t="shared" si="38"/>
        <v>60.2 - day 3</v>
      </c>
      <c r="D417" s="17"/>
      <c r="E417" s="17">
        <f t="shared" si="41"/>
        <v>13436</v>
      </c>
      <c r="F417" s="17"/>
      <c r="G417" s="17"/>
      <c r="H417" s="17">
        <f t="shared" si="39"/>
        <v>13436</v>
      </c>
      <c r="I417" s="17"/>
      <c r="J417" s="17"/>
      <c r="K417" s="17"/>
      <c r="L417" s="17">
        <f t="shared" si="40"/>
        <v>0</v>
      </c>
      <c r="M417" s="17"/>
      <c r="N417" s="21">
        <f t="shared" si="42"/>
        <v>0</v>
      </c>
      <c r="O417" s="17">
        <f t="shared" si="43"/>
        <v>0</v>
      </c>
      <c r="P417" s="20"/>
    </row>
    <row r="418" spans="1:16" ht="21" x14ac:dyDescent="0.5">
      <c r="A418" s="17"/>
      <c r="B418" s="18">
        <v>46660</v>
      </c>
      <c r="C418" s="17" t="str">
        <f t="shared" si="38"/>
        <v>60.3 - day 4</v>
      </c>
      <c r="D418" s="17"/>
      <c r="E418" s="17">
        <f t="shared" si="41"/>
        <v>13436</v>
      </c>
      <c r="F418" s="17"/>
      <c r="G418" s="17"/>
      <c r="H418" s="17">
        <f t="shared" si="39"/>
        <v>13436</v>
      </c>
      <c r="I418" s="17"/>
      <c r="J418" s="17"/>
      <c r="K418" s="17"/>
      <c r="L418" s="17">
        <f t="shared" si="40"/>
        <v>0</v>
      </c>
      <c r="M418" s="17"/>
      <c r="N418" s="21">
        <f t="shared" si="42"/>
        <v>0</v>
      </c>
      <c r="O418" s="17">
        <f t="shared" si="43"/>
        <v>0</v>
      </c>
      <c r="P418" s="20"/>
    </row>
    <row r="419" spans="1:16" ht="21" x14ac:dyDescent="0.5">
      <c r="A419" s="17"/>
      <c r="B419" s="18">
        <v>46661</v>
      </c>
      <c r="C419" s="17" t="str">
        <f t="shared" si="38"/>
        <v>60.4 - day 5</v>
      </c>
      <c r="D419" s="17"/>
      <c r="E419" s="17">
        <f t="shared" si="41"/>
        <v>13436</v>
      </c>
      <c r="F419" s="17"/>
      <c r="G419" s="17"/>
      <c r="H419" s="17">
        <f t="shared" si="39"/>
        <v>13436</v>
      </c>
      <c r="I419" s="17"/>
      <c r="J419" s="17"/>
      <c r="K419" s="17"/>
      <c r="L419" s="17">
        <f t="shared" si="40"/>
        <v>0</v>
      </c>
      <c r="M419" s="17"/>
      <c r="N419" s="21">
        <f t="shared" si="42"/>
        <v>0</v>
      </c>
      <c r="O419" s="17">
        <f t="shared" si="43"/>
        <v>0</v>
      </c>
      <c r="P419" s="20"/>
    </row>
    <row r="420" spans="1:16" ht="21" x14ac:dyDescent="0.5">
      <c r="A420" s="17"/>
      <c r="B420" s="18">
        <v>46662</v>
      </c>
      <c r="C420" s="17" t="str">
        <f t="shared" si="38"/>
        <v>60.5 - day 6</v>
      </c>
      <c r="D420" s="17"/>
      <c r="E420" s="17">
        <f t="shared" si="41"/>
        <v>13436</v>
      </c>
      <c r="F420" s="17"/>
      <c r="G420" s="17"/>
      <c r="H420" s="17">
        <f t="shared" si="39"/>
        <v>13436</v>
      </c>
      <c r="I420" s="17"/>
      <c r="J420" s="17"/>
      <c r="K420" s="17"/>
      <c r="L420" s="17">
        <f t="shared" si="40"/>
        <v>0</v>
      </c>
      <c r="M420" s="17"/>
      <c r="N420" s="21">
        <f t="shared" si="42"/>
        <v>0</v>
      </c>
      <c r="O420" s="17">
        <f t="shared" si="43"/>
        <v>0</v>
      </c>
      <c r="P420" s="20"/>
    </row>
    <row r="421" spans="1:16" ht="21" x14ac:dyDescent="0.5">
      <c r="A421" s="17"/>
      <c r="B421" s="18">
        <v>46663</v>
      </c>
      <c r="C421" s="17" t="str">
        <f t="shared" si="38"/>
        <v>60.6 - day 7</v>
      </c>
      <c r="D421" s="17"/>
      <c r="E421" s="17">
        <f t="shared" si="41"/>
        <v>13436</v>
      </c>
      <c r="F421" s="17"/>
      <c r="G421" s="17"/>
      <c r="H421" s="17">
        <f t="shared" si="39"/>
        <v>13436</v>
      </c>
      <c r="I421" s="17"/>
      <c r="J421" s="17"/>
      <c r="K421" s="17"/>
      <c r="L421" s="17">
        <f t="shared" si="40"/>
        <v>0</v>
      </c>
      <c r="M421" s="17"/>
      <c r="N421" s="21">
        <f t="shared" si="42"/>
        <v>0</v>
      </c>
      <c r="O421" s="17">
        <f t="shared" si="43"/>
        <v>0</v>
      </c>
      <c r="P421" s="20"/>
    </row>
    <row r="422" spans="1:16" ht="21" x14ac:dyDescent="0.5">
      <c r="A422" s="17"/>
      <c r="B422" s="18">
        <v>46664</v>
      </c>
      <c r="C422" s="17" t="str">
        <f t="shared" si="38"/>
        <v>61.0 - day 1</v>
      </c>
      <c r="D422" s="17"/>
      <c r="E422" s="17">
        <f t="shared" si="41"/>
        <v>13436</v>
      </c>
      <c r="F422" s="17"/>
      <c r="G422" s="17"/>
      <c r="H422" s="17">
        <f t="shared" si="39"/>
        <v>13436</v>
      </c>
      <c r="I422" s="17"/>
      <c r="J422" s="17"/>
      <c r="K422" s="17"/>
      <c r="L422" s="17">
        <f t="shared" si="40"/>
        <v>0</v>
      </c>
      <c r="M422" s="17"/>
      <c r="N422" s="21">
        <f t="shared" si="42"/>
        <v>0</v>
      </c>
      <c r="O422" s="17">
        <f t="shared" si="43"/>
        <v>0</v>
      </c>
      <c r="P422" s="20"/>
    </row>
    <row r="423" spans="1:16" ht="21" x14ac:dyDescent="0.5">
      <c r="A423" s="17"/>
      <c r="B423" s="18">
        <v>46665</v>
      </c>
      <c r="C423" s="17" t="str">
        <f t="shared" si="38"/>
        <v>61.1 - day 2</v>
      </c>
      <c r="D423" s="17"/>
      <c r="E423" s="17">
        <f t="shared" si="41"/>
        <v>13436</v>
      </c>
      <c r="F423" s="17"/>
      <c r="G423" s="17"/>
      <c r="H423" s="17">
        <f t="shared" si="39"/>
        <v>13436</v>
      </c>
      <c r="I423" s="17"/>
      <c r="J423" s="17"/>
      <c r="K423" s="17"/>
      <c r="L423" s="17">
        <f t="shared" si="40"/>
        <v>0</v>
      </c>
      <c r="M423" s="17"/>
      <c r="N423" s="21">
        <f t="shared" si="42"/>
        <v>0</v>
      </c>
      <c r="O423" s="17">
        <f t="shared" si="43"/>
        <v>0</v>
      </c>
      <c r="P423" s="20"/>
    </row>
    <row r="424" spans="1:16" ht="21" x14ac:dyDescent="0.5">
      <c r="A424" s="17"/>
      <c r="B424" s="18">
        <v>46666</v>
      </c>
      <c r="C424" s="17" t="str">
        <f t="shared" si="38"/>
        <v>61.2 - day 3</v>
      </c>
      <c r="D424" s="17"/>
      <c r="E424" s="17">
        <f t="shared" si="41"/>
        <v>13436</v>
      </c>
      <c r="F424" s="17"/>
      <c r="G424" s="17"/>
      <c r="H424" s="17">
        <f t="shared" si="39"/>
        <v>13436</v>
      </c>
      <c r="I424" s="17"/>
      <c r="J424" s="17"/>
      <c r="K424" s="17"/>
      <c r="L424" s="17">
        <f t="shared" si="40"/>
        <v>0</v>
      </c>
      <c r="M424" s="17"/>
      <c r="N424" s="21">
        <f t="shared" si="42"/>
        <v>0</v>
      </c>
      <c r="O424" s="17">
        <f t="shared" si="43"/>
        <v>0</v>
      </c>
      <c r="P424" s="20"/>
    </row>
    <row r="425" spans="1:16" ht="21" x14ac:dyDescent="0.5">
      <c r="A425" s="17"/>
      <c r="B425" s="18">
        <v>46667</v>
      </c>
      <c r="C425" s="17" t="str">
        <f t="shared" si="38"/>
        <v>61.3 - day 4</v>
      </c>
      <c r="D425" s="17"/>
      <c r="E425" s="17">
        <f t="shared" si="41"/>
        <v>13436</v>
      </c>
      <c r="F425" s="17"/>
      <c r="G425" s="17"/>
      <c r="H425" s="17">
        <f t="shared" si="39"/>
        <v>13436</v>
      </c>
      <c r="I425" s="17"/>
      <c r="J425" s="17"/>
      <c r="K425" s="17"/>
      <c r="L425" s="17">
        <f t="shared" si="40"/>
        <v>0</v>
      </c>
      <c r="M425" s="17"/>
      <c r="N425" s="21">
        <f t="shared" si="42"/>
        <v>0</v>
      </c>
      <c r="O425" s="17">
        <f t="shared" si="43"/>
        <v>0</v>
      </c>
      <c r="P425" s="20"/>
    </row>
    <row r="426" spans="1:16" ht="21" x14ac:dyDescent="0.5">
      <c r="A426" s="17"/>
      <c r="B426" s="18">
        <v>46668</v>
      </c>
      <c r="C426" s="17" t="str">
        <f t="shared" si="38"/>
        <v>61.4 - day 5</v>
      </c>
      <c r="D426" s="17"/>
      <c r="E426" s="17">
        <f t="shared" si="41"/>
        <v>13436</v>
      </c>
      <c r="F426" s="17"/>
      <c r="G426" s="17"/>
      <c r="H426" s="17">
        <f t="shared" si="39"/>
        <v>13436</v>
      </c>
      <c r="I426" s="17"/>
      <c r="J426" s="17"/>
      <c r="K426" s="17"/>
      <c r="L426" s="17">
        <f t="shared" si="40"/>
        <v>0</v>
      </c>
      <c r="M426" s="17"/>
      <c r="N426" s="21">
        <f t="shared" si="42"/>
        <v>0</v>
      </c>
      <c r="O426" s="17">
        <f t="shared" si="43"/>
        <v>0</v>
      </c>
      <c r="P426" s="20"/>
    </row>
    <row r="427" spans="1:16" ht="21" x14ac:dyDescent="0.5">
      <c r="A427" s="17"/>
      <c r="B427" s="18">
        <v>46669</v>
      </c>
      <c r="C427" s="17" t="str">
        <f t="shared" si="38"/>
        <v>61.5 - day 6</v>
      </c>
      <c r="D427" s="17"/>
      <c r="E427" s="17">
        <f t="shared" si="41"/>
        <v>13436</v>
      </c>
      <c r="F427" s="17"/>
      <c r="G427" s="17"/>
      <c r="H427" s="17">
        <f t="shared" si="39"/>
        <v>13436</v>
      </c>
      <c r="I427" s="17"/>
      <c r="J427" s="17"/>
      <c r="K427" s="17"/>
      <c r="L427" s="17">
        <f t="shared" si="40"/>
        <v>0</v>
      </c>
      <c r="M427" s="17"/>
      <c r="N427" s="21">
        <f t="shared" si="42"/>
        <v>0</v>
      </c>
      <c r="O427" s="17">
        <f t="shared" si="43"/>
        <v>0</v>
      </c>
      <c r="P427" s="20"/>
    </row>
    <row r="428" spans="1:16" ht="21" x14ac:dyDescent="0.5">
      <c r="A428" s="17"/>
      <c r="B428" s="18">
        <v>46670</v>
      </c>
      <c r="C428" s="17" t="str">
        <f t="shared" si="38"/>
        <v>61.6 - day 7</v>
      </c>
      <c r="D428" s="17"/>
      <c r="E428" s="17">
        <f t="shared" si="41"/>
        <v>13436</v>
      </c>
      <c r="F428" s="17"/>
      <c r="G428" s="17"/>
      <c r="H428" s="17">
        <f t="shared" si="39"/>
        <v>13436</v>
      </c>
      <c r="I428" s="17"/>
      <c r="J428" s="17"/>
      <c r="K428" s="17"/>
      <c r="L428" s="17">
        <f t="shared" si="40"/>
        <v>0</v>
      </c>
      <c r="M428" s="17"/>
      <c r="N428" s="21">
        <f t="shared" si="42"/>
        <v>0</v>
      </c>
      <c r="O428" s="17">
        <f t="shared" si="43"/>
        <v>0</v>
      </c>
      <c r="P428" s="20"/>
    </row>
    <row r="429" spans="1:16" ht="21" x14ac:dyDescent="0.5">
      <c r="A429" s="17"/>
      <c r="B429" s="18">
        <v>46671</v>
      </c>
      <c r="C429" s="17" t="str">
        <f t="shared" si="38"/>
        <v>62.0 - day 1</v>
      </c>
      <c r="D429" s="17"/>
      <c r="E429" s="17">
        <f t="shared" si="41"/>
        <v>13436</v>
      </c>
      <c r="F429" s="17"/>
      <c r="G429" s="17"/>
      <c r="H429" s="17">
        <f t="shared" si="39"/>
        <v>13436</v>
      </c>
      <c r="I429" s="17"/>
      <c r="J429" s="17"/>
      <c r="K429" s="17"/>
      <c r="L429" s="17">
        <f t="shared" si="40"/>
        <v>0</v>
      </c>
      <c r="M429" s="17"/>
      <c r="N429" s="21">
        <f t="shared" si="42"/>
        <v>0</v>
      </c>
      <c r="O429" s="17">
        <f t="shared" si="43"/>
        <v>0</v>
      </c>
      <c r="P429" s="20"/>
    </row>
    <row r="430" spans="1:16" ht="21" x14ac:dyDescent="0.5">
      <c r="A430" s="17"/>
      <c r="B430" s="18">
        <v>46672</v>
      </c>
      <c r="C430" s="17" t="str">
        <f t="shared" si="38"/>
        <v>62.1 - day 2</v>
      </c>
      <c r="D430" s="17"/>
      <c r="E430" s="17">
        <f t="shared" si="41"/>
        <v>13436</v>
      </c>
      <c r="F430" s="17"/>
      <c r="G430" s="17"/>
      <c r="H430" s="17">
        <f t="shared" si="39"/>
        <v>13436</v>
      </c>
      <c r="I430" s="17"/>
      <c r="J430" s="17"/>
      <c r="K430" s="17"/>
      <c r="L430" s="17">
        <f t="shared" si="40"/>
        <v>0</v>
      </c>
      <c r="M430" s="17"/>
      <c r="N430" s="21">
        <f t="shared" si="42"/>
        <v>0</v>
      </c>
      <c r="O430" s="17">
        <f t="shared" si="43"/>
        <v>0</v>
      </c>
      <c r="P430" s="20"/>
    </row>
    <row r="431" spans="1:16" ht="21" x14ac:dyDescent="0.5">
      <c r="A431" s="17"/>
      <c r="B431" s="18">
        <v>46673</v>
      </c>
      <c r="C431" s="17" t="str">
        <f t="shared" si="38"/>
        <v>62.2 - day 3</v>
      </c>
      <c r="D431" s="17"/>
      <c r="E431" s="17">
        <f t="shared" si="41"/>
        <v>13436</v>
      </c>
      <c r="F431" s="17"/>
      <c r="G431" s="17"/>
      <c r="H431" s="17">
        <f t="shared" si="39"/>
        <v>13436</v>
      </c>
      <c r="I431" s="17"/>
      <c r="J431" s="17"/>
      <c r="K431" s="17"/>
      <c r="L431" s="17">
        <f t="shared" si="40"/>
        <v>0</v>
      </c>
      <c r="M431" s="17"/>
      <c r="N431" s="21">
        <f t="shared" si="42"/>
        <v>0</v>
      </c>
      <c r="O431" s="17">
        <f t="shared" si="43"/>
        <v>0</v>
      </c>
      <c r="P431" s="20"/>
    </row>
    <row r="432" spans="1:16" ht="21" x14ac:dyDescent="0.5">
      <c r="A432" s="17"/>
      <c r="B432" s="18">
        <v>46674</v>
      </c>
      <c r="C432" s="17" t="str">
        <f t="shared" si="38"/>
        <v>62.3 - day 4</v>
      </c>
      <c r="D432" s="17"/>
      <c r="E432" s="17">
        <f t="shared" si="41"/>
        <v>13436</v>
      </c>
      <c r="F432" s="17"/>
      <c r="G432" s="17"/>
      <c r="H432" s="17">
        <f t="shared" si="39"/>
        <v>13436</v>
      </c>
      <c r="I432" s="17"/>
      <c r="J432" s="17"/>
      <c r="K432" s="17"/>
      <c r="L432" s="17">
        <f t="shared" si="40"/>
        <v>0</v>
      </c>
      <c r="M432" s="17"/>
      <c r="N432" s="21">
        <f t="shared" si="42"/>
        <v>0</v>
      </c>
      <c r="O432" s="17">
        <f t="shared" si="43"/>
        <v>0</v>
      </c>
      <c r="P432" s="20"/>
    </row>
    <row r="433" spans="1:16" ht="21" x14ac:dyDescent="0.5">
      <c r="A433" s="17"/>
      <c r="B433" s="18">
        <v>46675</v>
      </c>
      <c r="C433" s="17" t="str">
        <f t="shared" si="38"/>
        <v>62.4 - day 5</v>
      </c>
      <c r="D433" s="17"/>
      <c r="E433" s="17">
        <f t="shared" si="41"/>
        <v>13436</v>
      </c>
      <c r="F433" s="17"/>
      <c r="G433" s="17"/>
      <c r="H433" s="17">
        <f t="shared" si="39"/>
        <v>13436</v>
      </c>
      <c r="I433" s="17"/>
      <c r="J433" s="17"/>
      <c r="K433" s="17"/>
      <c r="L433" s="17">
        <f t="shared" si="40"/>
        <v>0</v>
      </c>
      <c r="M433" s="17"/>
      <c r="N433" s="21">
        <f t="shared" si="42"/>
        <v>0</v>
      </c>
      <c r="O433" s="17">
        <f t="shared" si="43"/>
        <v>0</v>
      </c>
      <c r="P433" s="20"/>
    </row>
    <row r="434" spans="1:16" ht="21" x14ac:dyDescent="0.5">
      <c r="A434" s="17"/>
      <c r="B434" s="18">
        <v>46676</v>
      </c>
      <c r="C434" s="17" t="str">
        <f t="shared" si="38"/>
        <v>62.5 - day 6</v>
      </c>
      <c r="D434" s="17"/>
      <c r="E434" s="17">
        <f t="shared" si="41"/>
        <v>13436</v>
      </c>
      <c r="F434" s="17"/>
      <c r="G434" s="17"/>
      <c r="H434" s="17">
        <f t="shared" si="39"/>
        <v>13436</v>
      </c>
      <c r="I434" s="17"/>
      <c r="J434" s="17"/>
      <c r="K434" s="17"/>
      <c r="L434" s="17">
        <f t="shared" si="40"/>
        <v>0</v>
      </c>
      <c r="M434" s="17"/>
      <c r="N434" s="21">
        <f t="shared" si="42"/>
        <v>0</v>
      </c>
      <c r="O434" s="17">
        <f t="shared" si="43"/>
        <v>0</v>
      </c>
      <c r="P434" s="20"/>
    </row>
    <row r="435" spans="1:16" ht="21" x14ac:dyDescent="0.5">
      <c r="A435" s="17"/>
      <c r="B435" s="18">
        <v>46677</v>
      </c>
      <c r="C435" s="17" t="str">
        <f t="shared" si="38"/>
        <v>62.6 - day 7</v>
      </c>
      <c r="D435" s="17"/>
      <c r="E435" s="17">
        <f t="shared" si="41"/>
        <v>13436</v>
      </c>
      <c r="F435" s="17"/>
      <c r="G435" s="17"/>
      <c r="H435" s="17">
        <f t="shared" si="39"/>
        <v>13436</v>
      </c>
      <c r="I435" s="17"/>
      <c r="J435" s="17"/>
      <c r="K435" s="17"/>
      <c r="L435" s="17">
        <f t="shared" si="40"/>
        <v>0</v>
      </c>
      <c r="M435" s="17"/>
      <c r="N435" s="21">
        <f t="shared" si="42"/>
        <v>0</v>
      </c>
      <c r="O435" s="17">
        <f t="shared" si="43"/>
        <v>0</v>
      </c>
      <c r="P435" s="20"/>
    </row>
    <row r="436" spans="1:16" ht="21" x14ac:dyDescent="0.5">
      <c r="A436" s="17"/>
      <c r="B436" s="18">
        <v>46678</v>
      </c>
      <c r="C436" s="17" t="str">
        <f t="shared" si="38"/>
        <v>63.0 - day 1</v>
      </c>
      <c r="D436" s="17"/>
      <c r="E436" s="17">
        <f t="shared" si="41"/>
        <v>13436</v>
      </c>
      <c r="F436" s="17"/>
      <c r="G436" s="17"/>
      <c r="H436" s="17">
        <f t="shared" si="39"/>
        <v>13436</v>
      </c>
      <c r="I436" s="17"/>
      <c r="J436" s="17"/>
      <c r="K436" s="17"/>
      <c r="L436" s="17">
        <f t="shared" si="40"/>
        <v>0</v>
      </c>
      <c r="M436" s="17"/>
      <c r="N436" s="21">
        <f t="shared" si="42"/>
        <v>0</v>
      </c>
      <c r="O436" s="17">
        <f t="shared" si="43"/>
        <v>0</v>
      </c>
      <c r="P436" s="20"/>
    </row>
    <row r="437" spans="1:16" ht="21" x14ac:dyDescent="0.5">
      <c r="A437" s="17"/>
      <c r="B437" s="18">
        <v>46679</v>
      </c>
      <c r="C437" s="17" t="str">
        <f t="shared" si="38"/>
        <v>63.1 - day 2</v>
      </c>
      <c r="D437" s="17"/>
      <c r="E437" s="17">
        <f t="shared" si="41"/>
        <v>13436</v>
      </c>
      <c r="F437" s="17"/>
      <c r="G437" s="17"/>
      <c r="H437" s="17">
        <f t="shared" si="39"/>
        <v>13436</v>
      </c>
      <c r="I437" s="17"/>
      <c r="J437" s="17"/>
      <c r="K437" s="17"/>
      <c r="L437" s="17">
        <f t="shared" si="40"/>
        <v>0</v>
      </c>
      <c r="M437" s="17"/>
      <c r="N437" s="21">
        <f t="shared" si="42"/>
        <v>0</v>
      </c>
      <c r="O437" s="17">
        <f t="shared" si="43"/>
        <v>0</v>
      </c>
      <c r="P437" s="20"/>
    </row>
    <row r="438" spans="1:16" ht="21" x14ac:dyDescent="0.5">
      <c r="A438" s="17"/>
      <c r="B438" s="18">
        <v>46680</v>
      </c>
      <c r="C438" s="17" t="str">
        <f t="shared" si="38"/>
        <v>63.2 - day 3</v>
      </c>
      <c r="D438" s="17"/>
      <c r="E438" s="17">
        <f t="shared" si="41"/>
        <v>13436</v>
      </c>
      <c r="F438" s="17"/>
      <c r="G438" s="17"/>
      <c r="H438" s="17">
        <f t="shared" si="39"/>
        <v>13436</v>
      </c>
      <c r="I438" s="17"/>
      <c r="J438" s="17"/>
      <c r="K438" s="17"/>
      <c r="L438" s="17">
        <f t="shared" si="40"/>
        <v>0</v>
      </c>
      <c r="M438" s="17"/>
      <c r="N438" s="21">
        <f t="shared" si="42"/>
        <v>0</v>
      </c>
      <c r="O438" s="17">
        <f t="shared" si="43"/>
        <v>0</v>
      </c>
      <c r="P438" s="20"/>
    </row>
    <row r="439" spans="1:16" ht="21" x14ac:dyDescent="0.5">
      <c r="A439" s="17"/>
      <c r="B439" s="18">
        <v>46681</v>
      </c>
      <c r="C439" s="17" t="str">
        <f t="shared" si="38"/>
        <v>63.3 - day 4</v>
      </c>
      <c r="D439" s="17"/>
      <c r="E439" s="17">
        <f t="shared" si="41"/>
        <v>13436</v>
      </c>
      <c r="F439" s="17"/>
      <c r="G439" s="17"/>
      <c r="H439" s="17">
        <f t="shared" si="39"/>
        <v>13436</v>
      </c>
      <c r="I439" s="17"/>
      <c r="J439" s="17"/>
      <c r="K439" s="17"/>
      <c r="L439" s="17">
        <f t="shared" si="40"/>
        <v>0</v>
      </c>
      <c r="M439" s="17"/>
      <c r="N439" s="21">
        <f t="shared" si="42"/>
        <v>0</v>
      </c>
      <c r="O439" s="17">
        <f t="shared" si="43"/>
        <v>0</v>
      </c>
      <c r="P439" s="20"/>
    </row>
    <row r="440" spans="1:16" ht="21" x14ac:dyDescent="0.5">
      <c r="A440" s="17"/>
      <c r="B440" s="18">
        <v>46682</v>
      </c>
      <c r="C440" s="17" t="str">
        <f t="shared" si="38"/>
        <v>63.4 - day 5</v>
      </c>
      <c r="D440" s="17"/>
      <c r="E440" s="17">
        <f t="shared" si="41"/>
        <v>13436</v>
      </c>
      <c r="F440" s="17"/>
      <c r="G440" s="17"/>
      <c r="H440" s="17">
        <f t="shared" si="39"/>
        <v>13436</v>
      </c>
      <c r="I440" s="17"/>
      <c r="J440" s="17"/>
      <c r="K440" s="17"/>
      <c r="L440" s="17">
        <f t="shared" si="40"/>
        <v>0</v>
      </c>
      <c r="M440" s="17"/>
      <c r="N440" s="21">
        <f t="shared" si="42"/>
        <v>0</v>
      </c>
      <c r="O440" s="17">
        <f t="shared" si="43"/>
        <v>0</v>
      </c>
      <c r="P440" s="20"/>
    </row>
    <row r="441" spans="1:16" ht="21" x14ac:dyDescent="0.5">
      <c r="A441" s="17"/>
      <c r="B441" s="18">
        <v>46683</v>
      </c>
      <c r="C441" s="17" t="str">
        <f t="shared" si="38"/>
        <v>63.5 - day 6</v>
      </c>
      <c r="D441" s="17"/>
      <c r="E441" s="17">
        <f t="shared" si="41"/>
        <v>13436</v>
      </c>
      <c r="F441" s="17"/>
      <c r="G441" s="17"/>
      <c r="H441" s="17">
        <f t="shared" si="39"/>
        <v>13436</v>
      </c>
      <c r="I441" s="17"/>
      <c r="J441" s="17"/>
      <c r="K441" s="17"/>
      <c r="L441" s="17">
        <f t="shared" si="40"/>
        <v>0</v>
      </c>
      <c r="M441" s="17"/>
      <c r="N441" s="21">
        <f t="shared" si="42"/>
        <v>0</v>
      </c>
      <c r="O441" s="17">
        <f t="shared" si="43"/>
        <v>0</v>
      </c>
      <c r="P441" s="20"/>
    </row>
    <row r="442" spans="1:16" ht="21" x14ac:dyDescent="0.5">
      <c r="A442" s="17"/>
      <c r="B442" s="18">
        <v>46684</v>
      </c>
      <c r="C442" s="17" t="str">
        <f t="shared" si="38"/>
        <v>63.6 - day 7</v>
      </c>
      <c r="D442" s="17"/>
      <c r="E442" s="17">
        <f t="shared" si="41"/>
        <v>13436</v>
      </c>
      <c r="F442" s="17"/>
      <c r="G442" s="17"/>
      <c r="H442" s="17">
        <f t="shared" si="39"/>
        <v>13436</v>
      </c>
      <c r="I442" s="17"/>
      <c r="J442" s="17"/>
      <c r="K442" s="17"/>
      <c r="L442" s="17">
        <f t="shared" si="40"/>
        <v>0</v>
      </c>
      <c r="M442" s="17"/>
      <c r="N442" s="21">
        <f t="shared" si="42"/>
        <v>0</v>
      </c>
      <c r="O442" s="17">
        <f t="shared" si="43"/>
        <v>0</v>
      </c>
      <c r="P442" s="20"/>
    </row>
    <row r="443" spans="1:16" ht="21" x14ac:dyDescent="0.5">
      <c r="A443" s="17"/>
      <c r="B443" s="18">
        <v>46685</v>
      </c>
      <c r="C443" s="17" t="str">
        <f t="shared" si="38"/>
        <v>64.0 - day 1</v>
      </c>
      <c r="D443" s="17"/>
      <c r="E443" s="17">
        <f t="shared" si="41"/>
        <v>13436</v>
      </c>
      <c r="F443" s="17"/>
      <c r="G443" s="17"/>
      <c r="H443" s="17">
        <f t="shared" si="39"/>
        <v>13436</v>
      </c>
      <c r="I443" s="17"/>
      <c r="J443" s="17"/>
      <c r="K443" s="17"/>
      <c r="L443" s="17">
        <f t="shared" si="40"/>
        <v>0</v>
      </c>
      <c r="M443" s="17"/>
      <c r="N443" s="21">
        <f t="shared" si="42"/>
        <v>0</v>
      </c>
      <c r="O443" s="17">
        <f t="shared" si="43"/>
        <v>0</v>
      </c>
      <c r="P443" s="20"/>
    </row>
    <row r="444" spans="1:16" ht="21" x14ac:dyDescent="0.5">
      <c r="A444" s="17"/>
      <c r="B444" s="18">
        <v>46686</v>
      </c>
      <c r="C444" s="17" t="str">
        <f t="shared" si="38"/>
        <v>64.1 - day 2</v>
      </c>
      <c r="D444" s="17"/>
      <c r="E444" s="17">
        <f t="shared" si="41"/>
        <v>13436</v>
      </c>
      <c r="F444" s="17"/>
      <c r="G444" s="17"/>
      <c r="H444" s="17">
        <f t="shared" si="39"/>
        <v>13436</v>
      </c>
      <c r="I444" s="17"/>
      <c r="J444" s="17"/>
      <c r="K444" s="17"/>
      <c r="L444" s="17">
        <f t="shared" si="40"/>
        <v>0</v>
      </c>
      <c r="M444" s="17"/>
      <c r="N444" s="21">
        <f t="shared" si="42"/>
        <v>0</v>
      </c>
      <c r="O444" s="17">
        <f t="shared" si="43"/>
        <v>0</v>
      </c>
      <c r="P444" s="20"/>
    </row>
    <row r="445" spans="1:16" ht="21" x14ac:dyDescent="0.5">
      <c r="A445" s="17"/>
      <c r="B445" s="18">
        <v>46687</v>
      </c>
      <c r="C445" s="17" t="str">
        <f t="shared" si="38"/>
        <v>64.2 - day 3</v>
      </c>
      <c r="D445" s="17"/>
      <c r="E445" s="17">
        <f t="shared" si="41"/>
        <v>13436</v>
      </c>
      <c r="F445" s="17"/>
      <c r="G445" s="17"/>
      <c r="H445" s="17">
        <f t="shared" si="39"/>
        <v>13436</v>
      </c>
      <c r="I445" s="17"/>
      <c r="J445" s="17"/>
      <c r="K445" s="17"/>
      <c r="L445" s="17">
        <f t="shared" si="40"/>
        <v>0</v>
      </c>
      <c r="M445" s="17"/>
      <c r="N445" s="21">
        <f t="shared" si="42"/>
        <v>0</v>
      </c>
      <c r="O445" s="17">
        <f t="shared" si="43"/>
        <v>0</v>
      </c>
      <c r="P445" s="20"/>
    </row>
    <row r="446" spans="1:16" ht="21" x14ac:dyDescent="0.5">
      <c r="A446" s="17"/>
      <c r="B446" s="18">
        <v>46688</v>
      </c>
      <c r="C446" s="17" t="str">
        <f t="shared" si="38"/>
        <v>64.3 - day 4</v>
      </c>
      <c r="D446" s="17"/>
      <c r="E446" s="17">
        <f t="shared" si="41"/>
        <v>13436</v>
      </c>
      <c r="F446" s="17"/>
      <c r="G446" s="17"/>
      <c r="H446" s="17">
        <f t="shared" si="39"/>
        <v>13436</v>
      </c>
      <c r="I446" s="17"/>
      <c r="J446" s="17"/>
      <c r="K446" s="17"/>
      <c r="L446" s="17">
        <f t="shared" si="40"/>
        <v>0</v>
      </c>
      <c r="M446" s="17"/>
      <c r="N446" s="21">
        <f t="shared" si="42"/>
        <v>0</v>
      </c>
      <c r="O446" s="17">
        <f t="shared" si="43"/>
        <v>0</v>
      </c>
      <c r="P446" s="20"/>
    </row>
    <row r="447" spans="1:16" ht="21" x14ac:dyDescent="0.5">
      <c r="A447" s="17"/>
      <c r="B447" s="18">
        <v>46689</v>
      </c>
      <c r="C447" s="17" t="str">
        <f t="shared" si="38"/>
        <v>64.4 - day 5</v>
      </c>
      <c r="D447" s="17"/>
      <c r="E447" s="17">
        <f t="shared" si="41"/>
        <v>13436</v>
      </c>
      <c r="F447" s="17"/>
      <c r="G447" s="17"/>
      <c r="H447" s="17">
        <f t="shared" si="39"/>
        <v>13436</v>
      </c>
      <c r="I447" s="17"/>
      <c r="J447" s="17"/>
      <c r="K447" s="17"/>
      <c r="L447" s="17">
        <f t="shared" si="40"/>
        <v>0</v>
      </c>
      <c r="M447" s="17"/>
      <c r="N447" s="21">
        <f t="shared" si="42"/>
        <v>0</v>
      </c>
      <c r="O447" s="17">
        <f t="shared" si="43"/>
        <v>0</v>
      </c>
      <c r="P447" s="20"/>
    </row>
    <row r="448" spans="1:16" ht="21" x14ac:dyDescent="0.5">
      <c r="A448" s="17"/>
      <c r="B448" s="18">
        <v>46690</v>
      </c>
      <c r="C448" s="17" t="str">
        <f t="shared" si="38"/>
        <v>64.5 - day 6</v>
      </c>
      <c r="D448" s="17"/>
      <c r="E448" s="17">
        <f t="shared" si="41"/>
        <v>13436</v>
      </c>
      <c r="F448" s="17"/>
      <c r="G448" s="17"/>
      <c r="H448" s="17">
        <f t="shared" si="39"/>
        <v>13436</v>
      </c>
      <c r="I448" s="17"/>
      <c r="J448" s="17"/>
      <c r="K448" s="17"/>
      <c r="L448" s="17">
        <f t="shared" si="40"/>
        <v>0</v>
      </c>
      <c r="M448" s="17"/>
      <c r="N448" s="21">
        <f t="shared" si="42"/>
        <v>0</v>
      </c>
      <c r="O448" s="17">
        <f t="shared" si="43"/>
        <v>0</v>
      </c>
      <c r="P448" s="20"/>
    </row>
    <row r="449" spans="1:16" ht="21" x14ac:dyDescent="0.5">
      <c r="A449" s="17"/>
      <c r="B449" s="18">
        <v>46691</v>
      </c>
      <c r="C449" s="17" t="str">
        <f t="shared" si="38"/>
        <v>64.6 - day 7</v>
      </c>
      <c r="D449" s="17"/>
      <c r="E449" s="17">
        <f t="shared" si="41"/>
        <v>13436</v>
      </c>
      <c r="F449" s="17"/>
      <c r="G449" s="17"/>
      <c r="H449" s="17">
        <f t="shared" si="39"/>
        <v>13436</v>
      </c>
      <c r="I449" s="17"/>
      <c r="J449" s="17"/>
      <c r="K449" s="17"/>
      <c r="L449" s="17">
        <f t="shared" si="40"/>
        <v>0</v>
      </c>
      <c r="M449" s="17"/>
      <c r="N449" s="21">
        <f t="shared" si="42"/>
        <v>0</v>
      </c>
      <c r="O449" s="17">
        <f t="shared" si="43"/>
        <v>0</v>
      </c>
      <c r="P449" s="20"/>
    </row>
    <row r="450" spans="1:16" ht="21" x14ac:dyDescent="0.5">
      <c r="A450" s="17"/>
      <c r="B450" s="18">
        <v>46692</v>
      </c>
      <c r="C450" s="17" t="str">
        <f t="shared" si="38"/>
        <v>65.0 - day 1</v>
      </c>
      <c r="D450" s="17"/>
      <c r="E450" s="17">
        <f t="shared" si="41"/>
        <v>13436</v>
      </c>
      <c r="F450" s="17"/>
      <c r="G450" s="17"/>
      <c r="H450" s="17">
        <f t="shared" si="39"/>
        <v>13436</v>
      </c>
      <c r="I450" s="17"/>
      <c r="J450" s="17"/>
      <c r="K450" s="17"/>
      <c r="L450" s="17">
        <f t="shared" si="40"/>
        <v>0</v>
      </c>
      <c r="M450" s="17"/>
      <c r="N450" s="21">
        <f t="shared" si="42"/>
        <v>0</v>
      </c>
      <c r="O450" s="17">
        <f t="shared" si="43"/>
        <v>0</v>
      </c>
      <c r="P450" s="20"/>
    </row>
    <row r="451" spans="1:16" ht="21" x14ac:dyDescent="0.5">
      <c r="A451" s="17"/>
      <c r="B451" s="18">
        <v>46693</v>
      </c>
      <c r="C451" s="17" t="str">
        <f t="shared" si="38"/>
        <v>65.1 - day 2</v>
      </c>
      <c r="D451" s="17"/>
      <c r="E451" s="17">
        <f t="shared" si="41"/>
        <v>13436</v>
      </c>
      <c r="F451" s="17"/>
      <c r="G451" s="17"/>
      <c r="H451" s="17">
        <f t="shared" si="39"/>
        <v>13436</v>
      </c>
      <c r="I451" s="17"/>
      <c r="J451" s="17"/>
      <c r="K451" s="17"/>
      <c r="L451" s="17">
        <f t="shared" si="40"/>
        <v>0</v>
      </c>
      <c r="M451" s="17"/>
      <c r="N451" s="21">
        <f t="shared" si="42"/>
        <v>0</v>
      </c>
      <c r="O451" s="17">
        <f t="shared" si="43"/>
        <v>0</v>
      </c>
      <c r="P451" s="20"/>
    </row>
    <row r="452" spans="1:16" ht="21" x14ac:dyDescent="0.5">
      <c r="A452" s="17"/>
      <c r="B452" s="18">
        <v>46694</v>
      </c>
      <c r="C452" s="17" t="str">
        <f t="shared" ref="C452:C515" si="44">(QUOTIENT(ROW()-2,7)+1)&amp;"."&amp;MOD(ROW()-2,7)&amp;" - day "&amp;(MOD(ROW()-2,7)+1)</f>
        <v>65.2 - day 3</v>
      </c>
      <c r="D452" s="17"/>
      <c r="E452" s="17">
        <f t="shared" si="41"/>
        <v>13436</v>
      </c>
      <c r="F452" s="17"/>
      <c r="G452" s="17"/>
      <c r="H452" s="17">
        <f t="shared" ref="H452:H515" si="45">SUM(E452-F452-G452)</f>
        <v>13436</v>
      </c>
      <c r="I452" s="17"/>
      <c r="J452" s="17"/>
      <c r="K452" s="17"/>
      <c r="L452" s="17">
        <f t="shared" ref="L452:L515" si="46">SUM(J452+K452)/H452*100</f>
        <v>0</v>
      </c>
      <c r="M452" s="17"/>
      <c r="N452" s="21">
        <f t="shared" si="42"/>
        <v>0</v>
      </c>
      <c r="O452" s="17">
        <f t="shared" si="43"/>
        <v>0</v>
      </c>
      <c r="P452" s="20"/>
    </row>
    <row r="453" spans="1:16" ht="21" x14ac:dyDescent="0.5">
      <c r="A453" s="17"/>
      <c r="B453" s="18">
        <v>46695</v>
      </c>
      <c r="C453" s="17" t="str">
        <f t="shared" si="44"/>
        <v>65.3 - day 4</v>
      </c>
      <c r="D453" s="17"/>
      <c r="E453" s="17">
        <f t="shared" si="41"/>
        <v>13436</v>
      </c>
      <c r="F453" s="17"/>
      <c r="G453" s="17"/>
      <c r="H453" s="17">
        <f t="shared" si="45"/>
        <v>13436</v>
      </c>
      <c r="I453" s="17"/>
      <c r="J453" s="17"/>
      <c r="K453" s="17"/>
      <c r="L453" s="17">
        <f t="shared" si="46"/>
        <v>0</v>
      </c>
      <c r="M453" s="17"/>
      <c r="N453" s="21">
        <f t="shared" si="42"/>
        <v>0</v>
      </c>
      <c r="O453" s="17">
        <f t="shared" si="43"/>
        <v>0</v>
      </c>
      <c r="P453" s="20"/>
    </row>
    <row r="454" spans="1:16" ht="21" x14ac:dyDescent="0.5">
      <c r="A454" s="17"/>
      <c r="B454" s="18">
        <v>46696</v>
      </c>
      <c r="C454" s="17" t="str">
        <f t="shared" si="44"/>
        <v>65.4 - day 5</v>
      </c>
      <c r="D454" s="17"/>
      <c r="E454" s="17">
        <f t="shared" ref="E454:E517" si="47">H453</f>
        <v>13436</v>
      </c>
      <c r="F454" s="17"/>
      <c r="G454" s="17"/>
      <c r="H454" s="17">
        <f t="shared" si="45"/>
        <v>13436</v>
      </c>
      <c r="I454" s="17"/>
      <c r="J454" s="17"/>
      <c r="K454" s="17"/>
      <c r="L454" s="17">
        <f t="shared" si="46"/>
        <v>0</v>
      </c>
      <c r="M454" s="17"/>
      <c r="N454" s="21">
        <f t="shared" si="42"/>
        <v>0</v>
      </c>
      <c r="O454" s="17">
        <f t="shared" si="43"/>
        <v>0</v>
      </c>
      <c r="P454" s="20"/>
    </row>
    <row r="455" spans="1:16" ht="21" x14ac:dyDescent="0.5">
      <c r="A455" s="17"/>
      <c r="B455" s="18">
        <v>46697</v>
      </c>
      <c r="C455" s="17" t="str">
        <f t="shared" si="44"/>
        <v>65.5 - day 6</v>
      </c>
      <c r="D455" s="17"/>
      <c r="E455" s="17">
        <f t="shared" si="47"/>
        <v>13436</v>
      </c>
      <c r="F455" s="17"/>
      <c r="G455" s="17"/>
      <c r="H455" s="17">
        <f t="shared" si="45"/>
        <v>13436</v>
      </c>
      <c r="I455" s="17"/>
      <c r="J455" s="17"/>
      <c r="K455" s="17"/>
      <c r="L455" s="17">
        <f t="shared" si="46"/>
        <v>0</v>
      </c>
      <c r="M455" s="17"/>
      <c r="N455" s="21">
        <f t="shared" si="42"/>
        <v>0</v>
      </c>
      <c r="O455" s="17">
        <f t="shared" si="43"/>
        <v>0</v>
      </c>
      <c r="P455" s="20"/>
    </row>
    <row r="456" spans="1:16" ht="21" x14ac:dyDescent="0.5">
      <c r="A456" s="17"/>
      <c r="B456" s="18">
        <v>46698</v>
      </c>
      <c r="C456" s="17" t="str">
        <f t="shared" si="44"/>
        <v>65.6 - day 7</v>
      </c>
      <c r="D456" s="17"/>
      <c r="E456" s="17">
        <f t="shared" si="47"/>
        <v>13436</v>
      </c>
      <c r="F456" s="17"/>
      <c r="G456" s="17"/>
      <c r="H456" s="17">
        <f t="shared" si="45"/>
        <v>13436</v>
      </c>
      <c r="I456" s="17"/>
      <c r="J456" s="17"/>
      <c r="K456" s="17"/>
      <c r="L456" s="17">
        <f t="shared" si="46"/>
        <v>0</v>
      </c>
      <c r="M456" s="17"/>
      <c r="N456" s="21">
        <f t="shared" si="42"/>
        <v>0</v>
      </c>
      <c r="O456" s="17">
        <f t="shared" si="43"/>
        <v>0</v>
      </c>
      <c r="P456" s="20"/>
    </row>
    <row r="457" spans="1:16" ht="21" x14ac:dyDescent="0.5">
      <c r="A457" s="17"/>
      <c r="B457" s="18">
        <v>46699</v>
      </c>
      <c r="C457" s="17" t="str">
        <f t="shared" si="44"/>
        <v>66.0 - day 1</v>
      </c>
      <c r="D457" s="17"/>
      <c r="E457" s="17">
        <f t="shared" si="47"/>
        <v>13436</v>
      </c>
      <c r="F457" s="17"/>
      <c r="G457" s="17"/>
      <c r="H457" s="17">
        <f t="shared" si="45"/>
        <v>13436</v>
      </c>
      <c r="I457" s="17"/>
      <c r="J457" s="17"/>
      <c r="K457" s="17"/>
      <c r="L457" s="17">
        <f t="shared" si="46"/>
        <v>0</v>
      </c>
      <c r="M457" s="17"/>
      <c r="N457" s="21">
        <f t="shared" si="42"/>
        <v>0</v>
      </c>
      <c r="O457" s="17">
        <f t="shared" si="43"/>
        <v>0</v>
      </c>
      <c r="P457" s="20"/>
    </row>
    <row r="458" spans="1:16" ht="21" x14ac:dyDescent="0.5">
      <c r="A458" s="17"/>
      <c r="B458" s="18">
        <v>46700</v>
      </c>
      <c r="C458" s="17" t="str">
        <f t="shared" si="44"/>
        <v>66.1 - day 2</v>
      </c>
      <c r="D458" s="17"/>
      <c r="E458" s="17">
        <f t="shared" si="47"/>
        <v>13436</v>
      </c>
      <c r="F458" s="17"/>
      <c r="G458" s="17"/>
      <c r="H458" s="17">
        <f t="shared" si="45"/>
        <v>13436</v>
      </c>
      <c r="I458" s="17"/>
      <c r="J458" s="17"/>
      <c r="K458" s="17"/>
      <c r="L458" s="17">
        <f t="shared" si="46"/>
        <v>0</v>
      </c>
      <c r="M458" s="17"/>
      <c r="N458" s="21">
        <f t="shared" si="42"/>
        <v>0</v>
      </c>
      <c r="O458" s="17">
        <f t="shared" si="43"/>
        <v>0</v>
      </c>
      <c r="P458" s="20"/>
    </row>
    <row r="459" spans="1:16" ht="21" x14ac:dyDescent="0.5">
      <c r="A459" s="17"/>
      <c r="B459" s="18">
        <v>46701</v>
      </c>
      <c r="C459" s="17" t="str">
        <f t="shared" si="44"/>
        <v>66.2 - day 3</v>
      </c>
      <c r="D459" s="17"/>
      <c r="E459" s="17">
        <f t="shared" si="47"/>
        <v>13436</v>
      </c>
      <c r="F459" s="17"/>
      <c r="G459" s="17"/>
      <c r="H459" s="17">
        <f t="shared" si="45"/>
        <v>13436</v>
      </c>
      <c r="I459" s="17"/>
      <c r="J459" s="17"/>
      <c r="K459" s="17"/>
      <c r="L459" s="17">
        <f t="shared" si="46"/>
        <v>0</v>
      </c>
      <c r="M459" s="17"/>
      <c r="N459" s="21">
        <f t="shared" si="42"/>
        <v>0</v>
      </c>
      <c r="O459" s="17">
        <f t="shared" si="43"/>
        <v>0</v>
      </c>
      <c r="P459" s="20"/>
    </row>
    <row r="460" spans="1:16" ht="21" x14ac:dyDescent="0.5">
      <c r="A460" s="17"/>
      <c r="B460" s="18">
        <v>46702</v>
      </c>
      <c r="C460" s="17" t="str">
        <f t="shared" si="44"/>
        <v>66.3 - day 4</v>
      </c>
      <c r="D460" s="17"/>
      <c r="E460" s="17">
        <f t="shared" si="47"/>
        <v>13436</v>
      </c>
      <c r="F460" s="17"/>
      <c r="G460" s="17"/>
      <c r="H460" s="17">
        <f t="shared" si="45"/>
        <v>13436</v>
      </c>
      <c r="I460" s="17"/>
      <c r="J460" s="17"/>
      <c r="K460" s="17"/>
      <c r="L460" s="17">
        <f t="shared" si="46"/>
        <v>0</v>
      </c>
      <c r="M460" s="17"/>
      <c r="N460" s="21">
        <f t="shared" si="42"/>
        <v>0</v>
      </c>
      <c r="O460" s="17">
        <f t="shared" si="43"/>
        <v>0</v>
      </c>
      <c r="P460" s="20"/>
    </row>
    <row r="461" spans="1:16" ht="21" x14ac:dyDescent="0.5">
      <c r="A461" s="17"/>
      <c r="B461" s="18">
        <v>46703</v>
      </c>
      <c r="C461" s="17" t="str">
        <f t="shared" si="44"/>
        <v>66.4 - day 5</v>
      </c>
      <c r="D461" s="17"/>
      <c r="E461" s="17">
        <f t="shared" si="47"/>
        <v>13436</v>
      </c>
      <c r="F461" s="17"/>
      <c r="G461" s="17"/>
      <c r="H461" s="17">
        <f t="shared" si="45"/>
        <v>13436</v>
      </c>
      <c r="I461" s="17"/>
      <c r="J461" s="17"/>
      <c r="K461" s="17"/>
      <c r="L461" s="17">
        <f t="shared" si="46"/>
        <v>0</v>
      </c>
      <c r="M461" s="17"/>
      <c r="N461" s="21">
        <f t="shared" si="42"/>
        <v>0</v>
      </c>
      <c r="O461" s="17">
        <f t="shared" si="43"/>
        <v>0</v>
      </c>
      <c r="P461" s="20"/>
    </row>
    <row r="462" spans="1:16" ht="21" x14ac:dyDescent="0.5">
      <c r="A462" s="17"/>
      <c r="B462" s="18">
        <v>46704</v>
      </c>
      <c r="C462" s="17" t="str">
        <f t="shared" si="44"/>
        <v>66.5 - day 6</v>
      </c>
      <c r="D462" s="17"/>
      <c r="E462" s="17">
        <f t="shared" si="47"/>
        <v>13436</v>
      </c>
      <c r="F462" s="17"/>
      <c r="G462" s="17"/>
      <c r="H462" s="17">
        <f t="shared" si="45"/>
        <v>13436</v>
      </c>
      <c r="I462" s="17"/>
      <c r="J462" s="17"/>
      <c r="K462" s="17"/>
      <c r="L462" s="17">
        <f t="shared" si="46"/>
        <v>0</v>
      </c>
      <c r="M462" s="17"/>
      <c r="N462" s="21">
        <f t="shared" si="42"/>
        <v>0</v>
      </c>
      <c r="O462" s="17">
        <f t="shared" si="43"/>
        <v>0</v>
      </c>
      <c r="P462" s="20"/>
    </row>
    <row r="463" spans="1:16" ht="21" x14ac:dyDescent="0.5">
      <c r="A463" s="17"/>
      <c r="B463" s="18">
        <v>46705</v>
      </c>
      <c r="C463" s="17" t="str">
        <f t="shared" si="44"/>
        <v>66.6 - day 7</v>
      </c>
      <c r="D463" s="17"/>
      <c r="E463" s="17">
        <f t="shared" si="47"/>
        <v>13436</v>
      </c>
      <c r="F463" s="17"/>
      <c r="G463" s="17"/>
      <c r="H463" s="17">
        <f t="shared" si="45"/>
        <v>13436</v>
      </c>
      <c r="I463" s="17"/>
      <c r="J463" s="17"/>
      <c r="K463" s="17"/>
      <c r="L463" s="17">
        <f t="shared" si="46"/>
        <v>0</v>
      </c>
      <c r="M463" s="17"/>
      <c r="N463" s="21">
        <f t="shared" si="42"/>
        <v>0</v>
      </c>
      <c r="O463" s="17">
        <f t="shared" si="43"/>
        <v>0</v>
      </c>
      <c r="P463" s="20"/>
    </row>
    <row r="464" spans="1:16" ht="21" x14ac:dyDescent="0.5">
      <c r="A464" s="17"/>
      <c r="B464" s="18">
        <v>46706</v>
      </c>
      <c r="C464" s="17" t="str">
        <f t="shared" si="44"/>
        <v>67.0 - day 1</v>
      </c>
      <c r="D464" s="17"/>
      <c r="E464" s="17">
        <f t="shared" si="47"/>
        <v>13436</v>
      </c>
      <c r="F464" s="17"/>
      <c r="G464" s="17"/>
      <c r="H464" s="17">
        <f t="shared" si="45"/>
        <v>13436</v>
      </c>
      <c r="I464" s="17"/>
      <c r="J464" s="17"/>
      <c r="K464" s="17"/>
      <c r="L464" s="17">
        <f t="shared" si="46"/>
        <v>0</v>
      </c>
      <c r="M464" s="17"/>
      <c r="N464" s="21">
        <f t="shared" si="42"/>
        <v>0</v>
      </c>
      <c r="O464" s="17">
        <f t="shared" si="43"/>
        <v>0</v>
      </c>
      <c r="P464" s="20"/>
    </row>
    <row r="465" spans="1:16" ht="21" x14ac:dyDescent="0.5">
      <c r="A465" s="17"/>
      <c r="B465" s="18">
        <v>46707</v>
      </c>
      <c r="C465" s="17" t="str">
        <f t="shared" si="44"/>
        <v>67.1 - day 2</v>
      </c>
      <c r="D465" s="17"/>
      <c r="E465" s="17">
        <f t="shared" si="47"/>
        <v>13436</v>
      </c>
      <c r="F465" s="17"/>
      <c r="G465" s="17"/>
      <c r="H465" s="17">
        <f t="shared" si="45"/>
        <v>13436</v>
      </c>
      <c r="I465" s="17"/>
      <c r="J465" s="17"/>
      <c r="K465" s="17"/>
      <c r="L465" s="17">
        <f t="shared" si="46"/>
        <v>0</v>
      </c>
      <c r="M465" s="17"/>
      <c r="N465" s="21">
        <f t="shared" si="42"/>
        <v>0</v>
      </c>
      <c r="O465" s="17">
        <f t="shared" si="43"/>
        <v>0</v>
      </c>
      <c r="P465" s="20"/>
    </row>
    <row r="466" spans="1:16" ht="21" x14ac:dyDescent="0.5">
      <c r="A466" s="17"/>
      <c r="B466" s="18">
        <v>46708</v>
      </c>
      <c r="C466" s="17" t="str">
        <f t="shared" si="44"/>
        <v>67.2 - day 3</v>
      </c>
      <c r="D466" s="17"/>
      <c r="E466" s="17">
        <f t="shared" si="47"/>
        <v>13436</v>
      </c>
      <c r="F466" s="17"/>
      <c r="G466" s="17"/>
      <c r="H466" s="17">
        <f t="shared" si="45"/>
        <v>13436</v>
      </c>
      <c r="I466" s="17"/>
      <c r="J466" s="17"/>
      <c r="K466" s="17"/>
      <c r="L466" s="17">
        <f t="shared" si="46"/>
        <v>0</v>
      </c>
      <c r="M466" s="17"/>
      <c r="N466" s="21">
        <f t="shared" si="42"/>
        <v>0</v>
      </c>
      <c r="O466" s="17">
        <f t="shared" si="43"/>
        <v>0</v>
      </c>
      <c r="P466" s="20"/>
    </row>
    <row r="467" spans="1:16" ht="21" x14ac:dyDescent="0.5">
      <c r="A467" s="17"/>
      <c r="B467" s="18">
        <v>46709</v>
      </c>
      <c r="C467" s="17" t="str">
        <f t="shared" si="44"/>
        <v>67.3 - day 4</v>
      </c>
      <c r="D467" s="17"/>
      <c r="E467" s="17">
        <f t="shared" si="47"/>
        <v>13436</v>
      </c>
      <c r="F467" s="17"/>
      <c r="G467" s="17"/>
      <c r="H467" s="17">
        <f t="shared" si="45"/>
        <v>13436</v>
      </c>
      <c r="I467" s="17"/>
      <c r="J467" s="17"/>
      <c r="K467" s="17"/>
      <c r="L467" s="17">
        <f t="shared" si="46"/>
        <v>0</v>
      </c>
      <c r="M467" s="17"/>
      <c r="N467" s="21">
        <f t="shared" si="42"/>
        <v>0</v>
      </c>
      <c r="O467" s="17">
        <f t="shared" si="43"/>
        <v>0</v>
      </c>
      <c r="P467" s="20"/>
    </row>
    <row r="468" spans="1:16" ht="21" x14ac:dyDescent="0.5">
      <c r="A468" s="17"/>
      <c r="B468" s="18">
        <v>46710</v>
      </c>
      <c r="C468" s="17" t="str">
        <f t="shared" si="44"/>
        <v>67.4 - day 5</v>
      </c>
      <c r="D468" s="17"/>
      <c r="E468" s="17">
        <f t="shared" si="47"/>
        <v>13436</v>
      </c>
      <c r="F468" s="17"/>
      <c r="G468" s="17"/>
      <c r="H468" s="17">
        <f t="shared" si="45"/>
        <v>13436</v>
      </c>
      <c r="I468" s="17"/>
      <c r="J468" s="17"/>
      <c r="K468" s="17"/>
      <c r="L468" s="17">
        <f t="shared" si="46"/>
        <v>0</v>
      </c>
      <c r="M468" s="17"/>
      <c r="N468" s="21">
        <f t="shared" si="42"/>
        <v>0</v>
      </c>
      <c r="O468" s="17">
        <f t="shared" si="43"/>
        <v>0</v>
      </c>
      <c r="P468" s="20"/>
    </row>
    <row r="469" spans="1:16" ht="21" x14ac:dyDescent="0.5">
      <c r="A469" s="17"/>
      <c r="B469" s="18">
        <v>46711</v>
      </c>
      <c r="C469" s="17" t="str">
        <f t="shared" si="44"/>
        <v>67.5 - day 6</v>
      </c>
      <c r="D469" s="17"/>
      <c r="E469" s="17">
        <f t="shared" si="47"/>
        <v>13436</v>
      </c>
      <c r="F469" s="17"/>
      <c r="G469" s="17"/>
      <c r="H469" s="17">
        <f t="shared" si="45"/>
        <v>13436</v>
      </c>
      <c r="I469" s="17"/>
      <c r="J469" s="17"/>
      <c r="K469" s="17"/>
      <c r="L469" s="17">
        <f t="shared" si="46"/>
        <v>0</v>
      </c>
      <c r="M469" s="17"/>
      <c r="N469" s="21">
        <f t="shared" ref="N469:N532" si="48">SUM(L469-M469)</f>
        <v>0</v>
      </c>
      <c r="O469" s="17">
        <f t="shared" ref="O469:O532" si="49">SUM(I469/H469)*1000</f>
        <v>0</v>
      </c>
      <c r="P469" s="20"/>
    </row>
    <row r="470" spans="1:16" ht="21" x14ac:dyDescent="0.5">
      <c r="A470" s="17"/>
      <c r="B470" s="18">
        <v>46712</v>
      </c>
      <c r="C470" s="17" t="str">
        <f t="shared" si="44"/>
        <v>67.6 - day 7</v>
      </c>
      <c r="D470" s="17"/>
      <c r="E470" s="17">
        <f t="shared" si="47"/>
        <v>13436</v>
      </c>
      <c r="F470" s="17"/>
      <c r="G470" s="17"/>
      <c r="H470" s="17">
        <f t="shared" si="45"/>
        <v>13436</v>
      </c>
      <c r="I470" s="17"/>
      <c r="J470" s="17"/>
      <c r="K470" s="17"/>
      <c r="L470" s="17">
        <f t="shared" si="46"/>
        <v>0</v>
      </c>
      <c r="M470" s="17"/>
      <c r="N470" s="21">
        <f t="shared" si="48"/>
        <v>0</v>
      </c>
      <c r="O470" s="17">
        <f t="shared" si="49"/>
        <v>0</v>
      </c>
      <c r="P470" s="20"/>
    </row>
    <row r="471" spans="1:16" ht="21" x14ac:dyDescent="0.5">
      <c r="A471" s="17"/>
      <c r="B471" s="18">
        <v>46713</v>
      </c>
      <c r="C471" s="17" t="str">
        <f t="shared" si="44"/>
        <v>68.0 - day 1</v>
      </c>
      <c r="D471" s="17"/>
      <c r="E471" s="17">
        <f t="shared" si="47"/>
        <v>13436</v>
      </c>
      <c r="F471" s="17"/>
      <c r="G471" s="17"/>
      <c r="H471" s="17">
        <f t="shared" si="45"/>
        <v>13436</v>
      </c>
      <c r="I471" s="17"/>
      <c r="J471" s="17"/>
      <c r="K471" s="17"/>
      <c r="L471" s="17">
        <f t="shared" si="46"/>
        <v>0</v>
      </c>
      <c r="M471" s="17"/>
      <c r="N471" s="21">
        <f t="shared" si="48"/>
        <v>0</v>
      </c>
      <c r="O471" s="17">
        <f t="shared" si="49"/>
        <v>0</v>
      </c>
      <c r="P471" s="20"/>
    </row>
    <row r="472" spans="1:16" ht="21" x14ac:dyDescent="0.5">
      <c r="A472" s="17"/>
      <c r="B472" s="18">
        <v>46714</v>
      </c>
      <c r="C472" s="17" t="str">
        <f t="shared" si="44"/>
        <v>68.1 - day 2</v>
      </c>
      <c r="D472" s="17"/>
      <c r="E472" s="17">
        <f t="shared" si="47"/>
        <v>13436</v>
      </c>
      <c r="F472" s="17"/>
      <c r="G472" s="17"/>
      <c r="H472" s="17">
        <f t="shared" si="45"/>
        <v>13436</v>
      </c>
      <c r="I472" s="17"/>
      <c r="J472" s="17"/>
      <c r="K472" s="17"/>
      <c r="L472" s="17">
        <f t="shared" si="46"/>
        <v>0</v>
      </c>
      <c r="M472" s="17"/>
      <c r="N472" s="21">
        <f t="shared" si="48"/>
        <v>0</v>
      </c>
      <c r="O472" s="17">
        <f t="shared" si="49"/>
        <v>0</v>
      </c>
      <c r="P472" s="20"/>
    </row>
    <row r="473" spans="1:16" ht="21" x14ac:dyDescent="0.5">
      <c r="A473" s="17"/>
      <c r="B473" s="18">
        <v>46715</v>
      </c>
      <c r="C473" s="17" t="str">
        <f t="shared" si="44"/>
        <v>68.2 - day 3</v>
      </c>
      <c r="D473" s="17"/>
      <c r="E473" s="17">
        <f t="shared" si="47"/>
        <v>13436</v>
      </c>
      <c r="F473" s="17"/>
      <c r="G473" s="17"/>
      <c r="H473" s="17">
        <f t="shared" si="45"/>
        <v>13436</v>
      </c>
      <c r="I473" s="17"/>
      <c r="J473" s="17"/>
      <c r="K473" s="17"/>
      <c r="L473" s="17">
        <f t="shared" si="46"/>
        <v>0</v>
      </c>
      <c r="M473" s="17"/>
      <c r="N473" s="21">
        <f t="shared" si="48"/>
        <v>0</v>
      </c>
      <c r="O473" s="17">
        <f t="shared" si="49"/>
        <v>0</v>
      </c>
      <c r="P473" s="20"/>
    </row>
    <row r="474" spans="1:16" ht="21" x14ac:dyDescent="0.5">
      <c r="A474" s="17"/>
      <c r="B474" s="18">
        <v>46716</v>
      </c>
      <c r="C474" s="17" t="str">
        <f t="shared" si="44"/>
        <v>68.3 - day 4</v>
      </c>
      <c r="D474" s="17"/>
      <c r="E474" s="17">
        <f t="shared" si="47"/>
        <v>13436</v>
      </c>
      <c r="F474" s="17"/>
      <c r="G474" s="17"/>
      <c r="H474" s="17">
        <f t="shared" si="45"/>
        <v>13436</v>
      </c>
      <c r="I474" s="17"/>
      <c r="J474" s="17"/>
      <c r="K474" s="17"/>
      <c r="L474" s="17">
        <f t="shared" si="46"/>
        <v>0</v>
      </c>
      <c r="M474" s="17"/>
      <c r="N474" s="21">
        <f t="shared" si="48"/>
        <v>0</v>
      </c>
      <c r="O474" s="17">
        <f t="shared" si="49"/>
        <v>0</v>
      </c>
      <c r="P474" s="20"/>
    </row>
    <row r="475" spans="1:16" ht="21" x14ac:dyDescent="0.5">
      <c r="A475" s="17"/>
      <c r="B475" s="18">
        <v>46717</v>
      </c>
      <c r="C475" s="17" t="str">
        <f t="shared" si="44"/>
        <v>68.4 - day 5</v>
      </c>
      <c r="D475" s="17"/>
      <c r="E475" s="17">
        <f t="shared" si="47"/>
        <v>13436</v>
      </c>
      <c r="F475" s="17"/>
      <c r="G475" s="17"/>
      <c r="H475" s="17">
        <f t="shared" si="45"/>
        <v>13436</v>
      </c>
      <c r="I475" s="17"/>
      <c r="J475" s="17"/>
      <c r="K475" s="17"/>
      <c r="L475" s="17">
        <f t="shared" si="46"/>
        <v>0</v>
      </c>
      <c r="M475" s="17"/>
      <c r="N475" s="21">
        <f t="shared" si="48"/>
        <v>0</v>
      </c>
      <c r="O475" s="17">
        <f t="shared" si="49"/>
        <v>0</v>
      </c>
      <c r="P475" s="20"/>
    </row>
    <row r="476" spans="1:16" ht="21" x14ac:dyDescent="0.5">
      <c r="A476" s="17"/>
      <c r="B476" s="18">
        <v>46718</v>
      </c>
      <c r="C476" s="17" t="str">
        <f t="shared" si="44"/>
        <v>68.5 - day 6</v>
      </c>
      <c r="D476" s="17"/>
      <c r="E476" s="17">
        <f t="shared" si="47"/>
        <v>13436</v>
      </c>
      <c r="F476" s="17"/>
      <c r="G476" s="17"/>
      <c r="H476" s="17">
        <f t="shared" si="45"/>
        <v>13436</v>
      </c>
      <c r="I476" s="17"/>
      <c r="J476" s="17"/>
      <c r="K476" s="17"/>
      <c r="L476" s="17">
        <f t="shared" si="46"/>
        <v>0</v>
      </c>
      <c r="M476" s="17"/>
      <c r="N476" s="21">
        <f t="shared" si="48"/>
        <v>0</v>
      </c>
      <c r="O476" s="17">
        <f t="shared" si="49"/>
        <v>0</v>
      </c>
      <c r="P476" s="20"/>
    </row>
    <row r="477" spans="1:16" ht="21" x14ac:dyDescent="0.5">
      <c r="A477" s="17"/>
      <c r="B477" s="18">
        <v>46719</v>
      </c>
      <c r="C477" s="17" t="str">
        <f t="shared" si="44"/>
        <v>68.6 - day 7</v>
      </c>
      <c r="D477" s="17"/>
      <c r="E477" s="17">
        <f t="shared" si="47"/>
        <v>13436</v>
      </c>
      <c r="F477" s="17"/>
      <c r="G477" s="17"/>
      <c r="H477" s="17">
        <f t="shared" si="45"/>
        <v>13436</v>
      </c>
      <c r="I477" s="17"/>
      <c r="J477" s="17"/>
      <c r="K477" s="17"/>
      <c r="L477" s="17">
        <f t="shared" si="46"/>
        <v>0</v>
      </c>
      <c r="M477" s="17"/>
      <c r="N477" s="21">
        <f t="shared" si="48"/>
        <v>0</v>
      </c>
      <c r="O477" s="17">
        <f t="shared" si="49"/>
        <v>0</v>
      </c>
      <c r="P477" s="20"/>
    </row>
    <row r="478" spans="1:16" ht="21" x14ac:dyDescent="0.5">
      <c r="A478" s="17"/>
      <c r="B478" s="18">
        <v>46720</v>
      </c>
      <c r="C478" s="17" t="str">
        <f t="shared" si="44"/>
        <v>69.0 - day 1</v>
      </c>
      <c r="D478" s="17"/>
      <c r="E478" s="17">
        <f t="shared" si="47"/>
        <v>13436</v>
      </c>
      <c r="F478" s="17"/>
      <c r="G478" s="17"/>
      <c r="H478" s="17">
        <f t="shared" si="45"/>
        <v>13436</v>
      </c>
      <c r="I478" s="17"/>
      <c r="J478" s="17"/>
      <c r="K478" s="17"/>
      <c r="L478" s="17">
        <f t="shared" si="46"/>
        <v>0</v>
      </c>
      <c r="M478" s="17"/>
      <c r="N478" s="21">
        <f t="shared" si="48"/>
        <v>0</v>
      </c>
      <c r="O478" s="17">
        <f t="shared" si="49"/>
        <v>0</v>
      </c>
      <c r="P478" s="20"/>
    </row>
    <row r="479" spans="1:16" ht="21" x14ac:dyDescent="0.5">
      <c r="A479" s="17"/>
      <c r="B479" s="18">
        <v>46721</v>
      </c>
      <c r="C479" s="17" t="str">
        <f t="shared" si="44"/>
        <v>69.1 - day 2</v>
      </c>
      <c r="D479" s="17"/>
      <c r="E479" s="17">
        <f t="shared" si="47"/>
        <v>13436</v>
      </c>
      <c r="F479" s="17"/>
      <c r="G479" s="17"/>
      <c r="H479" s="17">
        <f t="shared" si="45"/>
        <v>13436</v>
      </c>
      <c r="I479" s="17"/>
      <c r="J479" s="17"/>
      <c r="K479" s="17"/>
      <c r="L479" s="17">
        <f t="shared" si="46"/>
        <v>0</v>
      </c>
      <c r="M479" s="17"/>
      <c r="N479" s="21">
        <f t="shared" si="48"/>
        <v>0</v>
      </c>
      <c r="O479" s="17">
        <f t="shared" si="49"/>
        <v>0</v>
      </c>
      <c r="P479" s="20"/>
    </row>
    <row r="480" spans="1:16" ht="21" x14ac:dyDescent="0.5">
      <c r="A480" s="17"/>
      <c r="B480" s="18">
        <v>46722</v>
      </c>
      <c r="C480" s="17" t="str">
        <f t="shared" si="44"/>
        <v>69.2 - day 3</v>
      </c>
      <c r="D480" s="17"/>
      <c r="E480" s="17">
        <f t="shared" si="47"/>
        <v>13436</v>
      </c>
      <c r="F480" s="17"/>
      <c r="G480" s="17"/>
      <c r="H480" s="17">
        <f t="shared" si="45"/>
        <v>13436</v>
      </c>
      <c r="I480" s="17"/>
      <c r="J480" s="17"/>
      <c r="K480" s="17"/>
      <c r="L480" s="17">
        <f t="shared" si="46"/>
        <v>0</v>
      </c>
      <c r="M480" s="17"/>
      <c r="N480" s="21">
        <f t="shared" si="48"/>
        <v>0</v>
      </c>
      <c r="O480" s="17">
        <f t="shared" si="49"/>
        <v>0</v>
      </c>
      <c r="P480" s="20"/>
    </row>
    <row r="481" spans="1:16" ht="21" x14ac:dyDescent="0.5">
      <c r="A481" s="17"/>
      <c r="B481" s="18">
        <v>46723</v>
      </c>
      <c r="C481" s="17" t="str">
        <f t="shared" si="44"/>
        <v>69.3 - day 4</v>
      </c>
      <c r="D481" s="17"/>
      <c r="E481" s="17">
        <f t="shared" si="47"/>
        <v>13436</v>
      </c>
      <c r="F481" s="17"/>
      <c r="G481" s="17"/>
      <c r="H481" s="17">
        <f t="shared" si="45"/>
        <v>13436</v>
      </c>
      <c r="I481" s="17"/>
      <c r="J481" s="17"/>
      <c r="K481" s="17"/>
      <c r="L481" s="17">
        <f t="shared" si="46"/>
        <v>0</v>
      </c>
      <c r="M481" s="17"/>
      <c r="N481" s="21">
        <f t="shared" si="48"/>
        <v>0</v>
      </c>
      <c r="O481" s="17">
        <f t="shared" si="49"/>
        <v>0</v>
      </c>
      <c r="P481" s="20"/>
    </row>
    <row r="482" spans="1:16" ht="21" x14ac:dyDescent="0.5">
      <c r="A482" s="17"/>
      <c r="B482" s="18">
        <v>46724</v>
      </c>
      <c r="C482" s="17" t="str">
        <f t="shared" si="44"/>
        <v>69.4 - day 5</v>
      </c>
      <c r="D482" s="17"/>
      <c r="E482" s="17">
        <f t="shared" si="47"/>
        <v>13436</v>
      </c>
      <c r="F482" s="17"/>
      <c r="G482" s="17"/>
      <c r="H482" s="17">
        <f t="shared" si="45"/>
        <v>13436</v>
      </c>
      <c r="I482" s="17"/>
      <c r="J482" s="17"/>
      <c r="K482" s="17"/>
      <c r="L482" s="17">
        <f t="shared" si="46"/>
        <v>0</v>
      </c>
      <c r="M482" s="17"/>
      <c r="N482" s="21">
        <f t="shared" si="48"/>
        <v>0</v>
      </c>
      <c r="O482" s="17">
        <f t="shared" si="49"/>
        <v>0</v>
      </c>
      <c r="P482" s="20"/>
    </row>
    <row r="483" spans="1:16" ht="21" x14ac:dyDescent="0.5">
      <c r="A483" s="17"/>
      <c r="B483" s="18">
        <v>46725</v>
      </c>
      <c r="C483" s="17" t="str">
        <f t="shared" si="44"/>
        <v>69.5 - day 6</v>
      </c>
      <c r="D483" s="17"/>
      <c r="E483" s="17">
        <f t="shared" si="47"/>
        <v>13436</v>
      </c>
      <c r="F483" s="17"/>
      <c r="G483" s="17"/>
      <c r="H483" s="17">
        <f t="shared" si="45"/>
        <v>13436</v>
      </c>
      <c r="I483" s="17"/>
      <c r="J483" s="17"/>
      <c r="K483" s="17"/>
      <c r="L483" s="17">
        <f t="shared" si="46"/>
        <v>0</v>
      </c>
      <c r="M483" s="17"/>
      <c r="N483" s="21">
        <f t="shared" si="48"/>
        <v>0</v>
      </c>
      <c r="O483" s="17">
        <f t="shared" si="49"/>
        <v>0</v>
      </c>
      <c r="P483" s="20"/>
    </row>
    <row r="484" spans="1:16" ht="21" x14ac:dyDescent="0.5">
      <c r="A484" s="17"/>
      <c r="B484" s="18">
        <v>46726</v>
      </c>
      <c r="C484" s="17" t="str">
        <f t="shared" si="44"/>
        <v>69.6 - day 7</v>
      </c>
      <c r="D484" s="17"/>
      <c r="E484" s="17">
        <f t="shared" si="47"/>
        <v>13436</v>
      </c>
      <c r="F484" s="17"/>
      <c r="G484" s="17"/>
      <c r="H484" s="17">
        <f t="shared" si="45"/>
        <v>13436</v>
      </c>
      <c r="I484" s="17"/>
      <c r="J484" s="17"/>
      <c r="K484" s="17"/>
      <c r="L484" s="17">
        <f t="shared" si="46"/>
        <v>0</v>
      </c>
      <c r="M484" s="17"/>
      <c r="N484" s="21">
        <f t="shared" si="48"/>
        <v>0</v>
      </c>
      <c r="O484" s="17">
        <f t="shared" si="49"/>
        <v>0</v>
      </c>
      <c r="P484" s="20"/>
    </row>
    <row r="485" spans="1:16" ht="21" x14ac:dyDescent="0.5">
      <c r="A485" s="17"/>
      <c r="B485" s="18">
        <v>46727</v>
      </c>
      <c r="C485" s="17" t="str">
        <f t="shared" si="44"/>
        <v>70.0 - day 1</v>
      </c>
      <c r="D485" s="17"/>
      <c r="E485" s="17">
        <f t="shared" si="47"/>
        <v>13436</v>
      </c>
      <c r="F485" s="17"/>
      <c r="G485" s="17"/>
      <c r="H485" s="17">
        <f t="shared" si="45"/>
        <v>13436</v>
      </c>
      <c r="I485" s="17"/>
      <c r="J485" s="17"/>
      <c r="K485" s="17"/>
      <c r="L485" s="17">
        <f t="shared" si="46"/>
        <v>0</v>
      </c>
      <c r="M485" s="17"/>
      <c r="N485" s="21">
        <f t="shared" si="48"/>
        <v>0</v>
      </c>
      <c r="O485" s="17">
        <f t="shared" si="49"/>
        <v>0</v>
      </c>
      <c r="P485" s="20"/>
    </row>
    <row r="486" spans="1:16" ht="21" x14ac:dyDescent="0.5">
      <c r="A486" s="17"/>
      <c r="B486" s="18">
        <v>46728</v>
      </c>
      <c r="C486" s="17" t="str">
        <f t="shared" si="44"/>
        <v>70.1 - day 2</v>
      </c>
      <c r="D486" s="17"/>
      <c r="E486" s="17">
        <f t="shared" si="47"/>
        <v>13436</v>
      </c>
      <c r="F486" s="17"/>
      <c r="G486" s="17"/>
      <c r="H486" s="17">
        <f t="shared" si="45"/>
        <v>13436</v>
      </c>
      <c r="I486" s="17"/>
      <c r="J486" s="17"/>
      <c r="K486" s="17"/>
      <c r="L486" s="17">
        <f t="shared" si="46"/>
        <v>0</v>
      </c>
      <c r="M486" s="17"/>
      <c r="N486" s="21">
        <f t="shared" si="48"/>
        <v>0</v>
      </c>
      <c r="O486" s="17">
        <f t="shared" si="49"/>
        <v>0</v>
      </c>
      <c r="P486" s="20"/>
    </row>
    <row r="487" spans="1:16" ht="21" x14ac:dyDescent="0.5">
      <c r="A487" s="17"/>
      <c r="B487" s="18">
        <v>46729</v>
      </c>
      <c r="C487" s="17" t="str">
        <f t="shared" si="44"/>
        <v>70.2 - day 3</v>
      </c>
      <c r="D487" s="17"/>
      <c r="E487" s="17">
        <f t="shared" si="47"/>
        <v>13436</v>
      </c>
      <c r="F487" s="17"/>
      <c r="G487" s="17"/>
      <c r="H487" s="17">
        <f t="shared" si="45"/>
        <v>13436</v>
      </c>
      <c r="I487" s="17"/>
      <c r="J487" s="17"/>
      <c r="K487" s="17"/>
      <c r="L487" s="17">
        <f t="shared" si="46"/>
        <v>0</v>
      </c>
      <c r="M487" s="17"/>
      <c r="N487" s="21">
        <f t="shared" si="48"/>
        <v>0</v>
      </c>
      <c r="O487" s="17">
        <f t="shared" si="49"/>
        <v>0</v>
      </c>
      <c r="P487" s="20"/>
    </row>
    <row r="488" spans="1:16" ht="21" x14ac:dyDescent="0.5">
      <c r="A488" s="17"/>
      <c r="B488" s="18">
        <v>46730</v>
      </c>
      <c r="C488" s="17" t="str">
        <f t="shared" si="44"/>
        <v>70.3 - day 4</v>
      </c>
      <c r="D488" s="17"/>
      <c r="E488" s="17">
        <f t="shared" si="47"/>
        <v>13436</v>
      </c>
      <c r="F488" s="17"/>
      <c r="G488" s="17"/>
      <c r="H488" s="17">
        <f t="shared" si="45"/>
        <v>13436</v>
      </c>
      <c r="I488" s="17"/>
      <c r="J488" s="17"/>
      <c r="K488" s="17"/>
      <c r="L488" s="17">
        <f t="shared" si="46"/>
        <v>0</v>
      </c>
      <c r="M488" s="17"/>
      <c r="N488" s="21">
        <f t="shared" si="48"/>
        <v>0</v>
      </c>
      <c r="O488" s="17">
        <f t="shared" si="49"/>
        <v>0</v>
      </c>
      <c r="P488" s="20"/>
    </row>
    <row r="489" spans="1:16" ht="21" x14ac:dyDescent="0.5">
      <c r="A489" s="17"/>
      <c r="B489" s="18">
        <v>46731</v>
      </c>
      <c r="C489" s="17" t="str">
        <f t="shared" si="44"/>
        <v>70.4 - day 5</v>
      </c>
      <c r="D489" s="17"/>
      <c r="E489" s="17">
        <f t="shared" si="47"/>
        <v>13436</v>
      </c>
      <c r="F489" s="17"/>
      <c r="G489" s="17"/>
      <c r="H489" s="17">
        <f t="shared" si="45"/>
        <v>13436</v>
      </c>
      <c r="I489" s="17"/>
      <c r="J489" s="17"/>
      <c r="K489" s="17"/>
      <c r="L489" s="17">
        <f t="shared" si="46"/>
        <v>0</v>
      </c>
      <c r="M489" s="17"/>
      <c r="N489" s="21">
        <f t="shared" si="48"/>
        <v>0</v>
      </c>
      <c r="O489" s="17">
        <f t="shared" si="49"/>
        <v>0</v>
      </c>
      <c r="P489" s="20"/>
    </row>
    <row r="490" spans="1:16" ht="21" x14ac:dyDescent="0.5">
      <c r="A490" s="17"/>
      <c r="B490" s="18">
        <v>46732</v>
      </c>
      <c r="C490" s="17" t="str">
        <f t="shared" si="44"/>
        <v>70.5 - day 6</v>
      </c>
      <c r="D490" s="17"/>
      <c r="E490" s="17">
        <f t="shared" si="47"/>
        <v>13436</v>
      </c>
      <c r="F490" s="17"/>
      <c r="G490" s="17"/>
      <c r="H490" s="17">
        <f t="shared" si="45"/>
        <v>13436</v>
      </c>
      <c r="I490" s="17"/>
      <c r="J490" s="17"/>
      <c r="K490" s="17"/>
      <c r="L490" s="17">
        <f t="shared" si="46"/>
        <v>0</v>
      </c>
      <c r="M490" s="17"/>
      <c r="N490" s="21">
        <f t="shared" si="48"/>
        <v>0</v>
      </c>
      <c r="O490" s="17">
        <f t="shared" si="49"/>
        <v>0</v>
      </c>
      <c r="P490" s="20"/>
    </row>
    <row r="491" spans="1:16" ht="21" x14ac:dyDescent="0.5">
      <c r="A491" s="17"/>
      <c r="B491" s="18">
        <v>46733</v>
      </c>
      <c r="C491" s="17" t="str">
        <f t="shared" si="44"/>
        <v>70.6 - day 7</v>
      </c>
      <c r="D491" s="17"/>
      <c r="E491" s="17">
        <f t="shared" si="47"/>
        <v>13436</v>
      </c>
      <c r="F491" s="17"/>
      <c r="G491" s="17"/>
      <c r="H491" s="17">
        <f t="shared" si="45"/>
        <v>13436</v>
      </c>
      <c r="I491" s="17"/>
      <c r="J491" s="17"/>
      <c r="K491" s="17"/>
      <c r="L491" s="17">
        <f t="shared" si="46"/>
        <v>0</v>
      </c>
      <c r="M491" s="17"/>
      <c r="N491" s="21">
        <f t="shared" si="48"/>
        <v>0</v>
      </c>
      <c r="O491" s="17">
        <f t="shared" si="49"/>
        <v>0</v>
      </c>
      <c r="P491" s="20"/>
    </row>
    <row r="492" spans="1:16" ht="21" x14ac:dyDescent="0.5">
      <c r="A492" s="17"/>
      <c r="B492" s="18">
        <v>46734</v>
      </c>
      <c r="C492" s="17" t="str">
        <f t="shared" si="44"/>
        <v>71.0 - day 1</v>
      </c>
      <c r="D492" s="17"/>
      <c r="E492" s="17">
        <f t="shared" si="47"/>
        <v>13436</v>
      </c>
      <c r="F492" s="17"/>
      <c r="G492" s="17"/>
      <c r="H492" s="17">
        <f t="shared" si="45"/>
        <v>13436</v>
      </c>
      <c r="I492" s="17"/>
      <c r="J492" s="17"/>
      <c r="K492" s="17"/>
      <c r="L492" s="17">
        <f t="shared" si="46"/>
        <v>0</v>
      </c>
      <c r="M492" s="17"/>
      <c r="N492" s="21">
        <f t="shared" si="48"/>
        <v>0</v>
      </c>
      <c r="O492" s="17">
        <f t="shared" si="49"/>
        <v>0</v>
      </c>
      <c r="P492" s="20"/>
    </row>
    <row r="493" spans="1:16" ht="21" x14ac:dyDescent="0.5">
      <c r="A493" s="17"/>
      <c r="B493" s="18">
        <v>46735</v>
      </c>
      <c r="C493" s="17" t="str">
        <f t="shared" si="44"/>
        <v>71.1 - day 2</v>
      </c>
      <c r="D493" s="17"/>
      <c r="E493" s="17">
        <f t="shared" si="47"/>
        <v>13436</v>
      </c>
      <c r="F493" s="17"/>
      <c r="G493" s="17"/>
      <c r="H493" s="17">
        <f t="shared" si="45"/>
        <v>13436</v>
      </c>
      <c r="I493" s="17"/>
      <c r="J493" s="17"/>
      <c r="K493" s="17"/>
      <c r="L493" s="17">
        <f t="shared" si="46"/>
        <v>0</v>
      </c>
      <c r="M493" s="17"/>
      <c r="N493" s="21">
        <f t="shared" si="48"/>
        <v>0</v>
      </c>
      <c r="O493" s="17">
        <f t="shared" si="49"/>
        <v>0</v>
      </c>
      <c r="P493" s="20"/>
    </row>
    <row r="494" spans="1:16" ht="21" x14ac:dyDescent="0.5">
      <c r="A494" s="17"/>
      <c r="B494" s="18">
        <v>46736</v>
      </c>
      <c r="C494" s="17" t="str">
        <f t="shared" si="44"/>
        <v>71.2 - day 3</v>
      </c>
      <c r="D494" s="17"/>
      <c r="E494" s="17">
        <f t="shared" si="47"/>
        <v>13436</v>
      </c>
      <c r="F494" s="17"/>
      <c r="G494" s="17"/>
      <c r="H494" s="17">
        <f t="shared" si="45"/>
        <v>13436</v>
      </c>
      <c r="I494" s="17"/>
      <c r="J494" s="17"/>
      <c r="K494" s="17"/>
      <c r="L494" s="17">
        <f t="shared" si="46"/>
        <v>0</v>
      </c>
      <c r="M494" s="17"/>
      <c r="N494" s="21">
        <f t="shared" si="48"/>
        <v>0</v>
      </c>
      <c r="O494" s="17">
        <f t="shared" si="49"/>
        <v>0</v>
      </c>
      <c r="P494" s="20"/>
    </row>
    <row r="495" spans="1:16" ht="21" x14ac:dyDescent="0.5">
      <c r="A495" s="17"/>
      <c r="B495" s="18">
        <v>46737</v>
      </c>
      <c r="C495" s="17" t="str">
        <f t="shared" si="44"/>
        <v>71.3 - day 4</v>
      </c>
      <c r="D495" s="17"/>
      <c r="E495" s="17">
        <f t="shared" si="47"/>
        <v>13436</v>
      </c>
      <c r="F495" s="17"/>
      <c r="G495" s="17"/>
      <c r="H495" s="17">
        <f t="shared" si="45"/>
        <v>13436</v>
      </c>
      <c r="I495" s="17"/>
      <c r="J495" s="17"/>
      <c r="K495" s="17"/>
      <c r="L495" s="17">
        <f t="shared" si="46"/>
        <v>0</v>
      </c>
      <c r="M495" s="17"/>
      <c r="N495" s="21">
        <f t="shared" si="48"/>
        <v>0</v>
      </c>
      <c r="O495" s="17">
        <f t="shared" si="49"/>
        <v>0</v>
      </c>
      <c r="P495" s="20"/>
    </row>
    <row r="496" spans="1:16" ht="21" x14ac:dyDescent="0.5">
      <c r="A496" s="17"/>
      <c r="B496" s="18">
        <v>46738</v>
      </c>
      <c r="C496" s="17" t="str">
        <f t="shared" si="44"/>
        <v>71.4 - day 5</v>
      </c>
      <c r="D496" s="17"/>
      <c r="E496" s="17">
        <f t="shared" si="47"/>
        <v>13436</v>
      </c>
      <c r="F496" s="17"/>
      <c r="G496" s="17"/>
      <c r="H496" s="17">
        <f t="shared" si="45"/>
        <v>13436</v>
      </c>
      <c r="I496" s="17"/>
      <c r="J496" s="17"/>
      <c r="K496" s="17"/>
      <c r="L496" s="17">
        <f t="shared" si="46"/>
        <v>0</v>
      </c>
      <c r="M496" s="17"/>
      <c r="N496" s="21">
        <f t="shared" si="48"/>
        <v>0</v>
      </c>
      <c r="O496" s="17">
        <f t="shared" si="49"/>
        <v>0</v>
      </c>
      <c r="P496" s="20"/>
    </row>
    <row r="497" spans="1:16" ht="21" x14ac:dyDescent="0.5">
      <c r="A497" s="17"/>
      <c r="B497" s="18">
        <v>46739</v>
      </c>
      <c r="C497" s="17" t="str">
        <f t="shared" si="44"/>
        <v>71.5 - day 6</v>
      </c>
      <c r="D497" s="17"/>
      <c r="E497" s="17">
        <f t="shared" si="47"/>
        <v>13436</v>
      </c>
      <c r="F497" s="17"/>
      <c r="G497" s="17"/>
      <c r="H497" s="17">
        <f t="shared" si="45"/>
        <v>13436</v>
      </c>
      <c r="I497" s="17"/>
      <c r="J497" s="17"/>
      <c r="K497" s="17"/>
      <c r="L497" s="17">
        <f t="shared" si="46"/>
        <v>0</v>
      </c>
      <c r="M497" s="17"/>
      <c r="N497" s="21">
        <f t="shared" si="48"/>
        <v>0</v>
      </c>
      <c r="O497" s="17">
        <f t="shared" si="49"/>
        <v>0</v>
      </c>
      <c r="P497" s="20"/>
    </row>
    <row r="498" spans="1:16" ht="21" x14ac:dyDescent="0.5">
      <c r="A498" s="17"/>
      <c r="B498" s="18">
        <v>46740</v>
      </c>
      <c r="C498" s="17" t="str">
        <f t="shared" si="44"/>
        <v>71.6 - day 7</v>
      </c>
      <c r="D498" s="17"/>
      <c r="E498" s="17">
        <f t="shared" si="47"/>
        <v>13436</v>
      </c>
      <c r="F498" s="17"/>
      <c r="G498" s="17"/>
      <c r="H498" s="17">
        <f t="shared" si="45"/>
        <v>13436</v>
      </c>
      <c r="I498" s="17"/>
      <c r="J498" s="17"/>
      <c r="K498" s="17"/>
      <c r="L498" s="17">
        <f t="shared" si="46"/>
        <v>0</v>
      </c>
      <c r="M498" s="17"/>
      <c r="N498" s="21">
        <f t="shared" si="48"/>
        <v>0</v>
      </c>
      <c r="O498" s="17">
        <f t="shared" si="49"/>
        <v>0</v>
      </c>
      <c r="P498" s="20"/>
    </row>
    <row r="499" spans="1:16" ht="21" x14ac:dyDescent="0.5">
      <c r="A499" s="17"/>
      <c r="B499" s="18">
        <v>46741</v>
      </c>
      <c r="C499" s="17" t="str">
        <f t="shared" si="44"/>
        <v>72.0 - day 1</v>
      </c>
      <c r="D499" s="17"/>
      <c r="E499" s="17">
        <f t="shared" si="47"/>
        <v>13436</v>
      </c>
      <c r="F499" s="17"/>
      <c r="G499" s="17"/>
      <c r="H499" s="17">
        <f t="shared" si="45"/>
        <v>13436</v>
      </c>
      <c r="I499" s="17"/>
      <c r="J499" s="17"/>
      <c r="K499" s="17"/>
      <c r="L499" s="17">
        <f t="shared" si="46"/>
        <v>0</v>
      </c>
      <c r="M499" s="17"/>
      <c r="N499" s="21">
        <f t="shared" si="48"/>
        <v>0</v>
      </c>
      <c r="O499" s="17">
        <f t="shared" si="49"/>
        <v>0</v>
      </c>
      <c r="P499" s="20"/>
    </row>
    <row r="500" spans="1:16" ht="21" x14ac:dyDescent="0.5">
      <c r="A500" s="17"/>
      <c r="B500" s="18">
        <v>46742</v>
      </c>
      <c r="C500" s="17" t="str">
        <f t="shared" si="44"/>
        <v>72.1 - day 2</v>
      </c>
      <c r="D500" s="17"/>
      <c r="E500" s="17">
        <f t="shared" si="47"/>
        <v>13436</v>
      </c>
      <c r="F500" s="17"/>
      <c r="G500" s="17"/>
      <c r="H500" s="17">
        <f t="shared" si="45"/>
        <v>13436</v>
      </c>
      <c r="I500" s="17"/>
      <c r="J500" s="17"/>
      <c r="K500" s="17"/>
      <c r="L500" s="17">
        <f t="shared" si="46"/>
        <v>0</v>
      </c>
      <c r="M500" s="17"/>
      <c r="N500" s="21">
        <f t="shared" si="48"/>
        <v>0</v>
      </c>
      <c r="O500" s="17">
        <f t="shared" si="49"/>
        <v>0</v>
      </c>
      <c r="P500" s="20"/>
    </row>
    <row r="501" spans="1:16" ht="21" x14ac:dyDescent="0.5">
      <c r="A501" s="17"/>
      <c r="B501" s="18">
        <v>46743</v>
      </c>
      <c r="C501" s="17" t="str">
        <f t="shared" si="44"/>
        <v>72.2 - day 3</v>
      </c>
      <c r="D501" s="17"/>
      <c r="E501" s="17">
        <f t="shared" si="47"/>
        <v>13436</v>
      </c>
      <c r="F501" s="17"/>
      <c r="G501" s="17"/>
      <c r="H501" s="17">
        <f t="shared" si="45"/>
        <v>13436</v>
      </c>
      <c r="I501" s="17"/>
      <c r="J501" s="17"/>
      <c r="K501" s="17"/>
      <c r="L501" s="17">
        <f t="shared" si="46"/>
        <v>0</v>
      </c>
      <c r="M501" s="17"/>
      <c r="N501" s="21">
        <f t="shared" si="48"/>
        <v>0</v>
      </c>
      <c r="O501" s="17">
        <f t="shared" si="49"/>
        <v>0</v>
      </c>
      <c r="P501" s="20"/>
    </row>
    <row r="502" spans="1:16" ht="21" x14ac:dyDescent="0.5">
      <c r="A502" s="17"/>
      <c r="B502" s="18">
        <v>46744</v>
      </c>
      <c r="C502" s="17" t="str">
        <f t="shared" si="44"/>
        <v>72.3 - day 4</v>
      </c>
      <c r="D502" s="17"/>
      <c r="E502" s="17">
        <f t="shared" si="47"/>
        <v>13436</v>
      </c>
      <c r="F502" s="17"/>
      <c r="G502" s="17"/>
      <c r="H502" s="17">
        <f t="shared" si="45"/>
        <v>13436</v>
      </c>
      <c r="I502" s="17"/>
      <c r="J502" s="17"/>
      <c r="K502" s="17"/>
      <c r="L502" s="17">
        <f t="shared" si="46"/>
        <v>0</v>
      </c>
      <c r="M502" s="17"/>
      <c r="N502" s="21">
        <f t="shared" si="48"/>
        <v>0</v>
      </c>
      <c r="O502" s="17">
        <f t="shared" si="49"/>
        <v>0</v>
      </c>
      <c r="P502" s="20"/>
    </row>
    <row r="503" spans="1:16" ht="21" x14ac:dyDescent="0.5">
      <c r="A503" s="17"/>
      <c r="B503" s="18">
        <v>46745</v>
      </c>
      <c r="C503" s="17" t="str">
        <f t="shared" si="44"/>
        <v>72.4 - day 5</v>
      </c>
      <c r="D503" s="17"/>
      <c r="E503" s="17">
        <f t="shared" si="47"/>
        <v>13436</v>
      </c>
      <c r="F503" s="17"/>
      <c r="G503" s="17"/>
      <c r="H503" s="17">
        <f t="shared" si="45"/>
        <v>13436</v>
      </c>
      <c r="I503" s="17"/>
      <c r="J503" s="17"/>
      <c r="K503" s="17"/>
      <c r="L503" s="17">
        <f t="shared" si="46"/>
        <v>0</v>
      </c>
      <c r="M503" s="17"/>
      <c r="N503" s="21">
        <f t="shared" si="48"/>
        <v>0</v>
      </c>
      <c r="O503" s="17">
        <f t="shared" si="49"/>
        <v>0</v>
      </c>
      <c r="P503" s="20"/>
    </row>
    <row r="504" spans="1:16" ht="21" x14ac:dyDescent="0.5">
      <c r="A504" s="17"/>
      <c r="B504" s="18">
        <v>46746</v>
      </c>
      <c r="C504" s="17" t="str">
        <f t="shared" si="44"/>
        <v>72.5 - day 6</v>
      </c>
      <c r="D504" s="17"/>
      <c r="E504" s="17">
        <f t="shared" si="47"/>
        <v>13436</v>
      </c>
      <c r="F504" s="17"/>
      <c r="G504" s="17"/>
      <c r="H504" s="17">
        <f t="shared" si="45"/>
        <v>13436</v>
      </c>
      <c r="I504" s="17"/>
      <c r="J504" s="17"/>
      <c r="K504" s="17"/>
      <c r="L504" s="17">
        <f t="shared" si="46"/>
        <v>0</v>
      </c>
      <c r="M504" s="17"/>
      <c r="N504" s="21">
        <f t="shared" si="48"/>
        <v>0</v>
      </c>
      <c r="O504" s="17">
        <f t="shared" si="49"/>
        <v>0</v>
      </c>
      <c r="P504" s="20"/>
    </row>
    <row r="505" spans="1:16" ht="21" x14ac:dyDescent="0.5">
      <c r="A505" s="17"/>
      <c r="B505" s="18">
        <v>46747</v>
      </c>
      <c r="C505" s="17" t="str">
        <f t="shared" si="44"/>
        <v>72.6 - day 7</v>
      </c>
      <c r="D505" s="17"/>
      <c r="E505" s="17">
        <f t="shared" si="47"/>
        <v>13436</v>
      </c>
      <c r="F505" s="17"/>
      <c r="G505" s="17"/>
      <c r="H505" s="17">
        <f t="shared" si="45"/>
        <v>13436</v>
      </c>
      <c r="I505" s="17"/>
      <c r="J505" s="17"/>
      <c r="K505" s="17"/>
      <c r="L505" s="17">
        <f t="shared" si="46"/>
        <v>0</v>
      </c>
      <c r="M505" s="17"/>
      <c r="N505" s="21">
        <f t="shared" si="48"/>
        <v>0</v>
      </c>
      <c r="O505" s="17">
        <f t="shared" si="49"/>
        <v>0</v>
      </c>
      <c r="P505" s="20"/>
    </row>
    <row r="506" spans="1:16" ht="21" x14ac:dyDescent="0.5">
      <c r="A506" s="17"/>
      <c r="B506" s="18">
        <v>46748</v>
      </c>
      <c r="C506" s="17" t="str">
        <f t="shared" si="44"/>
        <v>73.0 - day 1</v>
      </c>
      <c r="D506" s="17"/>
      <c r="E506" s="17">
        <f t="shared" si="47"/>
        <v>13436</v>
      </c>
      <c r="F506" s="17"/>
      <c r="G506" s="17"/>
      <c r="H506" s="17">
        <f t="shared" si="45"/>
        <v>13436</v>
      </c>
      <c r="I506" s="17"/>
      <c r="J506" s="17"/>
      <c r="K506" s="17"/>
      <c r="L506" s="17">
        <f t="shared" si="46"/>
        <v>0</v>
      </c>
      <c r="M506" s="17"/>
      <c r="N506" s="21">
        <f t="shared" si="48"/>
        <v>0</v>
      </c>
      <c r="O506" s="17">
        <f t="shared" si="49"/>
        <v>0</v>
      </c>
      <c r="P506" s="20"/>
    </row>
    <row r="507" spans="1:16" ht="21" x14ac:dyDescent="0.5">
      <c r="A507" s="17"/>
      <c r="B507" s="18">
        <v>46749</v>
      </c>
      <c r="C507" s="17" t="str">
        <f t="shared" si="44"/>
        <v>73.1 - day 2</v>
      </c>
      <c r="D507" s="17"/>
      <c r="E507" s="17">
        <f t="shared" si="47"/>
        <v>13436</v>
      </c>
      <c r="F507" s="17"/>
      <c r="G507" s="17"/>
      <c r="H507" s="17">
        <f t="shared" si="45"/>
        <v>13436</v>
      </c>
      <c r="I507" s="17"/>
      <c r="J507" s="17"/>
      <c r="K507" s="17"/>
      <c r="L507" s="17">
        <f t="shared" si="46"/>
        <v>0</v>
      </c>
      <c r="M507" s="17"/>
      <c r="N507" s="21">
        <f t="shared" si="48"/>
        <v>0</v>
      </c>
      <c r="O507" s="17">
        <f t="shared" si="49"/>
        <v>0</v>
      </c>
      <c r="P507" s="20"/>
    </row>
    <row r="508" spans="1:16" ht="21" x14ac:dyDescent="0.5">
      <c r="A508" s="17"/>
      <c r="B508" s="18">
        <v>46750</v>
      </c>
      <c r="C508" s="17" t="str">
        <f t="shared" si="44"/>
        <v>73.2 - day 3</v>
      </c>
      <c r="D508" s="17"/>
      <c r="E508" s="17">
        <f t="shared" si="47"/>
        <v>13436</v>
      </c>
      <c r="F508" s="17"/>
      <c r="G508" s="17"/>
      <c r="H508" s="17">
        <f t="shared" si="45"/>
        <v>13436</v>
      </c>
      <c r="I508" s="17"/>
      <c r="J508" s="17"/>
      <c r="K508" s="17"/>
      <c r="L508" s="17">
        <f t="shared" si="46"/>
        <v>0</v>
      </c>
      <c r="M508" s="17"/>
      <c r="N508" s="21">
        <f t="shared" si="48"/>
        <v>0</v>
      </c>
      <c r="O508" s="17">
        <f t="shared" si="49"/>
        <v>0</v>
      </c>
      <c r="P508" s="20"/>
    </row>
    <row r="509" spans="1:16" ht="21" x14ac:dyDescent="0.5">
      <c r="A509" s="17"/>
      <c r="B509" s="18">
        <v>46751</v>
      </c>
      <c r="C509" s="17" t="str">
        <f t="shared" si="44"/>
        <v>73.3 - day 4</v>
      </c>
      <c r="D509" s="17"/>
      <c r="E509" s="17">
        <f t="shared" si="47"/>
        <v>13436</v>
      </c>
      <c r="F509" s="17"/>
      <c r="G509" s="17"/>
      <c r="H509" s="17">
        <f t="shared" si="45"/>
        <v>13436</v>
      </c>
      <c r="I509" s="17"/>
      <c r="J509" s="17"/>
      <c r="K509" s="17"/>
      <c r="L509" s="17">
        <f t="shared" si="46"/>
        <v>0</v>
      </c>
      <c r="M509" s="17"/>
      <c r="N509" s="21">
        <f t="shared" si="48"/>
        <v>0</v>
      </c>
      <c r="O509" s="17">
        <f t="shared" si="49"/>
        <v>0</v>
      </c>
      <c r="P509" s="20"/>
    </row>
    <row r="510" spans="1:16" ht="21" x14ac:dyDescent="0.5">
      <c r="A510" s="17"/>
      <c r="B510" s="18">
        <v>46752</v>
      </c>
      <c r="C510" s="17" t="str">
        <f t="shared" si="44"/>
        <v>73.4 - day 5</v>
      </c>
      <c r="D510" s="17"/>
      <c r="E510" s="17">
        <f t="shared" si="47"/>
        <v>13436</v>
      </c>
      <c r="F510" s="17"/>
      <c r="G510" s="17"/>
      <c r="H510" s="17">
        <f t="shared" si="45"/>
        <v>13436</v>
      </c>
      <c r="I510" s="17"/>
      <c r="J510" s="17"/>
      <c r="K510" s="17"/>
      <c r="L510" s="17">
        <f t="shared" si="46"/>
        <v>0</v>
      </c>
      <c r="M510" s="17"/>
      <c r="N510" s="21">
        <f t="shared" si="48"/>
        <v>0</v>
      </c>
      <c r="O510" s="17">
        <f t="shared" si="49"/>
        <v>0</v>
      </c>
      <c r="P510" s="20"/>
    </row>
    <row r="511" spans="1:16" ht="21" x14ac:dyDescent="0.5">
      <c r="A511" s="17"/>
      <c r="B511" s="18">
        <v>46753</v>
      </c>
      <c r="C511" s="17" t="str">
        <f t="shared" si="44"/>
        <v>73.5 - day 6</v>
      </c>
      <c r="D511" s="17"/>
      <c r="E511" s="17">
        <f t="shared" si="47"/>
        <v>13436</v>
      </c>
      <c r="F511" s="17"/>
      <c r="G511" s="17"/>
      <c r="H511" s="17">
        <f t="shared" si="45"/>
        <v>13436</v>
      </c>
      <c r="I511" s="17"/>
      <c r="J511" s="17"/>
      <c r="K511" s="17"/>
      <c r="L511" s="17">
        <f t="shared" si="46"/>
        <v>0</v>
      </c>
      <c r="M511" s="17"/>
      <c r="N511" s="21">
        <f t="shared" si="48"/>
        <v>0</v>
      </c>
      <c r="O511" s="17">
        <f t="shared" si="49"/>
        <v>0</v>
      </c>
      <c r="P511" s="20"/>
    </row>
    <row r="512" spans="1:16" ht="21" x14ac:dyDescent="0.5">
      <c r="A512" s="17"/>
      <c r="B512" s="18">
        <v>46754</v>
      </c>
      <c r="C512" s="17" t="str">
        <f t="shared" si="44"/>
        <v>73.6 - day 7</v>
      </c>
      <c r="D512" s="17"/>
      <c r="E512" s="17">
        <f t="shared" si="47"/>
        <v>13436</v>
      </c>
      <c r="F512" s="17"/>
      <c r="G512" s="17"/>
      <c r="H512" s="17">
        <f t="shared" si="45"/>
        <v>13436</v>
      </c>
      <c r="I512" s="17"/>
      <c r="J512" s="17"/>
      <c r="K512" s="17"/>
      <c r="L512" s="17">
        <f t="shared" si="46"/>
        <v>0</v>
      </c>
      <c r="M512" s="17"/>
      <c r="N512" s="21">
        <f t="shared" si="48"/>
        <v>0</v>
      </c>
      <c r="O512" s="17">
        <f t="shared" si="49"/>
        <v>0</v>
      </c>
      <c r="P512" s="20"/>
    </row>
    <row r="513" spans="1:16" ht="21" x14ac:dyDescent="0.5">
      <c r="A513" s="17"/>
      <c r="B513" s="18">
        <v>46755</v>
      </c>
      <c r="C513" s="17" t="str">
        <f t="shared" si="44"/>
        <v>74.0 - day 1</v>
      </c>
      <c r="D513" s="17"/>
      <c r="E513" s="17">
        <f t="shared" si="47"/>
        <v>13436</v>
      </c>
      <c r="F513" s="17"/>
      <c r="G513" s="17"/>
      <c r="H513" s="17">
        <f t="shared" si="45"/>
        <v>13436</v>
      </c>
      <c r="I513" s="17"/>
      <c r="J513" s="17"/>
      <c r="K513" s="17"/>
      <c r="L513" s="17">
        <f t="shared" si="46"/>
        <v>0</v>
      </c>
      <c r="M513" s="17"/>
      <c r="N513" s="21">
        <f t="shared" si="48"/>
        <v>0</v>
      </c>
      <c r="O513" s="17">
        <f t="shared" si="49"/>
        <v>0</v>
      </c>
      <c r="P513" s="20"/>
    </row>
    <row r="514" spans="1:16" ht="21" x14ac:dyDescent="0.5">
      <c r="A514" s="17"/>
      <c r="B514" s="18">
        <v>46756</v>
      </c>
      <c r="C514" s="17" t="str">
        <f t="shared" si="44"/>
        <v>74.1 - day 2</v>
      </c>
      <c r="D514" s="17"/>
      <c r="E514" s="17">
        <f t="shared" si="47"/>
        <v>13436</v>
      </c>
      <c r="F514" s="17"/>
      <c r="G514" s="17"/>
      <c r="H514" s="17">
        <f t="shared" si="45"/>
        <v>13436</v>
      </c>
      <c r="I514" s="17"/>
      <c r="J514" s="17"/>
      <c r="K514" s="17"/>
      <c r="L514" s="17">
        <f t="shared" si="46"/>
        <v>0</v>
      </c>
      <c r="M514" s="17"/>
      <c r="N514" s="21">
        <f t="shared" si="48"/>
        <v>0</v>
      </c>
      <c r="O514" s="17">
        <f t="shared" si="49"/>
        <v>0</v>
      </c>
      <c r="P514" s="20"/>
    </row>
    <row r="515" spans="1:16" ht="21" x14ac:dyDescent="0.5">
      <c r="A515" s="17"/>
      <c r="B515" s="18">
        <v>46757</v>
      </c>
      <c r="C515" s="17" t="str">
        <f t="shared" si="44"/>
        <v>74.2 - day 3</v>
      </c>
      <c r="D515" s="17"/>
      <c r="E515" s="17">
        <f t="shared" si="47"/>
        <v>13436</v>
      </c>
      <c r="F515" s="17"/>
      <c r="G515" s="17"/>
      <c r="H515" s="17">
        <f t="shared" si="45"/>
        <v>13436</v>
      </c>
      <c r="I515" s="17"/>
      <c r="J515" s="17"/>
      <c r="K515" s="17"/>
      <c r="L515" s="17">
        <f t="shared" si="46"/>
        <v>0</v>
      </c>
      <c r="M515" s="17"/>
      <c r="N515" s="21">
        <f t="shared" si="48"/>
        <v>0</v>
      </c>
      <c r="O515" s="17">
        <f t="shared" si="49"/>
        <v>0</v>
      </c>
      <c r="P515" s="20"/>
    </row>
    <row r="516" spans="1:16" ht="21" x14ac:dyDescent="0.5">
      <c r="A516" s="17"/>
      <c r="B516" s="18">
        <v>46758</v>
      </c>
      <c r="C516" s="17" t="str">
        <f t="shared" ref="C516:C579" si="50">(QUOTIENT(ROW()-2,7)+1)&amp;"."&amp;MOD(ROW()-2,7)&amp;" - day "&amp;(MOD(ROW()-2,7)+1)</f>
        <v>74.3 - day 4</v>
      </c>
      <c r="D516" s="17"/>
      <c r="E516" s="17">
        <f t="shared" si="47"/>
        <v>13436</v>
      </c>
      <c r="F516" s="17"/>
      <c r="G516" s="17"/>
      <c r="H516" s="17">
        <f t="shared" ref="H516:H579" si="51">SUM(E516-F516-G516)</f>
        <v>13436</v>
      </c>
      <c r="I516" s="17"/>
      <c r="J516" s="17"/>
      <c r="K516" s="17"/>
      <c r="L516" s="17">
        <f t="shared" ref="L516:L579" si="52">SUM(J516+K516)/H516*100</f>
        <v>0</v>
      </c>
      <c r="M516" s="17"/>
      <c r="N516" s="21">
        <f t="shared" si="48"/>
        <v>0</v>
      </c>
      <c r="O516" s="17">
        <f t="shared" si="49"/>
        <v>0</v>
      </c>
      <c r="P516" s="20"/>
    </row>
    <row r="517" spans="1:16" ht="21" x14ac:dyDescent="0.5">
      <c r="A517" s="17"/>
      <c r="B517" s="18">
        <v>46759</v>
      </c>
      <c r="C517" s="17" t="str">
        <f t="shared" si="50"/>
        <v>74.4 - day 5</v>
      </c>
      <c r="D517" s="17"/>
      <c r="E517" s="17">
        <f t="shared" si="47"/>
        <v>13436</v>
      </c>
      <c r="F517" s="17"/>
      <c r="G517" s="17"/>
      <c r="H517" s="17">
        <f t="shared" si="51"/>
        <v>13436</v>
      </c>
      <c r="I517" s="17"/>
      <c r="J517" s="17"/>
      <c r="K517" s="17"/>
      <c r="L517" s="17">
        <f t="shared" si="52"/>
        <v>0</v>
      </c>
      <c r="M517" s="17"/>
      <c r="N517" s="21">
        <f t="shared" si="48"/>
        <v>0</v>
      </c>
      <c r="O517" s="17">
        <f t="shared" si="49"/>
        <v>0</v>
      </c>
      <c r="P517" s="20"/>
    </row>
    <row r="518" spans="1:16" ht="21" x14ac:dyDescent="0.5">
      <c r="A518" s="17"/>
      <c r="B518" s="18">
        <v>46760</v>
      </c>
      <c r="C518" s="17" t="str">
        <f t="shared" si="50"/>
        <v>74.5 - day 6</v>
      </c>
      <c r="D518" s="17"/>
      <c r="E518" s="17">
        <f t="shared" ref="E518:E581" si="53">H517</f>
        <v>13436</v>
      </c>
      <c r="F518" s="17"/>
      <c r="G518" s="17"/>
      <c r="H518" s="17">
        <f t="shared" si="51"/>
        <v>13436</v>
      </c>
      <c r="I518" s="17"/>
      <c r="J518" s="17"/>
      <c r="K518" s="17"/>
      <c r="L518" s="17">
        <f t="shared" si="52"/>
        <v>0</v>
      </c>
      <c r="M518" s="17"/>
      <c r="N518" s="21">
        <f t="shared" si="48"/>
        <v>0</v>
      </c>
      <c r="O518" s="17">
        <f t="shared" si="49"/>
        <v>0</v>
      </c>
      <c r="P518" s="20"/>
    </row>
    <row r="519" spans="1:16" ht="21" x14ac:dyDescent="0.5">
      <c r="A519" s="17"/>
      <c r="B519" s="18">
        <v>46761</v>
      </c>
      <c r="C519" s="17" t="str">
        <f t="shared" si="50"/>
        <v>74.6 - day 7</v>
      </c>
      <c r="D519" s="17"/>
      <c r="E519" s="17">
        <f t="shared" si="53"/>
        <v>13436</v>
      </c>
      <c r="F519" s="17"/>
      <c r="G519" s="17"/>
      <c r="H519" s="17">
        <f t="shared" si="51"/>
        <v>13436</v>
      </c>
      <c r="I519" s="17"/>
      <c r="J519" s="17"/>
      <c r="K519" s="17"/>
      <c r="L519" s="17">
        <f t="shared" si="52"/>
        <v>0</v>
      </c>
      <c r="M519" s="17"/>
      <c r="N519" s="21">
        <f t="shared" si="48"/>
        <v>0</v>
      </c>
      <c r="O519" s="17">
        <f t="shared" si="49"/>
        <v>0</v>
      </c>
      <c r="P519" s="20"/>
    </row>
    <row r="520" spans="1:16" ht="21" x14ac:dyDescent="0.5">
      <c r="A520" s="17"/>
      <c r="B520" s="18">
        <v>46762</v>
      </c>
      <c r="C520" s="17" t="str">
        <f t="shared" si="50"/>
        <v>75.0 - day 1</v>
      </c>
      <c r="D520" s="17"/>
      <c r="E520" s="17">
        <f t="shared" si="53"/>
        <v>13436</v>
      </c>
      <c r="F520" s="17"/>
      <c r="G520" s="17"/>
      <c r="H520" s="17">
        <f t="shared" si="51"/>
        <v>13436</v>
      </c>
      <c r="I520" s="17"/>
      <c r="J520" s="17"/>
      <c r="K520" s="17"/>
      <c r="L520" s="17">
        <f t="shared" si="52"/>
        <v>0</v>
      </c>
      <c r="M520" s="17"/>
      <c r="N520" s="21">
        <f t="shared" si="48"/>
        <v>0</v>
      </c>
      <c r="O520" s="17">
        <f t="shared" si="49"/>
        <v>0</v>
      </c>
      <c r="P520" s="20"/>
    </row>
    <row r="521" spans="1:16" ht="21" x14ac:dyDescent="0.5">
      <c r="A521" s="17"/>
      <c r="B521" s="18">
        <v>46763</v>
      </c>
      <c r="C521" s="17" t="str">
        <f t="shared" si="50"/>
        <v>75.1 - day 2</v>
      </c>
      <c r="D521" s="17"/>
      <c r="E521" s="17">
        <f t="shared" si="53"/>
        <v>13436</v>
      </c>
      <c r="F521" s="17"/>
      <c r="G521" s="17"/>
      <c r="H521" s="17">
        <f t="shared" si="51"/>
        <v>13436</v>
      </c>
      <c r="I521" s="17"/>
      <c r="J521" s="17"/>
      <c r="K521" s="17"/>
      <c r="L521" s="17">
        <f t="shared" si="52"/>
        <v>0</v>
      </c>
      <c r="M521" s="17"/>
      <c r="N521" s="21">
        <f t="shared" si="48"/>
        <v>0</v>
      </c>
      <c r="O521" s="17">
        <f t="shared" si="49"/>
        <v>0</v>
      </c>
      <c r="P521" s="20"/>
    </row>
    <row r="522" spans="1:16" ht="21" x14ac:dyDescent="0.5">
      <c r="A522" s="17"/>
      <c r="B522" s="18">
        <v>46764</v>
      </c>
      <c r="C522" s="17" t="str">
        <f t="shared" si="50"/>
        <v>75.2 - day 3</v>
      </c>
      <c r="D522" s="17"/>
      <c r="E522" s="17">
        <f t="shared" si="53"/>
        <v>13436</v>
      </c>
      <c r="F522" s="17"/>
      <c r="G522" s="17"/>
      <c r="H522" s="17">
        <f t="shared" si="51"/>
        <v>13436</v>
      </c>
      <c r="I522" s="17"/>
      <c r="J522" s="17"/>
      <c r="K522" s="17"/>
      <c r="L522" s="17">
        <f t="shared" si="52"/>
        <v>0</v>
      </c>
      <c r="M522" s="17"/>
      <c r="N522" s="21">
        <f t="shared" si="48"/>
        <v>0</v>
      </c>
      <c r="O522" s="17">
        <f t="shared" si="49"/>
        <v>0</v>
      </c>
      <c r="P522" s="20"/>
    </row>
    <row r="523" spans="1:16" ht="21" x14ac:dyDescent="0.5">
      <c r="A523" s="17"/>
      <c r="B523" s="18">
        <v>46765</v>
      </c>
      <c r="C523" s="17" t="str">
        <f t="shared" si="50"/>
        <v>75.3 - day 4</v>
      </c>
      <c r="D523" s="17"/>
      <c r="E523" s="17">
        <f t="shared" si="53"/>
        <v>13436</v>
      </c>
      <c r="F523" s="17"/>
      <c r="G523" s="17"/>
      <c r="H523" s="17">
        <f t="shared" si="51"/>
        <v>13436</v>
      </c>
      <c r="I523" s="17"/>
      <c r="J523" s="17"/>
      <c r="K523" s="17"/>
      <c r="L523" s="17">
        <f t="shared" si="52"/>
        <v>0</v>
      </c>
      <c r="M523" s="17"/>
      <c r="N523" s="21">
        <f t="shared" si="48"/>
        <v>0</v>
      </c>
      <c r="O523" s="17">
        <f t="shared" si="49"/>
        <v>0</v>
      </c>
      <c r="P523" s="20"/>
    </row>
    <row r="524" spans="1:16" ht="21" x14ac:dyDescent="0.5">
      <c r="A524" s="17"/>
      <c r="B524" s="18">
        <v>46766</v>
      </c>
      <c r="C524" s="17" t="str">
        <f t="shared" si="50"/>
        <v>75.4 - day 5</v>
      </c>
      <c r="D524" s="17"/>
      <c r="E524" s="17">
        <f t="shared" si="53"/>
        <v>13436</v>
      </c>
      <c r="F524" s="17"/>
      <c r="G524" s="17"/>
      <c r="H524" s="17">
        <f t="shared" si="51"/>
        <v>13436</v>
      </c>
      <c r="I524" s="17"/>
      <c r="J524" s="17"/>
      <c r="K524" s="17"/>
      <c r="L524" s="17">
        <f t="shared" si="52"/>
        <v>0</v>
      </c>
      <c r="M524" s="17"/>
      <c r="N524" s="21">
        <f t="shared" si="48"/>
        <v>0</v>
      </c>
      <c r="O524" s="17">
        <f t="shared" si="49"/>
        <v>0</v>
      </c>
      <c r="P524" s="20"/>
    </row>
    <row r="525" spans="1:16" ht="21" x14ac:dyDescent="0.5">
      <c r="A525" s="17"/>
      <c r="B525" s="18">
        <v>46767</v>
      </c>
      <c r="C525" s="17" t="str">
        <f t="shared" si="50"/>
        <v>75.5 - day 6</v>
      </c>
      <c r="D525" s="17"/>
      <c r="E525" s="17">
        <f t="shared" si="53"/>
        <v>13436</v>
      </c>
      <c r="F525" s="17"/>
      <c r="G525" s="17"/>
      <c r="H525" s="17">
        <f t="shared" si="51"/>
        <v>13436</v>
      </c>
      <c r="I525" s="17"/>
      <c r="J525" s="17"/>
      <c r="K525" s="17"/>
      <c r="L525" s="17">
        <f t="shared" si="52"/>
        <v>0</v>
      </c>
      <c r="M525" s="17"/>
      <c r="N525" s="21">
        <f t="shared" si="48"/>
        <v>0</v>
      </c>
      <c r="O525" s="17">
        <f t="shared" si="49"/>
        <v>0</v>
      </c>
      <c r="P525" s="20"/>
    </row>
    <row r="526" spans="1:16" ht="21" x14ac:dyDescent="0.5">
      <c r="A526" s="17"/>
      <c r="B526" s="18">
        <v>46768</v>
      </c>
      <c r="C526" s="17" t="str">
        <f t="shared" si="50"/>
        <v>75.6 - day 7</v>
      </c>
      <c r="D526" s="17"/>
      <c r="E526" s="17">
        <f t="shared" si="53"/>
        <v>13436</v>
      </c>
      <c r="F526" s="17"/>
      <c r="G526" s="17"/>
      <c r="H526" s="17">
        <f t="shared" si="51"/>
        <v>13436</v>
      </c>
      <c r="I526" s="17"/>
      <c r="J526" s="17"/>
      <c r="K526" s="17"/>
      <c r="L526" s="17">
        <f t="shared" si="52"/>
        <v>0</v>
      </c>
      <c r="M526" s="17"/>
      <c r="N526" s="21">
        <f t="shared" si="48"/>
        <v>0</v>
      </c>
      <c r="O526" s="17">
        <f t="shared" si="49"/>
        <v>0</v>
      </c>
      <c r="P526" s="20"/>
    </row>
    <row r="527" spans="1:16" ht="21" x14ac:dyDescent="0.5">
      <c r="A527" s="17"/>
      <c r="B527" s="18">
        <v>46769</v>
      </c>
      <c r="C527" s="17" t="str">
        <f t="shared" si="50"/>
        <v>76.0 - day 1</v>
      </c>
      <c r="D527" s="17"/>
      <c r="E527" s="17">
        <f t="shared" si="53"/>
        <v>13436</v>
      </c>
      <c r="F527" s="17"/>
      <c r="G527" s="17"/>
      <c r="H527" s="17">
        <f t="shared" si="51"/>
        <v>13436</v>
      </c>
      <c r="I527" s="17"/>
      <c r="J527" s="17"/>
      <c r="K527" s="17"/>
      <c r="L527" s="17">
        <f t="shared" si="52"/>
        <v>0</v>
      </c>
      <c r="M527" s="17"/>
      <c r="N527" s="21">
        <f t="shared" si="48"/>
        <v>0</v>
      </c>
      <c r="O527" s="17">
        <f t="shared" si="49"/>
        <v>0</v>
      </c>
      <c r="P527" s="20"/>
    </row>
    <row r="528" spans="1:16" ht="21" x14ac:dyDescent="0.5">
      <c r="A528" s="17"/>
      <c r="B528" s="18">
        <v>46770</v>
      </c>
      <c r="C528" s="17" t="str">
        <f t="shared" si="50"/>
        <v>76.1 - day 2</v>
      </c>
      <c r="D528" s="17"/>
      <c r="E528" s="17">
        <f t="shared" si="53"/>
        <v>13436</v>
      </c>
      <c r="F528" s="17"/>
      <c r="G528" s="17"/>
      <c r="H528" s="17">
        <f t="shared" si="51"/>
        <v>13436</v>
      </c>
      <c r="I528" s="17"/>
      <c r="J528" s="17"/>
      <c r="K528" s="17"/>
      <c r="L528" s="17">
        <f t="shared" si="52"/>
        <v>0</v>
      </c>
      <c r="M528" s="17"/>
      <c r="N528" s="21">
        <f t="shared" si="48"/>
        <v>0</v>
      </c>
      <c r="O528" s="17">
        <f t="shared" si="49"/>
        <v>0</v>
      </c>
      <c r="P528" s="20"/>
    </row>
    <row r="529" spans="1:16" ht="21" x14ac:dyDescent="0.5">
      <c r="A529" s="17"/>
      <c r="B529" s="18">
        <v>46771</v>
      </c>
      <c r="C529" s="17" t="str">
        <f t="shared" si="50"/>
        <v>76.2 - day 3</v>
      </c>
      <c r="D529" s="17"/>
      <c r="E529" s="17">
        <f t="shared" si="53"/>
        <v>13436</v>
      </c>
      <c r="F529" s="17"/>
      <c r="G529" s="17"/>
      <c r="H529" s="17">
        <f t="shared" si="51"/>
        <v>13436</v>
      </c>
      <c r="I529" s="17"/>
      <c r="J529" s="17"/>
      <c r="K529" s="17"/>
      <c r="L529" s="17">
        <f t="shared" si="52"/>
        <v>0</v>
      </c>
      <c r="M529" s="17"/>
      <c r="N529" s="21">
        <f t="shared" si="48"/>
        <v>0</v>
      </c>
      <c r="O529" s="17">
        <f t="shared" si="49"/>
        <v>0</v>
      </c>
      <c r="P529" s="20"/>
    </row>
    <row r="530" spans="1:16" ht="21" x14ac:dyDescent="0.5">
      <c r="A530" s="17"/>
      <c r="B530" s="18">
        <v>46772</v>
      </c>
      <c r="C530" s="17" t="str">
        <f t="shared" si="50"/>
        <v>76.3 - day 4</v>
      </c>
      <c r="D530" s="17"/>
      <c r="E530" s="17">
        <f t="shared" si="53"/>
        <v>13436</v>
      </c>
      <c r="F530" s="17"/>
      <c r="G530" s="17"/>
      <c r="H530" s="17">
        <f t="shared" si="51"/>
        <v>13436</v>
      </c>
      <c r="I530" s="17"/>
      <c r="J530" s="17"/>
      <c r="K530" s="17"/>
      <c r="L530" s="17">
        <f t="shared" si="52"/>
        <v>0</v>
      </c>
      <c r="M530" s="17"/>
      <c r="N530" s="21">
        <f t="shared" si="48"/>
        <v>0</v>
      </c>
      <c r="O530" s="17">
        <f t="shared" si="49"/>
        <v>0</v>
      </c>
      <c r="P530" s="20"/>
    </row>
    <row r="531" spans="1:16" ht="21" x14ac:dyDescent="0.5">
      <c r="A531" s="17"/>
      <c r="B531" s="18">
        <v>46773</v>
      </c>
      <c r="C531" s="17" t="str">
        <f t="shared" si="50"/>
        <v>76.4 - day 5</v>
      </c>
      <c r="D531" s="17"/>
      <c r="E531" s="17">
        <f t="shared" si="53"/>
        <v>13436</v>
      </c>
      <c r="F531" s="17"/>
      <c r="G531" s="17"/>
      <c r="H531" s="17">
        <f t="shared" si="51"/>
        <v>13436</v>
      </c>
      <c r="I531" s="17"/>
      <c r="J531" s="17"/>
      <c r="K531" s="17"/>
      <c r="L531" s="17">
        <f t="shared" si="52"/>
        <v>0</v>
      </c>
      <c r="M531" s="17"/>
      <c r="N531" s="21">
        <f t="shared" si="48"/>
        <v>0</v>
      </c>
      <c r="O531" s="17">
        <f t="shared" si="49"/>
        <v>0</v>
      </c>
      <c r="P531" s="20"/>
    </row>
    <row r="532" spans="1:16" ht="21" x14ac:dyDescent="0.5">
      <c r="A532" s="17"/>
      <c r="B532" s="18">
        <v>46774</v>
      </c>
      <c r="C532" s="17" t="str">
        <f t="shared" si="50"/>
        <v>76.5 - day 6</v>
      </c>
      <c r="D532" s="17"/>
      <c r="E532" s="17">
        <f t="shared" si="53"/>
        <v>13436</v>
      </c>
      <c r="F532" s="17"/>
      <c r="G532" s="17"/>
      <c r="H532" s="17">
        <f t="shared" si="51"/>
        <v>13436</v>
      </c>
      <c r="I532" s="17"/>
      <c r="J532" s="17"/>
      <c r="K532" s="17"/>
      <c r="L532" s="17">
        <f t="shared" si="52"/>
        <v>0</v>
      </c>
      <c r="M532" s="17"/>
      <c r="N532" s="21">
        <f t="shared" si="48"/>
        <v>0</v>
      </c>
      <c r="O532" s="17">
        <f t="shared" si="49"/>
        <v>0</v>
      </c>
      <c r="P532" s="20"/>
    </row>
    <row r="533" spans="1:16" ht="21" x14ac:dyDescent="0.5">
      <c r="A533" s="17"/>
      <c r="B533" s="18">
        <v>46775</v>
      </c>
      <c r="C533" s="17" t="str">
        <f t="shared" si="50"/>
        <v>76.6 - day 7</v>
      </c>
      <c r="D533" s="17"/>
      <c r="E533" s="17">
        <f t="shared" si="53"/>
        <v>13436</v>
      </c>
      <c r="F533" s="17"/>
      <c r="G533" s="17"/>
      <c r="H533" s="17">
        <f t="shared" si="51"/>
        <v>13436</v>
      </c>
      <c r="I533" s="17"/>
      <c r="J533" s="17"/>
      <c r="K533" s="17"/>
      <c r="L533" s="17">
        <f t="shared" si="52"/>
        <v>0</v>
      </c>
      <c r="M533" s="17"/>
      <c r="N533" s="21">
        <f t="shared" ref="N533:N596" si="54">SUM(L533-M533)</f>
        <v>0</v>
      </c>
      <c r="O533" s="17">
        <f t="shared" ref="O533:O596" si="55">SUM(I533/H533)*1000</f>
        <v>0</v>
      </c>
      <c r="P533" s="20"/>
    </row>
    <row r="534" spans="1:16" ht="21" x14ac:dyDescent="0.5">
      <c r="A534" s="17"/>
      <c r="B534" s="18">
        <v>46776</v>
      </c>
      <c r="C534" s="17" t="str">
        <f t="shared" si="50"/>
        <v>77.0 - day 1</v>
      </c>
      <c r="D534" s="17"/>
      <c r="E534" s="17">
        <f t="shared" si="53"/>
        <v>13436</v>
      </c>
      <c r="F534" s="17"/>
      <c r="G534" s="17"/>
      <c r="H534" s="17">
        <f t="shared" si="51"/>
        <v>13436</v>
      </c>
      <c r="I534" s="17"/>
      <c r="J534" s="17"/>
      <c r="K534" s="17"/>
      <c r="L534" s="17">
        <f t="shared" si="52"/>
        <v>0</v>
      </c>
      <c r="M534" s="17"/>
      <c r="N534" s="21">
        <f t="shared" si="54"/>
        <v>0</v>
      </c>
      <c r="O534" s="17">
        <f t="shared" si="55"/>
        <v>0</v>
      </c>
      <c r="P534" s="20"/>
    </row>
    <row r="535" spans="1:16" ht="21" x14ac:dyDescent="0.5">
      <c r="A535" s="17"/>
      <c r="B535" s="18">
        <v>46777</v>
      </c>
      <c r="C535" s="17" t="str">
        <f t="shared" si="50"/>
        <v>77.1 - day 2</v>
      </c>
      <c r="D535" s="17"/>
      <c r="E535" s="17">
        <f t="shared" si="53"/>
        <v>13436</v>
      </c>
      <c r="F535" s="17"/>
      <c r="G535" s="17"/>
      <c r="H535" s="17">
        <f t="shared" si="51"/>
        <v>13436</v>
      </c>
      <c r="I535" s="17"/>
      <c r="J535" s="17"/>
      <c r="K535" s="17"/>
      <c r="L535" s="17">
        <f t="shared" si="52"/>
        <v>0</v>
      </c>
      <c r="M535" s="17"/>
      <c r="N535" s="21">
        <f t="shared" si="54"/>
        <v>0</v>
      </c>
      <c r="O535" s="17">
        <f t="shared" si="55"/>
        <v>0</v>
      </c>
      <c r="P535" s="20"/>
    </row>
    <row r="536" spans="1:16" ht="21" x14ac:dyDescent="0.5">
      <c r="A536" s="17"/>
      <c r="B536" s="18">
        <v>46778</v>
      </c>
      <c r="C536" s="17" t="str">
        <f t="shared" si="50"/>
        <v>77.2 - day 3</v>
      </c>
      <c r="D536" s="17"/>
      <c r="E536" s="17">
        <f t="shared" si="53"/>
        <v>13436</v>
      </c>
      <c r="F536" s="17"/>
      <c r="G536" s="17"/>
      <c r="H536" s="17">
        <f t="shared" si="51"/>
        <v>13436</v>
      </c>
      <c r="I536" s="17"/>
      <c r="J536" s="17"/>
      <c r="K536" s="17"/>
      <c r="L536" s="17">
        <f t="shared" si="52"/>
        <v>0</v>
      </c>
      <c r="M536" s="17"/>
      <c r="N536" s="21">
        <f t="shared" si="54"/>
        <v>0</v>
      </c>
      <c r="O536" s="17">
        <f t="shared" si="55"/>
        <v>0</v>
      </c>
      <c r="P536" s="20"/>
    </row>
    <row r="537" spans="1:16" ht="21" x14ac:dyDescent="0.5">
      <c r="A537" s="17"/>
      <c r="B537" s="18">
        <v>46779</v>
      </c>
      <c r="C537" s="17" t="str">
        <f t="shared" si="50"/>
        <v>77.3 - day 4</v>
      </c>
      <c r="D537" s="17"/>
      <c r="E537" s="17">
        <f t="shared" si="53"/>
        <v>13436</v>
      </c>
      <c r="F537" s="17"/>
      <c r="G537" s="17"/>
      <c r="H537" s="17">
        <f t="shared" si="51"/>
        <v>13436</v>
      </c>
      <c r="I537" s="17"/>
      <c r="J537" s="17"/>
      <c r="K537" s="17"/>
      <c r="L537" s="17">
        <f t="shared" si="52"/>
        <v>0</v>
      </c>
      <c r="M537" s="17"/>
      <c r="N537" s="21">
        <f t="shared" si="54"/>
        <v>0</v>
      </c>
      <c r="O537" s="17">
        <f t="shared" si="55"/>
        <v>0</v>
      </c>
      <c r="P537" s="20"/>
    </row>
    <row r="538" spans="1:16" ht="21" x14ac:dyDescent="0.5">
      <c r="A538" s="17"/>
      <c r="B538" s="18">
        <v>46780</v>
      </c>
      <c r="C538" s="17" t="str">
        <f t="shared" si="50"/>
        <v>77.4 - day 5</v>
      </c>
      <c r="D538" s="17"/>
      <c r="E538" s="17">
        <f t="shared" si="53"/>
        <v>13436</v>
      </c>
      <c r="F538" s="17"/>
      <c r="G538" s="17"/>
      <c r="H538" s="17">
        <f t="shared" si="51"/>
        <v>13436</v>
      </c>
      <c r="I538" s="17"/>
      <c r="J538" s="17"/>
      <c r="K538" s="17"/>
      <c r="L538" s="17">
        <f t="shared" si="52"/>
        <v>0</v>
      </c>
      <c r="M538" s="17"/>
      <c r="N538" s="21">
        <f t="shared" si="54"/>
        <v>0</v>
      </c>
      <c r="O538" s="17">
        <f t="shared" si="55"/>
        <v>0</v>
      </c>
      <c r="P538" s="20"/>
    </row>
    <row r="539" spans="1:16" ht="21" x14ac:dyDescent="0.5">
      <c r="A539" s="17"/>
      <c r="B539" s="18">
        <v>46781</v>
      </c>
      <c r="C539" s="17" t="str">
        <f t="shared" si="50"/>
        <v>77.5 - day 6</v>
      </c>
      <c r="D539" s="17"/>
      <c r="E539" s="17">
        <f t="shared" si="53"/>
        <v>13436</v>
      </c>
      <c r="F539" s="17"/>
      <c r="G539" s="17"/>
      <c r="H539" s="17">
        <f t="shared" si="51"/>
        <v>13436</v>
      </c>
      <c r="I539" s="17"/>
      <c r="J539" s="17"/>
      <c r="K539" s="17"/>
      <c r="L539" s="17">
        <f t="shared" si="52"/>
        <v>0</v>
      </c>
      <c r="M539" s="17"/>
      <c r="N539" s="21">
        <f t="shared" si="54"/>
        <v>0</v>
      </c>
      <c r="O539" s="17">
        <f t="shared" si="55"/>
        <v>0</v>
      </c>
      <c r="P539" s="20"/>
    </row>
    <row r="540" spans="1:16" ht="21" x14ac:dyDescent="0.5">
      <c r="A540" s="17"/>
      <c r="B540" s="18">
        <v>46782</v>
      </c>
      <c r="C540" s="17" t="str">
        <f t="shared" si="50"/>
        <v>77.6 - day 7</v>
      </c>
      <c r="D540" s="17"/>
      <c r="E540" s="17">
        <f t="shared" si="53"/>
        <v>13436</v>
      </c>
      <c r="F540" s="17"/>
      <c r="G540" s="17"/>
      <c r="H540" s="17">
        <f t="shared" si="51"/>
        <v>13436</v>
      </c>
      <c r="I540" s="17"/>
      <c r="J540" s="17"/>
      <c r="K540" s="17"/>
      <c r="L540" s="17">
        <f t="shared" si="52"/>
        <v>0</v>
      </c>
      <c r="M540" s="17"/>
      <c r="N540" s="21">
        <f t="shared" si="54"/>
        <v>0</v>
      </c>
      <c r="O540" s="17">
        <f t="shared" si="55"/>
        <v>0</v>
      </c>
      <c r="P540" s="20"/>
    </row>
    <row r="541" spans="1:16" ht="21" x14ac:dyDescent="0.5">
      <c r="A541" s="17"/>
      <c r="B541" s="18">
        <v>46783</v>
      </c>
      <c r="C541" s="17" t="str">
        <f t="shared" si="50"/>
        <v>78.0 - day 1</v>
      </c>
      <c r="D541" s="17"/>
      <c r="E541" s="17">
        <f t="shared" si="53"/>
        <v>13436</v>
      </c>
      <c r="F541" s="17"/>
      <c r="G541" s="17"/>
      <c r="H541" s="17">
        <f t="shared" si="51"/>
        <v>13436</v>
      </c>
      <c r="I541" s="17"/>
      <c r="J541" s="17"/>
      <c r="K541" s="17"/>
      <c r="L541" s="17">
        <f t="shared" si="52"/>
        <v>0</v>
      </c>
      <c r="M541" s="17"/>
      <c r="N541" s="21">
        <f t="shared" si="54"/>
        <v>0</v>
      </c>
      <c r="O541" s="17">
        <f t="shared" si="55"/>
        <v>0</v>
      </c>
      <c r="P541" s="20"/>
    </row>
    <row r="542" spans="1:16" ht="21" x14ac:dyDescent="0.5">
      <c r="A542" s="17"/>
      <c r="B542" s="18">
        <v>46784</v>
      </c>
      <c r="C542" s="17" t="str">
        <f t="shared" si="50"/>
        <v>78.1 - day 2</v>
      </c>
      <c r="D542" s="17"/>
      <c r="E542" s="17">
        <f t="shared" si="53"/>
        <v>13436</v>
      </c>
      <c r="F542" s="17"/>
      <c r="G542" s="17"/>
      <c r="H542" s="17">
        <f t="shared" si="51"/>
        <v>13436</v>
      </c>
      <c r="I542" s="17"/>
      <c r="J542" s="17"/>
      <c r="K542" s="17"/>
      <c r="L542" s="17">
        <f t="shared" si="52"/>
        <v>0</v>
      </c>
      <c r="M542" s="17"/>
      <c r="N542" s="21">
        <f t="shared" si="54"/>
        <v>0</v>
      </c>
      <c r="O542" s="17">
        <f t="shared" si="55"/>
        <v>0</v>
      </c>
      <c r="P542" s="20"/>
    </row>
    <row r="543" spans="1:16" ht="21" x14ac:dyDescent="0.5">
      <c r="A543" s="17"/>
      <c r="B543" s="18">
        <v>46785</v>
      </c>
      <c r="C543" s="17" t="str">
        <f t="shared" si="50"/>
        <v>78.2 - day 3</v>
      </c>
      <c r="D543" s="17"/>
      <c r="E543" s="17">
        <f t="shared" si="53"/>
        <v>13436</v>
      </c>
      <c r="F543" s="17"/>
      <c r="G543" s="17"/>
      <c r="H543" s="17">
        <f t="shared" si="51"/>
        <v>13436</v>
      </c>
      <c r="I543" s="17"/>
      <c r="J543" s="17"/>
      <c r="K543" s="17"/>
      <c r="L543" s="17">
        <f t="shared" si="52"/>
        <v>0</v>
      </c>
      <c r="M543" s="17"/>
      <c r="N543" s="21">
        <f t="shared" si="54"/>
        <v>0</v>
      </c>
      <c r="O543" s="17">
        <f t="shared" si="55"/>
        <v>0</v>
      </c>
      <c r="P543" s="20"/>
    </row>
    <row r="544" spans="1:16" ht="21" x14ac:dyDescent="0.5">
      <c r="A544" s="17"/>
      <c r="B544" s="18">
        <v>46786</v>
      </c>
      <c r="C544" s="17" t="str">
        <f t="shared" si="50"/>
        <v>78.3 - day 4</v>
      </c>
      <c r="D544" s="17"/>
      <c r="E544" s="17">
        <f t="shared" si="53"/>
        <v>13436</v>
      </c>
      <c r="F544" s="17"/>
      <c r="G544" s="17"/>
      <c r="H544" s="17">
        <f t="shared" si="51"/>
        <v>13436</v>
      </c>
      <c r="I544" s="17"/>
      <c r="J544" s="17"/>
      <c r="K544" s="17"/>
      <c r="L544" s="17">
        <f t="shared" si="52"/>
        <v>0</v>
      </c>
      <c r="M544" s="17"/>
      <c r="N544" s="21">
        <f t="shared" si="54"/>
        <v>0</v>
      </c>
      <c r="O544" s="17">
        <f t="shared" si="55"/>
        <v>0</v>
      </c>
      <c r="P544" s="20"/>
    </row>
    <row r="545" spans="1:16" ht="21" x14ac:dyDescent="0.5">
      <c r="A545" s="17"/>
      <c r="B545" s="18">
        <v>46787</v>
      </c>
      <c r="C545" s="17" t="str">
        <f t="shared" si="50"/>
        <v>78.4 - day 5</v>
      </c>
      <c r="D545" s="17"/>
      <c r="E545" s="17">
        <f t="shared" si="53"/>
        <v>13436</v>
      </c>
      <c r="F545" s="17"/>
      <c r="G545" s="17"/>
      <c r="H545" s="17">
        <f t="shared" si="51"/>
        <v>13436</v>
      </c>
      <c r="I545" s="17"/>
      <c r="J545" s="17"/>
      <c r="K545" s="17"/>
      <c r="L545" s="17">
        <f t="shared" si="52"/>
        <v>0</v>
      </c>
      <c r="M545" s="17"/>
      <c r="N545" s="21">
        <f t="shared" si="54"/>
        <v>0</v>
      </c>
      <c r="O545" s="17">
        <f t="shared" si="55"/>
        <v>0</v>
      </c>
      <c r="P545" s="20"/>
    </row>
    <row r="546" spans="1:16" ht="21" x14ac:dyDescent="0.5">
      <c r="A546" s="17"/>
      <c r="B546" s="18">
        <v>46788</v>
      </c>
      <c r="C546" s="17" t="str">
        <f t="shared" si="50"/>
        <v>78.5 - day 6</v>
      </c>
      <c r="D546" s="17"/>
      <c r="E546" s="17">
        <f t="shared" si="53"/>
        <v>13436</v>
      </c>
      <c r="F546" s="17"/>
      <c r="G546" s="17"/>
      <c r="H546" s="17">
        <f t="shared" si="51"/>
        <v>13436</v>
      </c>
      <c r="I546" s="17"/>
      <c r="J546" s="17"/>
      <c r="K546" s="17"/>
      <c r="L546" s="17">
        <f t="shared" si="52"/>
        <v>0</v>
      </c>
      <c r="M546" s="17"/>
      <c r="N546" s="21">
        <f t="shared" si="54"/>
        <v>0</v>
      </c>
      <c r="O546" s="17">
        <f t="shared" si="55"/>
        <v>0</v>
      </c>
      <c r="P546" s="20"/>
    </row>
    <row r="547" spans="1:16" ht="21" x14ac:dyDescent="0.5">
      <c r="A547" s="17"/>
      <c r="B547" s="18">
        <v>46789</v>
      </c>
      <c r="C547" s="17" t="str">
        <f t="shared" si="50"/>
        <v>78.6 - day 7</v>
      </c>
      <c r="D547" s="17"/>
      <c r="E547" s="17">
        <f t="shared" si="53"/>
        <v>13436</v>
      </c>
      <c r="F547" s="17"/>
      <c r="G547" s="17"/>
      <c r="H547" s="17">
        <f t="shared" si="51"/>
        <v>13436</v>
      </c>
      <c r="I547" s="17"/>
      <c r="J547" s="17"/>
      <c r="K547" s="17"/>
      <c r="L547" s="17">
        <f t="shared" si="52"/>
        <v>0</v>
      </c>
      <c r="M547" s="17"/>
      <c r="N547" s="21">
        <f t="shared" si="54"/>
        <v>0</v>
      </c>
      <c r="O547" s="17">
        <f t="shared" si="55"/>
        <v>0</v>
      </c>
      <c r="P547" s="20"/>
    </row>
    <row r="548" spans="1:16" ht="21" x14ac:dyDescent="0.5">
      <c r="A548" s="17"/>
      <c r="B548" s="18">
        <v>46790</v>
      </c>
      <c r="C548" s="17" t="str">
        <f t="shared" si="50"/>
        <v>79.0 - day 1</v>
      </c>
      <c r="D548" s="17"/>
      <c r="E548" s="17">
        <f t="shared" si="53"/>
        <v>13436</v>
      </c>
      <c r="F548" s="17"/>
      <c r="G548" s="17"/>
      <c r="H548" s="17">
        <f t="shared" si="51"/>
        <v>13436</v>
      </c>
      <c r="I548" s="17"/>
      <c r="J548" s="17"/>
      <c r="K548" s="17"/>
      <c r="L548" s="17">
        <f t="shared" si="52"/>
        <v>0</v>
      </c>
      <c r="M548" s="17"/>
      <c r="N548" s="21">
        <f t="shared" si="54"/>
        <v>0</v>
      </c>
      <c r="O548" s="17">
        <f t="shared" si="55"/>
        <v>0</v>
      </c>
      <c r="P548" s="20"/>
    </row>
    <row r="549" spans="1:16" ht="21" x14ac:dyDescent="0.5">
      <c r="A549" s="17"/>
      <c r="B549" s="18">
        <v>46791</v>
      </c>
      <c r="C549" s="17" t="str">
        <f t="shared" si="50"/>
        <v>79.1 - day 2</v>
      </c>
      <c r="D549" s="17"/>
      <c r="E549" s="17">
        <f t="shared" si="53"/>
        <v>13436</v>
      </c>
      <c r="F549" s="17"/>
      <c r="G549" s="17"/>
      <c r="H549" s="17">
        <f t="shared" si="51"/>
        <v>13436</v>
      </c>
      <c r="I549" s="17"/>
      <c r="J549" s="17"/>
      <c r="K549" s="17"/>
      <c r="L549" s="17">
        <f t="shared" si="52"/>
        <v>0</v>
      </c>
      <c r="M549" s="17"/>
      <c r="N549" s="21">
        <f t="shared" si="54"/>
        <v>0</v>
      </c>
      <c r="O549" s="17">
        <f t="shared" si="55"/>
        <v>0</v>
      </c>
      <c r="P549" s="20"/>
    </row>
    <row r="550" spans="1:16" ht="21" x14ac:dyDescent="0.5">
      <c r="A550" s="17"/>
      <c r="B550" s="18">
        <v>46792</v>
      </c>
      <c r="C550" s="17" t="str">
        <f t="shared" si="50"/>
        <v>79.2 - day 3</v>
      </c>
      <c r="D550" s="17"/>
      <c r="E550" s="17">
        <f t="shared" si="53"/>
        <v>13436</v>
      </c>
      <c r="F550" s="17"/>
      <c r="G550" s="17"/>
      <c r="H550" s="17">
        <f t="shared" si="51"/>
        <v>13436</v>
      </c>
      <c r="I550" s="17"/>
      <c r="J550" s="17"/>
      <c r="K550" s="17"/>
      <c r="L550" s="17">
        <f t="shared" si="52"/>
        <v>0</v>
      </c>
      <c r="M550" s="17"/>
      <c r="N550" s="21">
        <f t="shared" si="54"/>
        <v>0</v>
      </c>
      <c r="O550" s="17">
        <f t="shared" si="55"/>
        <v>0</v>
      </c>
      <c r="P550" s="20"/>
    </row>
    <row r="551" spans="1:16" ht="21" x14ac:dyDescent="0.5">
      <c r="A551" s="17"/>
      <c r="B551" s="18">
        <v>46793</v>
      </c>
      <c r="C551" s="17" t="str">
        <f t="shared" si="50"/>
        <v>79.3 - day 4</v>
      </c>
      <c r="D551" s="17"/>
      <c r="E551" s="17">
        <f t="shared" si="53"/>
        <v>13436</v>
      </c>
      <c r="F551" s="17"/>
      <c r="G551" s="17"/>
      <c r="H551" s="17">
        <f t="shared" si="51"/>
        <v>13436</v>
      </c>
      <c r="I551" s="17"/>
      <c r="J551" s="17"/>
      <c r="K551" s="17"/>
      <c r="L551" s="17">
        <f t="shared" si="52"/>
        <v>0</v>
      </c>
      <c r="M551" s="17"/>
      <c r="N551" s="21">
        <f t="shared" si="54"/>
        <v>0</v>
      </c>
      <c r="O551" s="17">
        <f t="shared" si="55"/>
        <v>0</v>
      </c>
      <c r="P551" s="20"/>
    </row>
    <row r="552" spans="1:16" ht="21" x14ac:dyDescent="0.5">
      <c r="A552" s="17"/>
      <c r="B552" s="18">
        <v>46794</v>
      </c>
      <c r="C552" s="17" t="str">
        <f t="shared" si="50"/>
        <v>79.4 - day 5</v>
      </c>
      <c r="D552" s="17"/>
      <c r="E552" s="17">
        <f t="shared" si="53"/>
        <v>13436</v>
      </c>
      <c r="F552" s="17"/>
      <c r="G552" s="17"/>
      <c r="H552" s="17">
        <f t="shared" si="51"/>
        <v>13436</v>
      </c>
      <c r="I552" s="17"/>
      <c r="J552" s="17"/>
      <c r="K552" s="17"/>
      <c r="L552" s="17">
        <f t="shared" si="52"/>
        <v>0</v>
      </c>
      <c r="M552" s="17"/>
      <c r="N552" s="21">
        <f t="shared" si="54"/>
        <v>0</v>
      </c>
      <c r="O552" s="17">
        <f t="shared" si="55"/>
        <v>0</v>
      </c>
      <c r="P552" s="20"/>
    </row>
    <row r="553" spans="1:16" ht="21" x14ac:dyDescent="0.5">
      <c r="A553" s="17"/>
      <c r="B553" s="18">
        <v>46795</v>
      </c>
      <c r="C553" s="17" t="str">
        <f t="shared" si="50"/>
        <v>79.5 - day 6</v>
      </c>
      <c r="D553" s="17"/>
      <c r="E553" s="17">
        <f t="shared" si="53"/>
        <v>13436</v>
      </c>
      <c r="F553" s="17"/>
      <c r="G553" s="17"/>
      <c r="H553" s="17">
        <f t="shared" si="51"/>
        <v>13436</v>
      </c>
      <c r="I553" s="17"/>
      <c r="J553" s="17"/>
      <c r="K553" s="17"/>
      <c r="L553" s="17">
        <f t="shared" si="52"/>
        <v>0</v>
      </c>
      <c r="M553" s="17"/>
      <c r="N553" s="21">
        <f t="shared" si="54"/>
        <v>0</v>
      </c>
      <c r="O553" s="17">
        <f t="shared" si="55"/>
        <v>0</v>
      </c>
      <c r="P553" s="20"/>
    </row>
    <row r="554" spans="1:16" ht="21" x14ac:dyDescent="0.5">
      <c r="A554" s="17"/>
      <c r="B554" s="18">
        <v>46796</v>
      </c>
      <c r="C554" s="17" t="str">
        <f t="shared" si="50"/>
        <v>79.6 - day 7</v>
      </c>
      <c r="D554" s="17"/>
      <c r="E554" s="17">
        <f t="shared" si="53"/>
        <v>13436</v>
      </c>
      <c r="F554" s="17"/>
      <c r="G554" s="17"/>
      <c r="H554" s="17">
        <f t="shared" si="51"/>
        <v>13436</v>
      </c>
      <c r="I554" s="17"/>
      <c r="J554" s="17"/>
      <c r="K554" s="17"/>
      <c r="L554" s="17">
        <f t="shared" si="52"/>
        <v>0</v>
      </c>
      <c r="M554" s="17"/>
      <c r="N554" s="21">
        <f t="shared" si="54"/>
        <v>0</v>
      </c>
      <c r="O554" s="17">
        <f t="shared" si="55"/>
        <v>0</v>
      </c>
      <c r="P554" s="20"/>
    </row>
    <row r="555" spans="1:16" ht="21" x14ac:dyDescent="0.5">
      <c r="A555" s="17"/>
      <c r="B555" s="18">
        <v>46797</v>
      </c>
      <c r="C555" s="17" t="str">
        <f t="shared" si="50"/>
        <v>80.0 - day 1</v>
      </c>
      <c r="D555" s="17"/>
      <c r="E555" s="17">
        <f t="shared" si="53"/>
        <v>13436</v>
      </c>
      <c r="F555" s="17"/>
      <c r="G555" s="17"/>
      <c r="H555" s="17">
        <f t="shared" si="51"/>
        <v>13436</v>
      </c>
      <c r="I555" s="17"/>
      <c r="J555" s="17"/>
      <c r="K555" s="17"/>
      <c r="L555" s="17">
        <f t="shared" si="52"/>
        <v>0</v>
      </c>
      <c r="M555" s="17"/>
      <c r="N555" s="21">
        <f t="shared" si="54"/>
        <v>0</v>
      </c>
      <c r="O555" s="17">
        <f t="shared" si="55"/>
        <v>0</v>
      </c>
      <c r="P555" s="20"/>
    </row>
    <row r="556" spans="1:16" ht="21" x14ac:dyDescent="0.5">
      <c r="A556" s="17"/>
      <c r="B556" s="18">
        <v>46798</v>
      </c>
      <c r="C556" s="17" t="str">
        <f t="shared" si="50"/>
        <v>80.1 - day 2</v>
      </c>
      <c r="D556" s="17"/>
      <c r="E556" s="17">
        <f t="shared" si="53"/>
        <v>13436</v>
      </c>
      <c r="F556" s="17"/>
      <c r="G556" s="17"/>
      <c r="H556" s="17">
        <f t="shared" si="51"/>
        <v>13436</v>
      </c>
      <c r="I556" s="17"/>
      <c r="J556" s="17"/>
      <c r="K556" s="17"/>
      <c r="L556" s="17">
        <f t="shared" si="52"/>
        <v>0</v>
      </c>
      <c r="M556" s="17"/>
      <c r="N556" s="21">
        <f t="shared" si="54"/>
        <v>0</v>
      </c>
      <c r="O556" s="17">
        <f t="shared" si="55"/>
        <v>0</v>
      </c>
      <c r="P556" s="20"/>
    </row>
    <row r="557" spans="1:16" ht="21" x14ac:dyDescent="0.5">
      <c r="A557" s="17"/>
      <c r="B557" s="18">
        <v>46799</v>
      </c>
      <c r="C557" s="17" t="str">
        <f t="shared" si="50"/>
        <v>80.2 - day 3</v>
      </c>
      <c r="D557" s="17"/>
      <c r="E557" s="17">
        <f t="shared" si="53"/>
        <v>13436</v>
      </c>
      <c r="F557" s="17"/>
      <c r="G557" s="17"/>
      <c r="H557" s="17">
        <f t="shared" si="51"/>
        <v>13436</v>
      </c>
      <c r="I557" s="17"/>
      <c r="J557" s="17"/>
      <c r="K557" s="17"/>
      <c r="L557" s="17">
        <f t="shared" si="52"/>
        <v>0</v>
      </c>
      <c r="M557" s="17"/>
      <c r="N557" s="21">
        <f t="shared" si="54"/>
        <v>0</v>
      </c>
      <c r="O557" s="17">
        <f t="shared" si="55"/>
        <v>0</v>
      </c>
      <c r="P557" s="20"/>
    </row>
    <row r="558" spans="1:16" ht="21" x14ac:dyDescent="0.5">
      <c r="A558" s="17"/>
      <c r="B558" s="18">
        <v>46800</v>
      </c>
      <c r="C558" s="17" t="str">
        <f t="shared" si="50"/>
        <v>80.3 - day 4</v>
      </c>
      <c r="D558" s="17"/>
      <c r="E558" s="17">
        <f t="shared" si="53"/>
        <v>13436</v>
      </c>
      <c r="F558" s="17"/>
      <c r="G558" s="17"/>
      <c r="H558" s="17">
        <f t="shared" si="51"/>
        <v>13436</v>
      </c>
      <c r="I558" s="17"/>
      <c r="J558" s="17"/>
      <c r="K558" s="17"/>
      <c r="L558" s="17">
        <f t="shared" si="52"/>
        <v>0</v>
      </c>
      <c r="M558" s="17"/>
      <c r="N558" s="21">
        <f t="shared" si="54"/>
        <v>0</v>
      </c>
      <c r="O558" s="17">
        <f t="shared" si="55"/>
        <v>0</v>
      </c>
      <c r="P558" s="20"/>
    </row>
    <row r="559" spans="1:16" ht="21" x14ac:dyDescent="0.5">
      <c r="A559" s="17"/>
      <c r="B559" s="18">
        <v>46801</v>
      </c>
      <c r="C559" s="17" t="str">
        <f t="shared" si="50"/>
        <v>80.4 - day 5</v>
      </c>
      <c r="D559" s="17"/>
      <c r="E559" s="17">
        <f t="shared" si="53"/>
        <v>13436</v>
      </c>
      <c r="F559" s="17"/>
      <c r="G559" s="17"/>
      <c r="H559" s="17">
        <f t="shared" si="51"/>
        <v>13436</v>
      </c>
      <c r="I559" s="17"/>
      <c r="J559" s="17"/>
      <c r="K559" s="17"/>
      <c r="L559" s="17">
        <f t="shared" si="52"/>
        <v>0</v>
      </c>
      <c r="M559" s="17"/>
      <c r="N559" s="21">
        <f t="shared" si="54"/>
        <v>0</v>
      </c>
      <c r="O559" s="17">
        <f t="shared" si="55"/>
        <v>0</v>
      </c>
      <c r="P559" s="20"/>
    </row>
    <row r="560" spans="1:16" ht="21" x14ac:dyDescent="0.5">
      <c r="A560" s="17"/>
      <c r="B560" s="18">
        <v>46802</v>
      </c>
      <c r="C560" s="17" t="str">
        <f t="shared" si="50"/>
        <v>80.5 - day 6</v>
      </c>
      <c r="D560" s="17"/>
      <c r="E560" s="17">
        <f t="shared" si="53"/>
        <v>13436</v>
      </c>
      <c r="F560" s="17"/>
      <c r="G560" s="17"/>
      <c r="H560" s="17">
        <f t="shared" si="51"/>
        <v>13436</v>
      </c>
      <c r="I560" s="17"/>
      <c r="J560" s="17"/>
      <c r="K560" s="17"/>
      <c r="L560" s="17">
        <f t="shared" si="52"/>
        <v>0</v>
      </c>
      <c r="M560" s="17"/>
      <c r="N560" s="21">
        <f t="shared" si="54"/>
        <v>0</v>
      </c>
      <c r="O560" s="17">
        <f t="shared" si="55"/>
        <v>0</v>
      </c>
      <c r="P560" s="20"/>
    </row>
    <row r="561" spans="1:16" ht="21" x14ac:dyDescent="0.5">
      <c r="A561" s="17"/>
      <c r="B561" s="18">
        <v>46803</v>
      </c>
      <c r="C561" s="17" t="str">
        <f t="shared" si="50"/>
        <v>80.6 - day 7</v>
      </c>
      <c r="D561" s="17"/>
      <c r="E561" s="17">
        <f t="shared" si="53"/>
        <v>13436</v>
      </c>
      <c r="F561" s="17"/>
      <c r="G561" s="17"/>
      <c r="H561" s="17">
        <f t="shared" si="51"/>
        <v>13436</v>
      </c>
      <c r="I561" s="17"/>
      <c r="J561" s="17"/>
      <c r="K561" s="17"/>
      <c r="L561" s="17">
        <f t="shared" si="52"/>
        <v>0</v>
      </c>
      <c r="M561" s="17"/>
      <c r="N561" s="21">
        <f t="shared" si="54"/>
        <v>0</v>
      </c>
      <c r="O561" s="17">
        <f t="shared" si="55"/>
        <v>0</v>
      </c>
      <c r="P561" s="20"/>
    </row>
    <row r="562" spans="1:16" ht="21" x14ac:dyDescent="0.5">
      <c r="A562" s="17"/>
      <c r="B562" s="18">
        <v>46804</v>
      </c>
      <c r="C562" s="17" t="str">
        <f t="shared" si="50"/>
        <v>81.0 - day 1</v>
      </c>
      <c r="D562" s="17"/>
      <c r="E562" s="17">
        <f t="shared" si="53"/>
        <v>13436</v>
      </c>
      <c r="F562" s="17"/>
      <c r="G562" s="17"/>
      <c r="H562" s="17">
        <f t="shared" si="51"/>
        <v>13436</v>
      </c>
      <c r="I562" s="17"/>
      <c r="J562" s="17"/>
      <c r="K562" s="17"/>
      <c r="L562" s="17">
        <f t="shared" si="52"/>
        <v>0</v>
      </c>
      <c r="M562" s="17"/>
      <c r="N562" s="21">
        <f t="shared" si="54"/>
        <v>0</v>
      </c>
      <c r="O562" s="17">
        <f t="shared" si="55"/>
        <v>0</v>
      </c>
      <c r="P562" s="20"/>
    </row>
    <row r="563" spans="1:16" ht="21" x14ac:dyDescent="0.5">
      <c r="A563" s="17"/>
      <c r="B563" s="18">
        <v>46805</v>
      </c>
      <c r="C563" s="17" t="str">
        <f t="shared" si="50"/>
        <v>81.1 - day 2</v>
      </c>
      <c r="D563" s="17"/>
      <c r="E563" s="17">
        <f t="shared" si="53"/>
        <v>13436</v>
      </c>
      <c r="F563" s="17"/>
      <c r="G563" s="17"/>
      <c r="H563" s="17">
        <f t="shared" si="51"/>
        <v>13436</v>
      </c>
      <c r="I563" s="17"/>
      <c r="J563" s="17"/>
      <c r="K563" s="17"/>
      <c r="L563" s="17">
        <f t="shared" si="52"/>
        <v>0</v>
      </c>
      <c r="M563" s="17"/>
      <c r="N563" s="21">
        <f t="shared" si="54"/>
        <v>0</v>
      </c>
      <c r="O563" s="17">
        <f t="shared" si="55"/>
        <v>0</v>
      </c>
      <c r="P563" s="20"/>
    </row>
    <row r="564" spans="1:16" ht="21" x14ac:dyDescent="0.5">
      <c r="A564" s="17"/>
      <c r="B564" s="18">
        <v>46806</v>
      </c>
      <c r="C564" s="17" t="str">
        <f t="shared" si="50"/>
        <v>81.2 - day 3</v>
      </c>
      <c r="D564" s="17"/>
      <c r="E564" s="17">
        <f t="shared" si="53"/>
        <v>13436</v>
      </c>
      <c r="F564" s="17"/>
      <c r="G564" s="17"/>
      <c r="H564" s="17">
        <f t="shared" si="51"/>
        <v>13436</v>
      </c>
      <c r="I564" s="17"/>
      <c r="J564" s="17"/>
      <c r="K564" s="17"/>
      <c r="L564" s="17">
        <f t="shared" si="52"/>
        <v>0</v>
      </c>
      <c r="M564" s="17"/>
      <c r="N564" s="21">
        <f t="shared" si="54"/>
        <v>0</v>
      </c>
      <c r="O564" s="17">
        <f t="shared" si="55"/>
        <v>0</v>
      </c>
      <c r="P564" s="20"/>
    </row>
    <row r="565" spans="1:16" ht="21" x14ac:dyDescent="0.5">
      <c r="A565" s="17"/>
      <c r="B565" s="18">
        <v>46807</v>
      </c>
      <c r="C565" s="17" t="str">
        <f t="shared" si="50"/>
        <v>81.3 - day 4</v>
      </c>
      <c r="D565" s="17"/>
      <c r="E565" s="17">
        <f t="shared" si="53"/>
        <v>13436</v>
      </c>
      <c r="F565" s="17"/>
      <c r="G565" s="17"/>
      <c r="H565" s="17">
        <f t="shared" si="51"/>
        <v>13436</v>
      </c>
      <c r="I565" s="17"/>
      <c r="J565" s="17"/>
      <c r="K565" s="17"/>
      <c r="L565" s="17">
        <f t="shared" si="52"/>
        <v>0</v>
      </c>
      <c r="M565" s="17"/>
      <c r="N565" s="21">
        <f t="shared" si="54"/>
        <v>0</v>
      </c>
      <c r="O565" s="17">
        <f t="shared" si="55"/>
        <v>0</v>
      </c>
      <c r="P565" s="20"/>
    </row>
    <row r="566" spans="1:16" ht="21" x14ac:dyDescent="0.5">
      <c r="A566" s="17"/>
      <c r="B566" s="18">
        <v>46808</v>
      </c>
      <c r="C566" s="17" t="str">
        <f t="shared" si="50"/>
        <v>81.4 - day 5</v>
      </c>
      <c r="D566" s="17"/>
      <c r="E566" s="17">
        <f t="shared" si="53"/>
        <v>13436</v>
      </c>
      <c r="F566" s="17"/>
      <c r="G566" s="17"/>
      <c r="H566" s="17">
        <f t="shared" si="51"/>
        <v>13436</v>
      </c>
      <c r="I566" s="17"/>
      <c r="J566" s="17"/>
      <c r="K566" s="17"/>
      <c r="L566" s="17">
        <f t="shared" si="52"/>
        <v>0</v>
      </c>
      <c r="M566" s="17"/>
      <c r="N566" s="21">
        <f t="shared" si="54"/>
        <v>0</v>
      </c>
      <c r="O566" s="17">
        <f t="shared" si="55"/>
        <v>0</v>
      </c>
      <c r="P566" s="20"/>
    </row>
    <row r="567" spans="1:16" ht="21" x14ac:dyDescent="0.5">
      <c r="A567" s="17"/>
      <c r="B567" s="18">
        <v>46809</v>
      </c>
      <c r="C567" s="17" t="str">
        <f t="shared" si="50"/>
        <v>81.5 - day 6</v>
      </c>
      <c r="D567" s="17"/>
      <c r="E567" s="17">
        <f t="shared" si="53"/>
        <v>13436</v>
      </c>
      <c r="F567" s="17"/>
      <c r="G567" s="17"/>
      <c r="H567" s="17">
        <f t="shared" si="51"/>
        <v>13436</v>
      </c>
      <c r="I567" s="17"/>
      <c r="J567" s="17"/>
      <c r="K567" s="17"/>
      <c r="L567" s="17">
        <f t="shared" si="52"/>
        <v>0</v>
      </c>
      <c r="M567" s="17"/>
      <c r="N567" s="21">
        <f t="shared" si="54"/>
        <v>0</v>
      </c>
      <c r="O567" s="17">
        <f t="shared" si="55"/>
        <v>0</v>
      </c>
      <c r="P567" s="20"/>
    </row>
    <row r="568" spans="1:16" ht="21" x14ac:dyDescent="0.5">
      <c r="A568" s="17"/>
      <c r="B568" s="18">
        <v>46810</v>
      </c>
      <c r="C568" s="17" t="str">
        <f t="shared" si="50"/>
        <v>81.6 - day 7</v>
      </c>
      <c r="D568" s="17"/>
      <c r="E568" s="17">
        <f t="shared" si="53"/>
        <v>13436</v>
      </c>
      <c r="F568" s="17"/>
      <c r="G568" s="17"/>
      <c r="H568" s="17">
        <f t="shared" si="51"/>
        <v>13436</v>
      </c>
      <c r="I568" s="17"/>
      <c r="J568" s="17"/>
      <c r="K568" s="17"/>
      <c r="L568" s="17">
        <f t="shared" si="52"/>
        <v>0</v>
      </c>
      <c r="M568" s="17"/>
      <c r="N568" s="21">
        <f t="shared" si="54"/>
        <v>0</v>
      </c>
      <c r="O568" s="17">
        <f t="shared" si="55"/>
        <v>0</v>
      </c>
      <c r="P568" s="20"/>
    </row>
    <row r="569" spans="1:16" ht="21" x14ac:dyDescent="0.5">
      <c r="A569" s="17"/>
      <c r="B569" s="18">
        <v>46811</v>
      </c>
      <c r="C569" s="17" t="str">
        <f t="shared" si="50"/>
        <v>82.0 - day 1</v>
      </c>
      <c r="D569" s="17"/>
      <c r="E569" s="17">
        <f t="shared" si="53"/>
        <v>13436</v>
      </c>
      <c r="F569" s="17"/>
      <c r="G569" s="17"/>
      <c r="H569" s="17">
        <f t="shared" si="51"/>
        <v>13436</v>
      </c>
      <c r="I569" s="17"/>
      <c r="J569" s="17"/>
      <c r="K569" s="17"/>
      <c r="L569" s="17">
        <f t="shared" si="52"/>
        <v>0</v>
      </c>
      <c r="M569" s="17"/>
      <c r="N569" s="21">
        <f t="shared" si="54"/>
        <v>0</v>
      </c>
      <c r="O569" s="17">
        <f t="shared" si="55"/>
        <v>0</v>
      </c>
      <c r="P569" s="20"/>
    </row>
    <row r="570" spans="1:16" ht="21" x14ac:dyDescent="0.5">
      <c r="A570" s="17"/>
      <c r="B570" s="18">
        <v>46812</v>
      </c>
      <c r="C570" s="17" t="str">
        <f t="shared" si="50"/>
        <v>82.1 - day 2</v>
      </c>
      <c r="D570" s="17"/>
      <c r="E570" s="17">
        <f t="shared" si="53"/>
        <v>13436</v>
      </c>
      <c r="F570" s="17"/>
      <c r="G570" s="17"/>
      <c r="H570" s="17">
        <f t="shared" si="51"/>
        <v>13436</v>
      </c>
      <c r="I570" s="17"/>
      <c r="J570" s="17"/>
      <c r="K570" s="17"/>
      <c r="L570" s="17">
        <f t="shared" si="52"/>
        <v>0</v>
      </c>
      <c r="M570" s="17"/>
      <c r="N570" s="21">
        <f t="shared" si="54"/>
        <v>0</v>
      </c>
      <c r="O570" s="17">
        <f t="shared" si="55"/>
        <v>0</v>
      </c>
      <c r="P570" s="20"/>
    </row>
    <row r="571" spans="1:16" ht="21" x14ac:dyDescent="0.5">
      <c r="A571" s="17"/>
      <c r="B571" s="18">
        <v>46813</v>
      </c>
      <c r="C571" s="17" t="str">
        <f t="shared" si="50"/>
        <v>82.2 - day 3</v>
      </c>
      <c r="D571" s="17"/>
      <c r="E571" s="17">
        <f t="shared" si="53"/>
        <v>13436</v>
      </c>
      <c r="F571" s="17"/>
      <c r="G571" s="17"/>
      <c r="H571" s="17">
        <f t="shared" si="51"/>
        <v>13436</v>
      </c>
      <c r="I571" s="17"/>
      <c r="J571" s="17"/>
      <c r="K571" s="17"/>
      <c r="L571" s="17">
        <f t="shared" si="52"/>
        <v>0</v>
      </c>
      <c r="M571" s="17"/>
      <c r="N571" s="21">
        <f t="shared" si="54"/>
        <v>0</v>
      </c>
      <c r="O571" s="17">
        <f t="shared" si="55"/>
        <v>0</v>
      </c>
      <c r="P571" s="20"/>
    </row>
    <row r="572" spans="1:16" ht="21" x14ac:dyDescent="0.5">
      <c r="A572" s="17"/>
      <c r="B572" s="18">
        <v>46814</v>
      </c>
      <c r="C572" s="17" t="str">
        <f t="shared" si="50"/>
        <v>82.3 - day 4</v>
      </c>
      <c r="D572" s="17"/>
      <c r="E572" s="17">
        <f t="shared" si="53"/>
        <v>13436</v>
      </c>
      <c r="F572" s="17"/>
      <c r="G572" s="17"/>
      <c r="H572" s="17">
        <f t="shared" si="51"/>
        <v>13436</v>
      </c>
      <c r="I572" s="17"/>
      <c r="J572" s="17"/>
      <c r="K572" s="17"/>
      <c r="L572" s="17">
        <f t="shared" si="52"/>
        <v>0</v>
      </c>
      <c r="M572" s="17"/>
      <c r="N572" s="21">
        <f t="shared" si="54"/>
        <v>0</v>
      </c>
      <c r="O572" s="17">
        <f t="shared" si="55"/>
        <v>0</v>
      </c>
      <c r="P572" s="20"/>
    </row>
    <row r="573" spans="1:16" ht="21" x14ac:dyDescent="0.5">
      <c r="A573" s="17"/>
      <c r="B573" s="18">
        <v>46815</v>
      </c>
      <c r="C573" s="17" t="str">
        <f t="shared" si="50"/>
        <v>82.4 - day 5</v>
      </c>
      <c r="D573" s="17"/>
      <c r="E573" s="17">
        <f t="shared" si="53"/>
        <v>13436</v>
      </c>
      <c r="F573" s="17"/>
      <c r="G573" s="17"/>
      <c r="H573" s="17">
        <f t="shared" si="51"/>
        <v>13436</v>
      </c>
      <c r="I573" s="17"/>
      <c r="J573" s="17"/>
      <c r="K573" s="17"/>
      <c r="L573" s="17">
        <f t="shared" si="52"/>
        <v>0</v>
      </c>
      <c r="M573" s="17"/>
      <c r="N573" s="21">
        <f t="shared" si="54"/>
        <v>0</v>
      </c>
      <c r="O573" s="17">
        <f t="shared" si="55"/>
        <v>0</v>
      </c>
      <c r="P573" s="20"/>
    </row>
    <row r="574" spans="1:16" ht="21" x14ac:dyDescent="0.5">
      <c r="A574" s="17"/>
      <c r="B574" s="18">
        <v>46816</v>
      </c>
      <c r="C574" s="17" t="str">
        <f t="shared" si="50"/>
        <v>82.5 - day 6</v>
      </c>
      <c r="D574" s="17"/>
      <c r="E574" s="17">
        <f t="shared" si="53"/>
        <v>13436</v>
      </c>
      <c r="F574" s="17"/>
      <c r="G574" s="17"/>
      <c r="H574" s="17">
        <f t="shared" si="51"/>
        <v>13436</v>
      </c>
      <c r="I574" s="17"/>
      <c r="J574" s="17"/>
      <c r="K574" s="17"/>
      <c r="L574" s="17">
        <f t="shared" si="52"/>
        <v>0</v>
      </c>
      <c r="M574" s="17"/>
      <c r="N574" s="21">
        <f t="shared" si="54"/>
        <v>0</v>
      </c>
      <c r="O574" s="17">
        <f t="shared" si="55"/>
        <v>0</v>
      </c>
      <c r="P574" s="20"/>
    </row>
    <row r="575" spans="1:16" ht="21" x14ac:dyDescent="0.5">
      <c r="A575" s="17"/>
      <c r="B575" s="18">
        <v>46817</v>
      </c>
      <c r="C575" s="17" t="str">
        <f t="shared" si="50"/>
        <v>82.6 - day 7</v>
      </c>
      <c r="D575" s="17"/>
      <c r="E575" s="17">
        <f t="shared" si="53"/>
        <v>13436</v>
      </c>
      <c r="F575" s="17"/>
      <c r="G575" s="17"/>
      <c r="H575" s="17">
        <f t="shared" si="51"/>
        <v>13436</v>
      </c>
      <c r="I575" s="17"/>
      <c r="J575" s="17"/>
      <c r="K575" s="17"/>
      <c r="L575" s="17">
        <f t="shared" si="52"/>
        <v>0</v>
      </c>
      <c r="M575" s="17"/>
      <c r="N575" s="21">
        <f t="shared" si="54"/>
        <v>0</v>
      </c>
      <c r="O575" s="17">
        <f t="shared" si="55"/>
        <v>0</v>
      </c>
      <c r="P575" s="20"/>
    </row>
    <row r="576" spans="1:16" ht="21" x14ac:dyDescent="0.5">
      <c r="A576" s="17"/>
      <c r="B576" s="18">
        <v>46818</v>
      </c>
      <c r="C576" s="17" t="str">
        <f t="shared" si="50"/>
        <v>83.0 - day 1</v>
      </c>
      <c r="D576" s="17"/>
      <c r="E576" s="17">
        <f t="shared" si="53"/>
        <v>13436</v>
      </c>
      <c r="F576" s="17"/>
      <c r="G576" s="17"/>
      <c r="H576" s="17">
        <f t="shared" si="51"/>
        <v>13436</v>
      </c>
      <c r="I576" s="17"/>
      <c r="J576" s="17"/>
      <c r="K576" s="17"/>
      <c r="L576" s="17">
        <f t="shared" si="52"/>
        <v>0</v>
      </c>
      <c r="M576" s="17"/>
      <c r="N576" s="21">
        <f t="shared" si="54"/>
        <v>0</v>
      </c>
      <c r="O576" s="17">
        <f t="shared" si="55"/>
        <v>0</v>
      </c>
      <c r="P576" s="20"/>
    </row>
    <row r="577" spans="1:16" ht="21" x14ac:dyDescent="0.5">
      <c r="A577" s="17"/>
      <c r="B577" s="18">
        <v>46819</v>
      </c>
      <c r="C577" s="17" t="str">
        <f t="shared" si="50"/>
        <v>83.1 - day 2</v>
      </c>
      <c r="D577" s="17"/>
      <c r="E577" s="17">
        <f t="shared" si="53"/>
        <v>13436</v>
      </c>
      <c r="F577" s="17"/>
      <c r="G577" s="17"/>
      <c r="H577" s="17">
        <f t="shared" si="51"/>
        <v>13436</v>
      </c>
      <c r="I577" s="17"/>
      <c r="J577" s="17"/>
      <c r="K577" s="17"/>
      <c r="L577" s="17">
        <f t="shared" si="52"/>
        <v>0</v>
      </c>
      <c r="M577" s="17"/>
      <c r="N577" s="21">
        <f t="shared" si="54"/>
        <v>0</v>
      </c>
      <c r="O577" s="17">
        <f t="shared" si="55"/>
        <v>0</v>
      </c>
      <c r="P577" s="20"/>
    </row>
    <row r="578" spans="1:16" ht="21" x14ac:dyDescent="0.5">
      <c r="A578" s="17"/>
      <c r="B578" s="18">
        <v>46820</v>
      </c>
      <c r="C578" s="17" t="str">
        <f t="shared" si="50"/>
        <v>83.2 - day 3</v>
      </c>
      <c r="D578" s="17"/>
      <c r="E578" s="17">
        <f t="shared" si="53"/>
        <v>13436</v>
      </c>
      <c r="F578" s="17"/>
      <c r="G578" s="17"/>
      <c r="H578" s="17">
        <f t="shared" si="51"/>
        <v>13436</v>
      </c>
      <c r="I578" s="17"/>
      <c r="J578" s="17"/>
      <c r="K578" s="17"/>
      <c r="L578" s="17">
        <f t="shared" si="52"/>
        <v>0</v>
      </c>
      <c r="M578" s="17"/>
      <c r="N578" s="21">
        <f t="shared" si="54"/>
        <v>0</v>
      </c>
      <c r="O578" s="17">
        <f t="shared" si="55"/>
        <v>0</v>
      </c>
      <c r="P578" s="20"/>
    </row>
    <row r="579" spans="1:16" ht="21" x14ac:dyDescent="0.5">
      <c r="A579" s="17"/>
      <c r="B579" s="18">
        <v>46821</v>
      </c>
      <c r="C579" s="17" t="str">
        <f t="shared" si="50"/>
        <v>83.3 - day 4</v>
      </c>
      <c r="D579" s="17"/>
      <c r="E579" s="17">
        <f t="shared" si="53"/>
        <v>13436</v>
      </c>
      <c r="F579" s="17"/>
      <c r="G579" s="17"/>
      <c r="H579" s="17">
        <f t="shared" si="51"/>
        <v>13436</v>
      </c>
      <c r="I579" s="17"/>
      <c r="J579" s="17"/>
      <c r="K579" s="17"/>
      <c r="L579" s="17">
        <f t="shared" si="52"/>
        <v>0</v>
      </c>
      <c r="M579" s="17"/>
      <c r="N579" s="21">
        <f t="shared" si="54"/>
        <v>0</v>
      </c>
      <c r="O579" s="17">
        <f t="shared" si="55"/>
        <v>0</v>
      </c>
      <c r="P579" s="20"/>
    </row>
    <row r="580" spans="1:16" ht="21" x14ac:dyDescent="0.5">
      <c r="A580" s="17"/>
      <c r="B580" s="18">
        <v>46822</v>
      </c>
      <c r="C580" s="17" t="str">
        <f t="shared" ref="C580:C643" si="56">(QUOTIENT(ROW()-2,7)+1)&amp;"."&amp;MOD(ROW()-2,7)&amp;" - day "&amp;(MOD(ROW()-2,7)+1)</f>
        <v>83.4 - day 5</v>
      </c>
      <c r="D580" s="17"/>
      <c r="E580" s="17">
        <f t="shared" si="53"/>
        <v>13436</v>
      </c>
      <c r="F580" s="17"/>
      <c r="G580" s="17"/>
      <c r="H580" s="17">
        <f t="shared" ref="H580:H643" si="57">SUM(E580-F580-G580)</f>
        <v>13436</v>
      </c>
      <c r="I580" s="17"/>
      <c r="J580" s="17"/>
      <c r="K580" s="17"/>
      <c r="L580" s="17">
        <f t="shared" ref="L580:L643" si="58">SUM(J580+K580)/H580*100</f>
        <v>0</v>
      </c>
      <c r="M580" s="17"/>
      <c r="N580" s="21">
        <f t="shared" si="54"/>
        <v>0</v>
      </c>
      <c r="O580" s="17">
        <f t="shared" si="55"/>
        <v>0</v>
      </c>
      <c r="P580" s="20"/>
    </row>
    <row r="581" spans="1:16" ht="21" x14ac:dyDescent="0.5">
      <c r="A581" s="17"/>
      <c r="B581" s="18">
        <v>46823</v>
      </c>
      <c r="C581" s="17" t="str">
        <f t="shared" si="56"/>
        <v>83.5 - day 6</v>
      </c>
      <c r="D581" s="17"/>
      <c r="E581" s="17">
        <f t="shared" si="53"/>
        <v>13436</v>
      </c>
      <c r="F581" s="17"/>
      <c r="G581" s="17"/>
      <c r="H581" s="17">
        <f t="shared" si="57"/>
        <v>13436</v>
      </c>
      <c r="I581" s="17"/>
      <c r="J581" s="17"/>
      <c r="K581" s="17"/>
      <c r="L581" s="17">
        <f t="shared" si="58"/>
        <v>0</v>
      </c>
      <c r="M581" s="17"/>
      <c r="N581" s="21">
        <f t="shared" si="54"/>
        <v>0</v>
      </c>
      <c r="O581" s="17">
        <f t="shared" si="55"/>
        <v>0</v>
      </c>
      <c r="P581" s="20"/>
    </row>
    <row r="582" spans="1:16" ht="21" x14ac:dyDescent="0.5">
      <c r="A582" s="17"/>
      <c r="B582" s="18">
        <v>46824</v>
      </c>
      <c r="C582" s="17" t="str">
        <f t="shared" si="56"/>
        <v>83.6 - day 7</v>
      </c>
      <c r="D582" s="17"/>
      <c r="E582" s="17">
        <f t="shared" ref="E582:E645" si="59">H581</f>
        <v>13436</v>
      </c>
      <c r="F582" s="17"/>
      <c r="G582" s="17"/>
      <c r="H582" s="17">
        <f t="shared" si="57"/>
        <v>13436</v>
      </c>
      <c r="I582" s="17"/>
      <c r="J582" s="17"/>
      <c r="K582" s="17"/>
      <c r="L582" s="17">
        <f t="shared" si="58"/>
        <v>0</v>
      </c>
      <c r="M582" s="17"/>
      <c r="N582" s="21">
        <f t="shared" si="54"/>
        <v>0</v>
      </c>
      <c r="O582" s="17">
        <f t="shared" si="55"/>
        <v>0</v>
      </c>
      <c r="P582" s="20"/>
    </row>
    <row r="583" spans="1:16" ht="21" x14ac:dyDescent="0.5">
      <c r="A583" s="17"/>
      <c r="B583" s="18">
        <v>46825</v>
      </c>
      <c r="C583" s="17" t="str">
        <f t="shared" si="56"/>
        <v>84.0 - day 1</v>
      </c>
      <c r="D583" s="17"/>
      <c r="E583" s="17">
        <f t="shared" si="59"/>
        <v>13436</v>
      </c>
      <c r="F583" s="17"/>
      <c r="G583" s="17"/>
      <c r="H583" s="17">
        <f t="shared" si="57"/>
        <v>13436</v>
      </c>
      <c r="I583" s="17"/>
      <c r="J583" s="17"/>
      <c r="K583" s="17"/>
      <c r="L583" s="17">
        <f t="shared" si="58"/>
        <v>0</v>
      </c>
      <c r="M583" s="17"/>
      <c r="N583" s="21">
        <f t="shared" si="54"/>
        <v>0</v>
      </c>
      <c r="O583" s="17">
        <f t="shared" si="55"/>
        <v>0</v>
      </c>
      <c r="P583" s="20"/>
    </row>
    <row r="584" spans="1:16" ht="21" x14ac:dyDescent="0.5">
      <c r="A584" s="17"/>
      <c r="B584" s="18">
        <v>46826</v>
      </c>
      <c r="C584" s="17" t="str">
        <f t="shared" si="56"/>
        <v>84.1 - day 2</v>
      </c>
      <c r="D584" s="17"/>
      <c r="E584" s="17">
        <f t="shared" si="59"/>
        <v>13436</v>
      </c>
      <c r="F584" s="17"/>
      <c r="G584" s="17"/>
      <c r="H584" s="17">
        <f t="shared" si="57"/>
        <v>13436</v>
      </c>
      <c r="I584" s="17"/>
      <c r="J584" s="17"/>
      <c r="K584" s="17"/>
      <c r="L584" s="17">
        <f t="shared" si="58"/>
        <v>0</v>
      </c>
      <c r="M584" s="17"/>
      <c r="N584" s="21">
        <f t="shared" si="54"/>
        <v>0</v>
      </c>
      <c r="O584" s="17">
        <f t="shared" si="55"/>
        <v>0</v>
      </c>
      <c r="P584" s="20"/>
    </row>
    <row r="585" spans="1:16" ht="21" x14ac:dyDescent="0.5">
      <c r="A585" s="17"/>
      <c r="B585" s="18">
        <v>46827</v>
      </c>
      <c r="C585" s="17" t="str">
        <f t="shared" si="56"/>
        <v>84.2 - day 3</v>
      </c>
      <c r="D585" s="17"/>
      <c r="E585" s="17">
        <f t="shared" si="59"/>
        <v>13436</v>
      </c>
      <c r="F585" s="17"/>
      <c r="G585" s="17"/>
      <c r="H585" s="17">
        <f t="shared" si="57"/>
        <v>13436</v>
      </c>
      <c r="I585" s="17"/>
      <c r="J585" s="17"/>
      <c r="K585" s="17"/>
      <c r="L585" s="17">
        <f t="shared" si="58"/>
        <v>0</v>
      </c>
      <c r="M585" s="17"/>
      <c r="N585" s="21">
        <f t="shared" si="54"/>
        <v>0</v>
      </c>
      <c r="O585" s="17">
        <f t="shared" si="55"/>
        <v>0</v>
      </c>
      <c r="P585" s="20"/>
    </row>
    <row r="586" spans="1:16" ht="21" x14ac:dyDescent="0.5">
      <c r="A586" s="17"/>
      <c r="B586" s="18">
        <v>46828</v>
      </c>
      <c r="C586" s="17" t="str">
        <f t="shared" si="56"/>
        <v>84.3 - day 4</v>
      </c>
      <c r="D586" s="17"/>
      <c r="E586" s="17">
        <f t="shared" si="59"/>
        <v>13436</v>
      </c>
      <c r="F586" s="17"/>
      <c r="G586" s="17"/>
      <c r="H586" s="17">
        <f t="shared" si="57"/>
        <v>13436</v>
      </c>
      <c r="I586" s="17"/>
      <c r="J586" s="17"/>
      <c r="K586" s="17"/>
      <c r="L586" s="17">
        <f t="shared" si="58"/>
        <v>0</v>
      </c>
      <c r="M586" s="17"/>
      <c r="N586" s="21">
        <f t="shared" si="54"/>
        <v>0</v>
      </c>
      <c r="O586" s="17">
        <f t="shared" si="55"/>
        <v>0</v>
      </c>
      <c r="P586" s="20"/>
    </row>
    <row r="587" spans="1:16" ht="21" x14ac:dyDescent="0.5">
      <c r="A587" s="17"/>
      <c r="B587" s="18">
        <v>46829</v>
      </c>
      <c r="C587" s="17" t="str">
        <f t="shared" si="56"/>
        <v>84.4 - day 5</v>
      </c>
      <c r="D587" s="17"/>
      <c r="E587" s="17">
        <f t="shared" si="59"/>
        <v>13436</v>
      </c>
      <c r="F587" s="17"/>
      <c r="G587" s="17"/>
      <c r="H587" s="17">
        <f t="shared" si="57"/>
        <v>13436</v>
      </c>
      <c r="I587" s="17"/>
      <c r="J587" s="17"/>
      <c r="K587" s="17"/>
      <c r="L587" s="17">
        <f t="shared" si="58"/>
        <v>0</v>
      </c>
      <c r="M587" s="17"/>
      <c r="N587" s="21">
        <f t="shared" si="54"/>
        <v>0</v>
      </c>
      <c r="O587" s="17">
        <f t="shared" si="55"/>
        <v>0</v>
      </c>
      <c r="P587" s="20"/>
    </row>
    <row r="588" spans="1:16" ht="21" x14ac:dyDescent="0.5">
      <c r="A588" s="17"/>
      <c r="B588" s="18">
        <v>46830</v>
      </c>
      <c r="C588" s="17" t="str">
        <f t="shared" si="56"/>
        <v>84.5 - day 6</v>
      </c>
      <c r="D588" s="17"/>
      <c r="E588" s="17">
        <f t="shared" si="59"/>
        <v>13436</v>
      </c>
      <c r="F588" s="17"/>
      <c r="G588" s="17"/>
      <c r="H588" s="17">
        <f t="shared" si="57"/>
        <v>13436</v>
      </c>
      <c r="I588" s="17"/>
      <c r="J588" s="17"/>
      <c r="K588" s="17"/>
      <c r="L588" s="17">
        <f t="shared" si="58"/>
        <v>0</v>
      </c>
      <c r="M588" s="17"/>
      <c r="N588" s="21">
        <f t="shared" si="54"/>
        <v>0</v>
      </c>
      <c r="O588" s="17">
        <f t="shared" si="55"/>
        <v>0</v>
      </c>
      <c r="P588" s="20"/>
    </row>
    <row r="589" spans="1:16" ht="21" x14ac:dyDescent="0.5">
      <c r="A589" s="17"/>
      <c r="B589" s="18">
        <v>46831</v>
      </c>
      <c r="C589" s="17" t="str">
        <f t="shared" si="56"/>
        <v>84.6 - day 7</v>
      </c>
      <c r="D589" s="17"/>
      <c r="E589" s="17">
        <f t="shared" si="59"/>
        <v>13436</v>
      </c>
      <c r="F589" s="17"/>
      <c r="G589" s="17"/>
      <c r="H589" s="17">
        <f t="shared" si="57"/>
        <v>13436</v>
      </c>
      <c r="I589" s="17"/>
      <c r="J589" s="17"/>
      <c r="K589" s="17"/>
      <c r="L589" s="17">
        <f t="shared" si="58"/>
        <v>0</v>
      </c>
      <c r="M589" s="17"/>
      <c r="N589" s="21">
        <f t="shared" si="54"/>
        <v>0</v>
      </c>
      <c r="O589" s="17">
        <f t="shared" si="55"/>
        <v>0</v>
      </c>
      <c r="P589" s="20"/>
    </row>
    <row r="590" spans="1:16" ht="21" x14ac:dyDescent="0.5">
      <c r="A590" s="17"/>
      <c r="B590" s="18">
        <v>46832</v>
      </c>
      <c r="C590" s="17" t="str">
        <f t="shared" si="56"/>
        <v>85.0 - day 1</v>
      </c>
      <c r="D590" s="17"/>
      <c r="E590" s="17">
        <f t="shared" si="59"/>
        <v>13436</v>
      </c>
      <c r="F590" s="17"/>
      <c r="G590" s="17"/>
      <c r="H590" s="17">
        <f t="shared" si="57"/>
        <v>13436</v>
      </c>
      <c r="I590" s="17"/>
      <c r="J590" s="17"/>
      <c r="K590" s="17"/>
      <c r="L590" s="17">
        <f t="shared" si="58"/>
        <v>0</v>
      </c>
      <c r="M590" s="17"/>
      <c r="N590" s="21">
        <f t="shared" si="54"/>
        <v>0</v>
      </c>
      <c r="O590" s="17">
        <f t="shared" si="55"/>
        <v>0</v>
      </c>
      <c r="P590" s="20"/>
    </row>
    <row r="591" spans="1:16" ht="21" x14ac:dyDescent="0.5">
      <c r="A591" s="17"/>
      <c r="B591" s="18">
        <v>46833</v>
      </c>
      <c r="C591" s="17" t="str">
        <f t="shared" si="56"/>
        <v>85.1 - day 2</v>
      </c>
      <c r="D591" s="17"/>
      <c r="E591" s="17">
        <f t="shared" si="59"/>
        <v>13436</v>
      </c>
      <c r="F591" s="17"/>
      <c r="G591" s="17"/>
      <c r="H591" s="17">
        <f t="shared" si="57"/>
        <v>13436</v>
      </c>
      <c r="I591" s="17"/>
      <c r="J591" s="17"/>
      <c r="K591" s="17"/>
      <c r="L591" s="17">
        <f t="shared" si="58"/>
        <v>0</v>
      </c>
      <c r="M591" s="17"/>
      <c r="N591" s="21">
        <f t="shared" si="54"/>
        <v>0</v>
      </c>
      <c r="O591" s="17">
        <f t="shared" si="55"/>
        <v>0</v>
      </c>
      <c r="P591" s="20"/>
    </row>
    <row r="592" spans="1:16" ht="21" x14ac:dyDescent="0.5">
      <c r="A592" s="17"/>
      <c r="B592" s="18">
        <v>46834</v>
      </c>
      <c r="C592" s="17" t="str">
        <f t="shared" si="56"/>
        <v>85.2 - day 3</v>
      </c>
      <c r="D592" s="17"/>
      <c r="E592" s="17">
        <f t="shared" si="59"/>
        <v>13436</v>
      </c>
      <c r="F592" s="17"/>
      <c r="G592" s="17"/>
      <c r="H592" s="17">
        <f t="shared" si="57"/>
        <v>13436</v>
      </c>
      <c r="I592" s="17"/>
      <c r="J592" s="17"/>
      <c r="K592" s="17"/>
      <c r="L592" s="17">
        <f t="shared" si="58"/>
        <v>0</v>
      </c>
      <c r="M592" s="17"/>
      <c r="N592" s="21">
        <f t="shared" si="54"/>
        <v>0</v>
      </c>
      <c r="O592" s="17">
        <f t="shared" si="55"/>
        <v>0</v>
      </c>
      <c r="P592" s="20"/>
    </row>
    <row r="593" spans="1:16" ht="21" x14ac:dyDescent="0.5">
      <c r="A593" s="17"/>
      <c r="B593" s="18">
        <v>46835</v>
      </c>
      <c r="C593" s="17" t="str">
        <f t="shared" si="56"/>
        <v>85.3 - day 4</v>
      </c>
      <c r="D593" s="17"/>
      <c r="E593" s="17">
        <f t="shared" si="59"/>
        <v>13436</v>
      </c>
      <c r="F593" s="17"/>
      <c r="G593" s="17"/>
      <c r="H593" s="17">
        <f t="shared" si="57"/>
        <v>13436</v>
      </c>
      <c r="I593" s="17"/>
      <c r="J593" s="17"/>
      <c r="K593" s="17"/>
      <c r="L593" s="17">
        <f t="shared" si="58"/>
        <v>0</v>
      </c>
      <c r="M593" s="17"/>
      <c r="N593" s="21">
        <f t="shared" si="54"/>
        <v>0</v>
      </c>
      <c r="O593" s="17">
        <f t="shared" si="55"/>
        <v>0</v>
      </c>
      <c r="P593" s="20"/>
    </row>
    <row r="594" spans="1:16" ht="21" x14ac:dyDescent="0.5">
      <c r="A594" s="17"/>
      <c r="B594" s="18">
        <v>46836</v>
      </c>
      <c r="C594" s="17" t="str">
        <f t="shared" si="56"/>
        <v>85.4 - day 5</v>
      </c>
      <c r="D594" s="17"/>
      <c r="E594" s="17">
        <f t="shared" si="59"/>
        <v>13436</v>
      </c>
      <c r="F594" s="17"/>
      <c r="G594" s="17"/>
      <c r="H594" s="17">
        <f t="shared" si="57"/>
        <v>13436</v>
      </c>
      <c r="I594" s="17"/>
      <c r="J594" s="17"/>
      <c r="K594" s="17"/>
      <c r="L594" s="17">
        <f t="shared" si="58"/>
        <v>0</v>
      </c>
      <c r="M594" s="17"/>
      <c r="N594" s="21">
        <f t="shared" si="54"/>
        <v>0</v>
      </c>
      <c r="O594" s="17">
        <f t="shared" si="55"/>
        <v>0</v>
      </c>
      <c r="P594" s="20"/>
    </row>
    <row r="595" spans="1:16" ht="21" x14ac:dyDescent="0.5">
      <c r="A595" s="17"/>
      <c r="B595" s="18">
        <v>46837</v>
      </c>
      <c r="C595" s="17" t="str">
        <f t="shared" si="56"/>
        <v>85.5 - day 6</v>
      </c>
      <c r="D595" s="17"/>
      <c r="E595" s="17">
        <f t="shared" si="59"/>
        <v>13436</v>
      </c>
      <c r="F595" s="17"/>
      <c r="G595" s="17"/>
      <c r="H595" s="17">
        <f t="shared" si="57"/>
        <v>13436</v>
      </c>
      <c r="I595" s="17"/>
      <c r="J595" s="17"/>
      <c r="K595" s="17"/>
      <c r="L595" s="17">
        <f t="shared" si="58"/>
        <v>0</v>
      </c>
      <c r="M595" s="17"/>
      <c r="N595" s="21">
        <f t="shared" si="54"/>
        <v>0</v>
      </c>
      <c r="O595" s="17">
        <f t="shared" si="55"/>
        <v>0</v>
      </c>
      <c r="P595" s="20"/>
    </row>
    <row r="596" spans="1:16" ht="21" x14ac:dyDescent="0.5">
      <c r="A596" s="17"/>
      <c r="B596" s="18">
        <v>46838</v>
      </c>
      <c r="C596" s="17" t="str">
        <f t="shared" si="56"/>
        <v>85.6 - day 7</v>
      </c>
      <c r="D596" s="17"/>
      <c r="E596" s="17">
        <f t="shared" si="59"/>
        <v>13436</v>
      </c>
      <c r="F596" s="17"/>
      <c r="G596" s="17"/>
      <c r="H596" s="17">
        <f t="shared" si="57"/>
        <v>13436</v>
      </c>
      <c r="I596" s="17"/>
      <c r="J596" s="17"/>
      <c r="K596" s="17"/>
      <c r="L596" s="17">
        <f t="shared" si="58"/>
        <v>0</v>
      </c>
      <c r="M596" s="17"/>
      <c r="N596" s="21">
        <f t="shared" si="54"/>
        <v>0</v>
      </c>
      <c r="O596" s="17">
        <f t="shared" si="55"/>
        <v>0</v>
      </c>
      <c r="P596" s="20"/>
    </row>
    <row r="597" spans="1:16" ht="21" x14ac:dyDescent="0.5">
      <c r="A597" s="17"/>
      <c r="B597" s="18">
        <v>46839</v>
      </c>
      <c r="C597" s="17" t="str">
        <f t="shared" si="56"/>
        <v>86.0 - day 1</v>
      </c>
      <c r="D597" s="17"/>
      <c r="E597" s="17">
        <f t="shared" si="59"/>
        <v>13436</v>
      </c>
      <c r="F597" s="17"/>
      <c r="G597" s="17"/>
      <c r="H597" s="17">
        <f t="shared" si="57"/>
        <v>13436</v>
      </c>
      <c r="I597" s="17"/>
      <c r="J597" s="17"/>
      <c r="K597" s="17"/>
      <c r="L597" s="17">
        <f t="shared" si="58"/>
        <v>0</v>
      </c>
      <c r="M597" s="17"/>
      <c r="N597" s="21">
        <f t="shared" ref="N597:N660" si="60">SUM(L597-M597)</f>
        <v>0</v>
      </c>
      <c r="O597" s="17">
        <f t="shared" ref="O597:O660" si="61">SUM(I597/H597)*1000</f>
        <v>0</v>
      </c>
      <c r="P597" s="20"/>
    </row>
    <row r="598" spans="1:16" ht="21" x14ac:dyDescent="0.5">
      <c r="A598" s="17"/>
      <c r="B598" s="18">
        <v>46840</v>
      </c>
      <c r="C598" s="17" t="str">
        <f t="shared" si="56"/>
        <v>86.1 - day 2</v>
      </c>
      <c r="D598" s="17"/>
      <c r="E598" s="17">
        <f t="shared" si="59"/>
        <v>13436</v>
      </c>
      <c r="F598" s="17"/>
      <c r="G598" s="17"/>
      <c r="H598" s="17">
        <f t="shared" si="57"/>
        <v>13436</v>
      </c>
      <c r="I598" s="17"/>
      <c r="J598" s="17"/>
      <c r="K598" s="17"/>
      <c r="L598" s="17">
        <f t="shared" si="58"/>
        <v>0</v>
      </c>
      <c r="M598" s="17"/>
      <c r="N598" s="21">
        <f t="shared" si="60"/>
        <v>0</v>
      </c>
      <c r="O598" s="17">
        <f t="shared" si="61"/>
        <v>0</v>
      </c>
      <c r="P598" s="20"/>
    </row>
    <row r="599" spans="1:16" ht="21" x14ac:dyDescent="0.5">
      <c r="A599" s="17"/>
      <c r="B599" s="18">
        <v>46841</v>
      </c>
      <c r="C599" s="17" t="str">
        <f t="shared" si="56"/>
        <v>86.2 - day 3</v>
      </c>
      <c r="D599" s="17"/>
      <c r="E599" s="17">
        <f t="shared" si="59"/>
        <v>13436</v>
      </c>
      <c r="F599" s="17"/>
      <c r="G599" s="17"/>
      <c r="H599" s="17">
        <f t="shared" si="57"/>
        <v>13436</v>
      </c>
      <c r="I599" s="17"/>
      <c r="J599" s="17"/>
      <c r="K599" s="17"/>
      <c r="L599" s="17">
        <f t="shared" si="58"/>
        <v>0</v>
      </c>
      <c r="M599" s="17"/>
      <c r="N599" s="21">
        <f t="shared" si="60"/>
        <v>0</v>
      </c>
      <c r="O599" s="17">
        <f t="shared" si="61"/>
        <v>0</v>
      </c>
      <c r="P599" s="20"/>
    </row>
    <row r="600" spans="1:16" ht="21" x14ac:dyDescent="0.5">
      <c r="A600" s="17"/>
      <c r="B600" s="18">
        <v>46842</v>
      </c>
      <c r="C600" s="17" t="str">
        <f t="shared" si="56"/>
        <v>86.3 - day 4</v>
      </c>
      <c r="D600" s="17"/>
      <c r="E600" s="17">
        <f t="shared" si="59"/>
        <v>13436</v>
      </c>
      <c r="F600" s="17"/>
      <c r="G600" s="17"/>
      <c r="H600" s="17">
        <f t="shared" si="57"/>
        <v>13436</v>
      </c>
      <c r="I600" s="17"/>
      <c r="J600" s="17"/>
      <c r="K600" s="17"/>
      <c r="L600" s="17">
        <f t="shared" si="58"/>
        <v>0</v>
      </c>
      <c r="M600" s="17"/>
      <c r="N600" s="21">
        <f t="shared" si="60"/>
        <v>0</v>
      </c>
      <c r="O600" s="17">
        <f t="shared" si="61"/>
        <v>0</v>
      </c>
      <c r="P600" s="20"/>
    </row>
    <row r="601" spans="1:16" ht="21" x14ac:dyDescent="0.5">
      <c r="A601" s="17"/>
      <c r="B601" s="18">
        <v>46843</v>
      </c>
      <c r="C601" s="17" t="str">
        <f t="shared" si="56"/>
        <v>86.4 - day 5</v>
      </c>
      <c r="D601" s="17"/>
      <c r="E601" s="17">
        <f t="shared" si="59"/>
        <v>13436</v>
      </c>
      <c r="F601" s="17"/>
      <c r="G601" s="17"/>
      <c r="H601" s="17">
        <f t="shared" si="57"/>
        <v>13436</v>
      </c>
      <c r="I601" s="17"/>
      <c r="J601" s="17"/>
      <c r="K601" s="17"/>
      <c r="L601" s="17">
        <f t="shared" si="58"/>
        <v>0</v>
      </c>
      <c r="M601" s="17"/>
      <c r="N601" s="21">
        <f t="shared" si="60"/>
        <v>0</v>
      </c>
      <c r="O601" s="17">
        <f t="shared" si="61"/>
        <v>0</v>
      </c>
      <c r="P601" s="20"/>
    </row>
    <row r="602" spans="1:16" ht="21" x14ac:dyDescent="0.5">
      <c r="A602" s="17"/>
      <c r="B602" s="18">
        <v>46844</v>
      </c>
      <c r="C602" s="17" t="str">
        <f t="shared" si="56"/>
        <v>86.5 - day 6</v>
      </c>
      <c r="D602" s="17"/>
      <c r="E602" s="17">
        <f t="shared" si="59"/>
        <v>13436</v>
      </c>
      <c r="F602" s="17"/>
      <c r="G602" s="17"/>
      <c r="H602" s="17">
        <f t="shared" si="57"/>
        <v>13436</v>
      </c>
      <c r="I602" s="17"/>
      <c r="J602" s="17"/>
      <c r="K602" s="17"/>
      <c r="L602" s="17">
        <f t="shared" si="58"/>
        <v>0</v>
      </c>
      <c r="M602" s="17"/>
      <c r="N602" s="21">
        <f t="shared" si="60"/>
        <v>0</v>
      </c>
      <c r="O602" s="17">
        <f t="shared" si="61"/>
        <v>0</v>
      </c>
      <c r="P602" s="20"/>
    </row>
    <row r="603" spans="1:16" ht="21" x14ac:dyDescent="0.5">
      <c r="A603" s="17"/>
      <c r="B603" s="18">
        <v>46845</v>
      </c>
      <c r="C603" s="17" t="str">
        <f t="shared" si="56"/>
        <v>86.6 - day 7</v>
      </c>
      <c r="D603" s="17"/>
      <c r="E603" s="17">
        <f t="shared" si="59"/>
        <v>13436</v>
      </c>
      <c r="F603" s="17"/>
      <c r="G603" s="17"/>
      <c r="H603" s="17">
        <f t="shared" si="57"/>
        <v>13436</v>
      </c>
      <c r="I603" s="17"/>
      <c r="J603" s="17"/>
      <c r="K603" s="17"/>
      <c r="L603" s="17">
        <f t="shared" si="58"/>
        <v>0</v>
      </c>
      <c r="M603" s="17"/>
      <c r="N603" s="21">
        <f t="shared" si="60"/>
        <v>0</v>
      </c>
      <c r="O603" s="17">
        <f t="shared" si="61"/>
        <v>0</v>
      </c>
      <c r="P603" s="20"/>
    </row>
    <row r="604" spans="1:16" ht="21" x14ac:dyDescent="0.5">
      <c r="A604" s="17"/>
      <c r="B604" s="18">
        <v>46846</v>
      </c>
      <c r="C604" s="17" t="str">
        <f t="shared" si="56"/>
        <v>87.0 - day 1</v>
      </c>
      <c r="D604" s="17"/>
      <c r="E604" s="17">
        <f t="shared" si="59"/>
        <v>13436</v>
      </c>
      <c r="F604" s="17"/>
      <c r="G604" s="17"/>
      <c r="H604" s="17">
        <f t="shared" si="57"/>
        <v>13436</v>
      </c>
      <c r="I604" s="17"/>
      <c r="J604" s="17"/>
      <c r="K604" s="17"/>
      <c r="L604" s="17">
        <f t="shared" si="58"/>
        <v>0</v>
      </c>
      <c r="M604" s="17"/>
      <c r="N604" s="21">
        <f t="shared" si="60"/>
        <v>0</v>
      </c>
      <c r="O604" s="17">
        <f t="shared" si="61"/>
        <v>0</v>
      </c>
      <c r="P604" s="20"/>
    </row>
    <row r="605" spans="1:16" ht="21" x14ac:dyDescent="0.5">
      <c r="A605" s="17"/>
      <c r="B605" s="18">
        <v>46847</v>
      </c>
      <c r="C605" s="17" t="str">
        <f t="shared" si="56"/>
        <v>87.1 - day 2</v>
      </c>
      <c r="D605" s="17"/>
      <c r="E605" s="17">
        <f t="shared" si="59"/>
        <v>13436</v>
      </c>
      <c r="F605" s="17"/>
      <c r="G605" s="17"/>
      <c r="H605" s="17">
        <f t="shared" si="57"/>
        <v>13436</v>
      </c>
      <c r="I605" s="17"/>
      <c r="J605" s="17"/>
      <c r="K605" s="17"/>
      <c r="L605" s="17">
        <f t="shared" si="58"/>
        <v>0</v>
      </c>
      <c r="M605" s="17"/>
      <c r="N605" s="21">
        <f t="shared" si="60"/>
        <v>0</v>
      </c>
      <c r="O605" s="17">
        <f t="shared" si="61"/>
        <v>0</v>
      </c>
      <c r="P605" s="20"/>
    </row>
    <row r="606" spans="1:16" ht="21" x14ac:dyDescent="0.5">
      <c r="A606" s="17"/>
      <c r="B606" s="18">
        <v>46848</v>
      </c>
      <c r="C606" s="17" t="str">
        <f t="shared" si="56"/>
        <v>87.2 - day 3</v>
      </c>
      <c r="D606" s="17"/>
      <c r="E606" s="17">
        <f t="shared" si="59"/>
        <v>13436</v>
      </c>
      <c r="F606" s="17"/>
      <c r="G606" s="17"/>
      <c r="H606" s="17">
        <f t="shared" si="57"/>
        <v>13436</v>
      </c>
      <c r="I606" s="17"/>
      <c r="J606" s="17"/>
      <c r="K606" s="17"/>
      <c r="L606" s="17">
        <f t="shared" si="58"/>
        <v>0</v>
      </c>
      <c r="M606" s="17"/>
      <c r="N606" s="21">
        <f t="shared" si="60"/>
        <v>0</v>
      </c>
      <c r="O606" s="17">
        <f t="shared" si="61"/>
        <v>0</v>
      </c>
      <c r="P606" s="20"/>
    </row>
    <row r="607" spans="1:16" ht="21" x14ac:dyDescent="0.5">
      <c r="A607" s="17"/>
      <c r="B607" s="18">
        <v>46849</v>
      </c>
      <c r="C607" s="17" t="str">
        <f t="shared" si="56"/>
        <v>87.3 - day 4</v>
      </c>
      <c r="D607" s="17"/>
      <c r="E607" s="17">
        <f t="shared" si="59"/>
        <v>13436</v>
      </c>
      <c r="F607" s="17"/>
      <c r="G607" s="17"/>
      <c r="H607" s="17">
        <f t="shared" si="57"/>
        <v>13436</v>
      </c>
      <c r="I607" s="17"/>
      <c r="J607" s="17"/>
      <c r="K607" s="17"/>
      <c r="L607" s="17">
        <f t="shared" si="58"/>
        <v>0</v>
      </c>
      <c r="M607" s="17"/>
      <c r="N607" s="21">
        <f t="shared" si="60"/>
        <v>0</v>
      </c>
      <c r="O607" s="17">
        <f t="shared" si="61"/>
        <v>0</v>
      </c>
      <c r="P607" s="20"/>
    </row>
    <row r="608" spans="1:16" ht="21" x14ac:dyDescent="0.5">
      <c r="A608" s="17"/>
      <c r="B608" s="18">
        <v>46850</v>
      </c>
      <c r="C608" s="17" t="str">
        <f t="shared" si="56"/>
        <v>87.4 - day 5</v>
      </c>
      <c r="D608" s="17"/>
      <c r="E608" s="17">
        <f t="shared" si="59"/>
        <v>13436</v>
      </c>
      <c r="F608" s="17"/>
      <c r="G608" s="17"/>
      <c r="H608" s="17">
        <f t="shared" si="57"/>
        <v>13436</v>
      </c>
      <c r="I608" s="17"/>
      <c r="J608" s="17"/>
      <c r="K608" s="17"/>
      <c r="L608" s="17">
        <f t="shared" si="58"/>
        <v>0</v>
      </c>
      <c r="M608" s="17"/>
      <c r="N608" s="21">
        <f t="shared" si="60"/>
        <v>0</v>
      </c>
      <c r="O608" s="17">
        <f t="shared" si="61"/>
        <v>0</v>
      </c>
      <c r="P608" s="20"/>
    </row>
    <row r="609" spans="1:16" ht="21" x14ac:dyDescent="0.5">
      <c r="A609" s="17"/>
      <c r="B609" s="18">
        <v>46851</v>
      </c>
      <c r="C609" s="17" t="str">
        <f t="shared" si="56"/>
        <v>87.5 - day 6</v>
      </c>
      <c r="D609" s="17"/>
      <c r="E609" s="17">
        <f t="shared" si="59"/>
        <v>13436</v>
      </c>
      <c r="F609" s="17"/>
      <c r="G609" s="17"/>
      <c r="H609" s="17">
        <f t="shared" si="57"/>
        <v>13436</v>
      </c>
      <c r="I609" s="17"/>
      <c r="J609" s="17"/>
      <c r="K609" s="17"/>
      <c r="L609" s="17">
        <f t="shared" si="58"/>
        <v>0</v>
      </c>
      <c r="M609" s="17"/>
      <c r="N609" s="21">
        <f t="shared" si="60"/>
        <v>0</v>
      </c>
      <c r="O609" s="17">
        <f t="shared" si="61"/>
        <v>0</v>
      </c>
      <c r="P609" s="20"/>
    </row>
    <row r="610" spans="1:16" ht="21" x14ac:dyDescent="0.5">
      <c r="A610" s="17"/>
      <c r="B610" s="18">
        <v>46852</v>
      </c>
      <c r="C610" s="17" t="str">
        <f t="shared" si="56"/>
        <v>87.6 - day 7</v>
      </c>
      <c r="D610" s="17"/>
      <c r="E610" s="17">
        <f t="shared" si="59"/>
        <v>13436</v>
      </c>
      <c r="F610" s="17"/>
      <c r="G610" s="17"/>
      <c r="H610" s="17">
        <f t="shared" si="57"/>
        <v>13436</v>
      </c>
      <c r="I610" s="17"/>
      <c r="J610" s="17"/>
      <c r="K610" s="17"/>
      <c r="L610" s="17">
        <f t="shared" si="58"/>
        <v>0</v>
      </c>
      <c r="M610" s="17"/>
      <c r="N610" s="21">
        <f t="shared" si="60"/>
        <v>0</v>
      </c>
      <c r="O610" s="17">
        <f t="shared" si="61"/>
        <v>0</v>
      </c>
      <c r="P610" s="20"/>
    </row>
    <row r="611" spans="1:16" ht="21" x14ac:dyDescent="0.5">
      <c r="A611" s="17"/>
      <c r="B611" s="18">
        <v>46853</v>
      </c>
      <c r="C611" s="17" t="str">
        <f t="shared" si="56"/>
        <v>88.0 - day 1</v>
      </c>
      <c r="D611" s="17"/>
      <c r="E611" s="17">
        <f t="shared" si="59"/>
        <v>13436</v>
      </c>
      <c r="F611" s="17"/>
      <c r="G611" s="17"/>
      <c r="H611" s="17">
        <f t="shared" si="57"/>
        <v>13436</v>
      </c>
      <c r="I611" s="17"/>
      <c r="J611" s="17"/>
      <c r="K611" s="17"/>
      <c r="L611" s="17">
        <f t="shared" si="58"/>
        <v>0</v>
      </c>
      <c r="M611" s="17"/>
      <c r="N611" s="21">
        <f t="shared" si="60"/>
        <v>0</v>
      </c>
      <c r="O611" s="17">
        <f t="shared" si="61"/>
        <v>0</v>
      </c>
      <c r="P611" s="20"/>
    </row>
    <row r="612" spans="1:16" ht="21" x14ac:dyDescent="0.5">
      <c r="A612" s="17"/>
      <c r="B612" s="18">
        <v>46854</v>
      </c>
      <c r="C612" s="17" t="str">
        <f t="shared" si="56"/>
        <v>88.1 - day 2</v>
      </c>
      <c r="D612" s="17"/>
      <c r="E612" s="17">
        <f t="shared" si="59"/>
        <v>13436</v>
      </c>
      <c r="F612" s="17"/>
      <c r="G612" s="17"/>
      <c r="H612" s="17">
        <f t="shared" si="57"/>
        <v>13436</v>
      </c>
      <c r="I612" s="17"/>
      <c r="J612" s="17"/>
      <c r="K612" s="17"/>
      <c r="L612" s="17">
        <f t="shared" si="58"/>
        <v>0</v>
      </c>
      <c r="M612" s="17"/>
      <c r="N612" s="21">
        <f t="shared" si="60"/>
        <v>0</v>
      </c>
      <c r="O612" s="17">
        <f t="shared" si="61"/>
        <v>0</v>
      </c>
      <c r="P612" s="20"/>
    </row>
    <row r="613" spans="1:16" ht="21" x14ac:dyDescent="0.5">
      <c r="A613" s="17"/>
      <c r="B613" s="18">
        <v>46855</v>
      </c>
      <c r="C613" s="17" t="str">
        <f t="shared" si="56"/>
        <v>88.2 - day 3</v>
      </c>
      <c r="D613" s="17"/>
      <c r="E613" s="17">
        <f t="shared" si="59"/>
        <v>13436</v>
      </c>
      <c r="F613" s="17"/>
      <c r="G613" s="17"/>
      <c r="H613" s="17">
        <f t="shared" si="57"/>
        <v>13436</v>
      </c>
      <c r="I613" s="17"/>
      <c r="J613" s="17"/>
      <c r="K613" s="17"/>
      <c r="L613" s="17">
        <f t="shared" si="58"/>
        <v>0</v>
      </c>
      <c r="M613" s="17"/>
      <c r="N613" s="21">
        <f t="shared" si="60"/>
        <v>0</v>
      </c>
      <c r="O613" s="17">
        <f t="shared" si="61"/>
        <v>0</v>
      </c>
      <c r="P613" s="20"/>
    </row>
    <row r="614" spans="1:16" ht="21" x14ac:dyDescent="0.5">
      <c r="A614" s="17"/>
      <c r="B614" s="18">
        <v>46856</v>
      </c>
      <c r="C614" s="17" t="str">
        <f t="shared" si="56"/>
        <v>88.3 - day 4</v>
      </c>
      <c r="D614" s="17"/>
      <c r="E614" s="17">
        <f t="shared" si="59"/>
        <v>13436</v>
      </c>
      <c r="F614" s="17"/>
      <c r="G614" s="17"/>
      <c r="H614" s="17">
        <f t="shared" si="57"/>
        <v>13436</v>
      </c>
      <c r="I614" s="17"/>
      <c r="J614" s="17"/>
      <c r="K614" s="17"/>
      <c r="L614" s="17">
        <f t="shared" si="58"/>
        <v>0</v>
      </c>
      <c r="M614" s="17"/>
      <c r="N614" s="21">
        <f t="shared" si="60"/>
        <v>0</v>
      </c>
      <c r="O614" s="17">
        <f t="shared" si="61"/>
        <v>0</v>
      </c>
      <c r="P614" s="20"/>
    </row>
    <row r="615" spans="1:16" ht="21" x14ac:dyDescent="0.5">
      <c r="A615" s="17"/>
      <c r="B615" s="18">
        <v>46857</v>
      </c>
      <c r="C615" s="17" t="str">
        <f t="shared" si="56"/>
        <v>88.4 - day 5</v>
      </c>
      <c r="D615" s="17"/>
      <c r="E615" s="17">
        <f t="shared" si="59"/>
        <v>13436</v>
      </c>
      <c r="F615" s="17"/>
      <c r="G615" s="17"/>
      <c r="H615" s="17">
        <f t="shared" si="57"/>
        <v>13436</v>
      </c>
      <c r="I615" s="17"/>
      <c r="J615" s="17"/>
      <c r="K615" s="17"/>
      <c r="L615" s="17">
        <f t="shared" si="58"/>
        <v>0</v>
      </c>
      <c r="M615" s="17"/>
      <c r="N615" s="21">
        <f t="shared" si="60"/>
        <v>0</v>
      </c>
      <c r="O615" s="17">
        <f t="shared" si="61"/>
        <v>0</v>
      </c>
      <c r="P615" s="20"/>
    </row>
    <row r="616" spans="1:16" ht="21" x14ac:dyDescent="0.5">
      <c r="A616" s="17"/>
      <c r="B616" s="18">
        <v>46858</v>
      </c>
      <c r="C616" s="17" t="str">
        <f t="shared" si="56"/>
        <v>88.5 - day 6</v>
      </c>
      <c r="D616" s="17"/>
      <c r="E616" s="17">
        <f t="shared" si="59"/>
        <v>13436</v>
      </c>
      <c r="F616" s="17"/>
      <c r="G616" s="17"/>
      <c r="H616" s="17">
        <f t="shared" si="57"/>
        <v>13436</v>
      </c>
      <c r="I616" s="17"/>
      <c r="J616" s="17"/>
      <c r="K616" s="17"/>
      <c r="L616" s="17">
        <f t="shared" si="58"/>
        <v>0</v>
      </c>
      <c r="M616" s="17"/>
      <c r="N616" s="21">
        <f t="shared" si="60"/>
        <v>0</v>
      </c>
      <c r="O616" s="17">
        <f t="shared" si="61"/>
        <v>0</v>
      </c>
      <c r="P616" s="20"/>
    </row>
    <row r="617" spans="1:16" ht="21" x14ac:dyDescent="0.5">
      <c r="A617" s="17"/>
      <c r="B617" s="18">
        <v>46859</v>
      </c>
      <c r="C617" s="17" t="str">
        <f t="shared" si="56"/>
        <v>88.6 - day 7</v>
      </c>
      <c r="D617" s="17"/>
      <c r="E617" s="17">
        <f t="shared" si="59"/>
        <v>13436</v>
      </c>
      <c r="F617" s="17"/>
      <c r="G617" s="17"/>
      <c r="H617" s="17">
        <f t="shared" si="57"/>
        <v>13436</v>
      </c>
      <c r="I617" s="17"/>
      <c r="J617" s="17"/>
      <c r="K617" s="17"/>
      <c r="L617" s="17">
        <f t="shared" si="58"/>
        <v>0</v>
      </c>
      <c r="M617" s="17"/>
      <c r="N617" s="21">
        <f t="shared" si="60"/>
        <v>0</v>
      </c>
      <c r="O617" s="17">
        <f t="shared" si="61"/>
        <v>0</v>
      </c>
      <c r="P617" s="20"/>
    </row>
    <row r="618" spans="1:16" ht="21" x14ac:dyDescent="0.5">
      <c r="A618" s="17"/>
      <c r="B618" s="18">
        <v>46860</v>
      </c>
      <c r="C618" s="17" t="str">
        <f t="shared" si="56"/>
        <v>89.0 - day 1</v>
      </c>
      <c r="D618" s="17"/>
      <c r="E618" s="17">
        <f t="shared" si="59"/>
        <v>13436</v>
      </c>
      <c r="F618" s="17"/>
      <c r="G618" s="17"/>
      <c r="H618" s="17">
        <f t="shared" si="57"/>
        <v>13436</v>
      </c>
      <c r="I618" s="17"/>
      <c r="J618" s="17"/>
      <c r="K618" s="17"/>
      <c r="L618" s="17">
        <f t="shared" si="58"/>
        <v>0</v>
      </c>
      <c r="M618" s="17"/>
      <c r="N618" s="21">
        <f t="shared" si="60"/>
        <v>0</v>
      </c>
      <c r="O618" s="17">
        <f t="shared" si="61"/>
        <v>0</v>
      </c>
      <c r="P618" s="20"/>
    </row>
    <row r="619" spans="1:16" ht="21" x14ac:dyDescent="0.5">
      <c r="A619" s="17"/>
      <c r="B619" s="18">
        <v>46861</v>
      </c>
      <c r="C619" s="17" t="str">
        <f t="shared" si="56"/>
        <v>89.1 - day 2</v>
      </c>
      <c r="D619" s="17"/>
      <c r="E619" s="17">
        <f t="shared" si="59"/>
        <v>13436</v>
      </c>
      <c r="F619" s="17"/>
      <c r="G619" s="17"/>
      <c r="H619" s="17">
        <f t="shared" si="57"/>
        <v>13436</v>
      </c>
      <c r="I619" s="17"/>
      <c r="J619" s="17"/>
      <c r="K619" s="17"/>
      <c r="L619" s="17">
        <f t="shared" si="58"/>
        <v>0</v>
      </c>
      <c r="M619" s="17"/>
      <c r="N619" s="21">
        <f t="shared" si="60"/>
        <v>0</v>
      </c>
      <c r="O619" s="17">
        <f t="shared" si="61"/>
        <v>0</v>
      </c>
      <c r="P619" s="20"/>
    </row>
    <row r="620" spans="1:16" ht="21" x14ac:dyDescent="0.5">
      <c r="A620" s="17"/>
      <c r="B620" s="18">
        <v>46862</v>
      </c>
      <c r="C620" s="17" t="str">
        <f t="shared" si="56"/>
        <v>89.2 - day 3</v>
      </c>
      <c r="D620" s="17"/>
      <c r="E620" s="17">
        <f t="shared" si="59"/>
        <v>13436</v>
      </c>
      <c r="F620" s="17"/>
      <c r="G620" s="17"/>
      <c r="H620" s="17">
        <f t="shared" si="57"/>
        <v>13436</v>
      </c>
      <c r="I620" s="17"/>
      <c r="J620" s="17"/>
      <c r="K620" s="17"/>
      <c r="L620" s="17">
        <f t="shared" si="58"/>
        <v>0</v>
      </c>
      <c r="M620" s="17"/>
      <c r="N620" s="21">
        <f t="shared" si="60"/>
        <v>0</v>
      </c>
      <c r="O620" s="17">
        <f t="shared" si="61"/>
        <v>0</v>
      </c>
      <c r="P620" s="20"/>
    </row>
    <row r="621" spans="1:16" ht="21" x14ac:dyDescent="0.5">
      <c r="A621" s="17"/>
      <c r="B621" s="18">
        <v>46863</v>
      </c>
      <c r="C621" s="17" t="str">
        <f t="shared" si="56"/>
        <v>89.3 - day 4</v>
      </c>
      <c r="D621" s="17"/>
      <c r="E621" s="17">
        <f t="shared" si="59"/>
        <v>13436</v>
      </c>
      <c r="F621" s="17"/>
      <c r="G621" s="17"/>
      <c r="H621" s="17">
        <f t="shared" si="57"/>
        <v>13436</v>
      </c>
      <c r="I621" s="17"/>
      <c r="J621" s="17"/>
      <c r="K621" s="17"/>
      <c r="L621" s="17">
        <f t="shared" si="58"/>
        <v>0</v>
      </c>
      <c r="M621" s="17"/>
      <c r="N621" s="21">
        <f t="shared" si="60"/>
        <v>0</v>
      </c>
      <c r="O621" s="17">
        <f t="shared" si="61"/>
        <v>0</v>
      </c>
      <c r="P621" s="20"/>
    </row>
    <row r="622" spans="1:16" ht="21" x14ac:dyDescent="0.5">
      <c r="A622" s="17"/>
      <c r="B622" s="18">
        <v>46864</v>
      </c>
      <c r="C622" s="17" t="str">
        <f t="shared" si="56"/>
        <v>89.4 - day 5</v>
      </c>
      <c r="D622" s="17"/>
      <c r="E622" s="17">
        <f t="shared" si="59"/>
        <v>13436</v>
      </c>
      <c r="F622" s="17"/>
      <c r="G622" s="17"/>
      <c r="H622" s="17">
        <f t="shared" si="57"/>
        <v>13436</v>
      </c>
      <c r="I622" s="17"/>
      <c r="J622" s="17"/>
      <c r="K622" s="17"/>
      <c r="L622" s="17">
        <f t="shared" si="58"/>
        <v>0</v>
      </c>
      <c r="M622" s="17"/>
      <c r="N622" s="21">
        <f t="shared" si="60"/>
        <v>0</v>
      </c>
      <c r="O622" s="17">
        <f t="shared" si="61"/>
        <v>0</v>
      </c>
      <c r="P622" s="20"/>
    </row>
    <row r="623" spans="1:16" ht="21" x14ac:dyDescent="0.5">
      <c r="A623" s="17"/>
      <c r="B623" s="18">
        <v>46865</v>
      </c>
      <c r="C623" s="17" t="str">
        <f t="shared" si="56"/>
        <v>89.5 - day 6</v>
      </c>
      <c r="D623" s="17"/>
      <c r="E623" s="17">
        <f t="shared" si="59"/>
        <v>13436</v>
      </c>
      <c r="F623" s="17"/>
      <c r="G623" s="17"/>
      <c r="H623" s="17">
        <f t="shared" si="57"/>
        <v>13436</v>
      </c>
      <c r="I623" s="17"/>
      <c r="J623" s="17"/>
      <c r="K623" s="17"/>
      <c r="L623" s="17">
        <f t="shared" si="58"/>
        <v>0</v>
      </c>
      <c r="M623" s="17"/>
      <c r="N623" s="21">
        <f t="shared" si="60"/>
        <v>0</v>
      </c>
      <c r="O623" s="17">
        <f t="shared" si="61"/>
        <v>0</v>
      </c>
      <c r="P623" s="20"/>
    </row>
    <row r="624" spans="1:16" ht="21" x14ac:dyDescent="0.5">
      <c r="A624" s="17"/>
      <c r="B624" s="18">
        <v>46866</v>
      </c>
      <c r="C624" s="17" t="str">
        <f t="shared" si="56"/>
        <v>89.6 - day 7</v>
      </c>
      <c r="D624" s="17"/>
      <c r="E624" s="17">
        <f t="shared" si="59"/>
        <v>13436</v>
      </c>
      <c r="F624" s="17"/>
      <c r="G624" s="17"/>
      <c r="H624" s="17">
        <f t="shared" si="57"/>
        <v>13436</v>
      </c>
      <c r="I624" s="17"/>
      <c r="J624" s="17"/>
      <c r="K624" s="17"/>
      <c r="L624" s="17">
        <f t="shared" si="58"/>
        <v>0</v>
      </c>
      <c r="M624" s="17"/>
      <c r="N624" s="21">
        <f t="shared" si="60"/>
        <v>0</v>
      </c>
      <c r="O624" s="17">
        <f t="shared" si="61"/>
        <v>0</v>
      </c>
      <c r="P624" s="20"/>
    </row>
    <row r="625" spans="1:16" ht="21" x14ac:dyDescent="0.5">
      <c r="A625" s="17"/>
      <c r="B625" s="18">
        <v>46867</v>
      </c>
      <c r="C625" s="17" t="str">
        <f t="shared" si="56"/>
        <v>90.0 - day 1</v>
      </c>
      <c r="D625" s="17"/>
      <c r="E625" s="17">
        <f t="shared" si="59"/>
        <v>13436</v>
      </c>
      <c r="F625" s="17"/>
      <c r="G625" s="17"/>
      <c r="H625" s="17">
        <f t="shared" si="57"/>
        <v>13436</v>
      </c>
      <c r="I625" s="17"/>
      <c r="J625" s="17"/>
      <c r="K625" s="17"/>
      <c r="L625" s="17">
        <f t="shared" si="58"/>
        <v>0</v>
      </c>
      <c r="M625" s="17"/>
      <c r="N625" s="21">
        <f t="shared" si="60"/>
        <v>0</v>
      </c>
      <c r="O625" s="17">
        <f t="shared" si="61"/>
        <v>0</v>
      </c>
      <c r="P625" s="20"/>
    </row>
    <row r="626" spans="1:16" ht="21" x14ac:dyDescent="0.5">
      <c r="A626" s="17"/>
      <c r="B626" s="18">
        <v>46868</v>
      </c>
      <c r="C626" s="17" t="str">
        <f t="shared" si="56"/>
        <v>90.1 - day 2</v>
      </c>
      <c r="D626" s="17"/>
      <c r="E626" s="17">
        <f t="shared" si="59"/>
        <v>13436</v>
      </c>
      <c r="F626" s="17"/>
      <c r="G626" s="17"/>
      <c r="H626" s="17">
        <f t="shared" si="57"/>
        <v>13436</v>
      </c>
      <c r="I626" s="17"/>
      <c r="J626" s="17"/>
      <c r="K626" s="17"/>
      <c r="L626" s="17">
        <f t="shared" si="58"/>
        <v>0</v>
      </c>
      <c r="M626" s="17"/>
      <c r="N626" s="21">
        <f t="shared" si="60"/>
        <v>0</v>
      </c>
      <c r="O626" s="17">
        <f t="shared" si="61"/>
        <v>0</v>
      </c>
      <c r="P626" s="20"/>
    </row>
    <row r="627" spans="1:16" ht="21" x14ac:dyDescent="0.5">
      <c r="A627" s="17"/>
      <c r="B627" s="18">
        <v>46869</v>
      </c>
      <c r="C627" s="17" t="str">
        <f t="shared" si="56"/>
        <v>90.2 - day 3</v>
      </c>
      <c r="D627" s="17"/>
      <c r="E627" s="17">
        <f t="shared" si="59"/>
        <v>13436</v>
      </c>
      <c r="F627" s="17"/>
      <c r="G627" s="17"/>
      <c r="H627" s="17">
        <f t="shared" si="57"/>
        <v>13436</v>
      </c>
      <c r="I627" s="17"/>
      <c r="J627" s="17"/>
      <c r="K627" s="17"/>
      <c r="L627" s="17">
        <f t="shared" si="58"/>
        <v>0</v>
      </c>
      <c r="M627" s="17"/>
      <c r="N627" s="21">
        <f t="shared" si="60"/>
        <v>0</v>
      </c>
      <c r="O627" s="17">
        <f t="shared" si="61"/>
        <v>0</v>
      </c>
      <c r="P627" s="20"/>
    </row>
    <row r="628" spans="1:16" ht="21" x14ac:dyDescent="0.5">
      <c r="A628" s="17"/>
      <c r="B628" s="18">
        <v>46870</v>
      </c>
      <c r="C628" s="17" t="str">
        <f t="shared" si="56"/>
        <v>90.3 - day 4</v>
      </c>
      <c r="D628" s="17"/>
      <c r="E628" s="17">
        <f t="shared" si="59"/>
        <v>13436</v>
      </c>
      <c r="F628" s="17"/>
      <c r="G628" s="17"/>
      <c r="H628" s="17">
        <f t="shared" si="57"/>
        <v>13436</v>
      </c>
      <c r="I628" s="17"/>
      <c r="J628" s="17"/>
      <c r="K628" s="17"/>
      <c r="L628" s="17">
        <f t="shared" si="58"/>
        <v>0</v>
      </c>
      <c r="M628" s="17"/>
      <c r="N628" s="21">
        <f t="shared" si="60"/>
        <v>0</v>
      </c>
      <c r="O628" s="17">
        <f t="shared" si="61"/>
        <v>0</v>
      </c>
      <c r="P628" s="20"/>
    </row>
    <row r="629" spans="1:16" ht="21" x14ac:dyDescent="0.5">
      <c r="A629" s="17"/>
      <c r="B629" s="18">
        <v>46871</v>
      </c>
      <c r="C629" s="17" t="str">
        <f t="shared" si="56"/>
        <v>90.4 - day 5</v>
      </c>
      <c r="D629" s="17"/>
      <c r="E629" s="17">
        <f t="shared" si="59"/>
        <v>13436</v>
      </c>
      <c r="F629" s="17"/>
      <c r="G629" s="17"/>
      <c r="H629" s="17">
        <f t="shared" si="57"/>
        <v>13436</v>
      </c>
      <c r="I629" s="17"/>
      <c r="J629" s="17"/>
      <c r="K629" s="17"/>
      <c r="L629" s="17">
        <f t="shared" si="58"/>
        <v>0</v>
      </c>
      <c r="M629" s="17"/>
      <c r="N629" s="21">
        <f t="shared" si="60"/>
        <v>0</v>
      </c>
      <c r="O629" s="17">
        <f t="shared" si="61"/>
        <v>0</v>
      </c>
      <c r="P629" s="20"/>
    </row>
    <row r="630" spans="1:16" ht="21" x14ac:dyDescent="0.5">
      <c r="A630" s="17"/>
      <c r="B630" s="18">
        <v>46872</v>
      </c>
      <c r="C630" s="17" t="str">
        <f t="shared" si="56"/>
        <v>90.5 - day 6</v>
      </c>
      <c r="D630" s="17"/>
      <c r="E630" s="17">
        <f t="shared" si="59"/>
        <v>13436</v>
      </c>
      <c r="F630" s="17"/>
      <c r="G630" s="17"/>
      <c r="H630" s="17">
        <f t="shared" si="57"/>
        <v>13436</v>
      </c>
      <c r="I630" s="17"/>
      <c r="J630" s="17"/>
      <c r="K630" s="17"/>
      <c r="L630" s="17">
        <f t="shared" si="58"/>
        <v>0</v>
      </c>
      <c r="M630" s="17"/>
      <c r="N630" s="21">
        <f t="shared" si="60"/>
        <v>0</v>
      </c>
      <c r="O630" s="17">
        <f t="shared" si="61"/>
        <v>0</v>
      </c>
      <c r="P630" s="20"/>
    </row>
    <row r="631" spans="1:16" ht="21" x14ac:dyDescent="0.5">
      <c r="A631" s="17"/>
      <c r="B631" s="18">
        <v>46873</v>
      </c>
      <c r="C631" s="17" t="str">
        <f t="shared" si="56"/>
        <v>90.6 - day 7</v>
      </c>
      <c r="D631" s="17"/>
      <c r="E631" s="17">
        <f t="shared" si="59"/>
        <v>13436</v>
      </c>
      <c r="F631" s="17"/>
      <c r="G631" s="17"/>
      <c r="H631" s="17">
        <f t="shared" si="57"/>
        <v>13436</v>
      </c>
      <c r="I631" s="17"/>
      <c r="J631" s="17"/>
      <c r="K631" s="17"/>
      <c r="L631" s="17">
        <f t="shared" si="58"/>
        <v>0</v>
      </c>
      <c r="M631" s="17"/>
      <c r="N631" s="21">
        <f t="shared" si="60"/>
        <v>0</v>
      </c>
      <c r="O631" s="17">
        <f t="shared" si="61"/>
        <v>0</v>
      </c>
      <c r="P631" s="20"/>
    </row>
    <row r="632" spans="1:16" ht="21" x14ac:dyDescent="0.5">
      <c r="A632" s="17"/>
      <c r="B632" s="18">
        <v>46874</v>
      </c>
      <c r="C632" s="17" t="str">
        <f t="shared" si="56"/>
        <v>91.0 - day 1</v>
      </c>
      <c r="D632" s="17"/>
      <c r="E632" s="17">
        <f t="shared" si="59"/>
        <v>13436</v>
      </c>
      <c r="F632" s="17"/>
      <c r="G632" s="17"/>
      <c r="H632" s="17">
        <f t="shared" si="57"/>
        <v>13436</v>
      </c>
      <c r="I632" s="17"/>
      <c r="J632" s="17"/>
      <c r="K632" s="17"/>
      <c r="L632" s="17">
        <f t="shared" si="58"/>
        <v>0</v>
      </c>
      <c r="M632" s="17"/>
      <c r="N632" s="21">
        <f t="shared" si="60"/>
        <v>0</v>
      </c>
      <c r="O632" s="17">
        <f t="shared" si="61"/>
        <v>0</v>
      </c>
      <c r="P632" s="20"/>
    </row>
    <row r="633" spans="1:16" ht="21" x14ac:dyDescent="0.5">
      <c r="A633" s="17"/>
      <c r="B633" s="18">
        <v>46875</v>
      </c>
      <c r="C633" s="17" t="str">
        <f t="shared" si="56"/>
        <v>91.1 - day 2</v>
      </c>
      <c r="D633" s="17"/>
      <c r="E633" s="17">
        <f t="shared" si="59"/>
        <v>13436</v>
      </c>
      <c r="F633" s="17"/>
      <c r="G633" s="17"/>
      <c r="H633" s="17">
        <f t="shared" si="57"/>
        <v>13436</v>
      </c>
      <c r="I633" s="17"/>
      <c r="J633" s="17"/>
      <c r="K633" s="17"/>
      <c r="L633" s="17">
        <f t="shared" si="58"/>
        <v>0</v>
      </c>
      <c r="M633" s="17"/>
      <c r="N633" s="21">
        <f t="shared" si="60"/>
        <v>0</v>
      </c>
      <c r="O633" s="17">
        <f t="shared" si="61"/>
        <v>0</v>
      </c>
      <c r="P633" s="20"/>
    </row>
    <row r="634" spans="1:16" ht="21" x14ac:dyDescent="0.5">
      <c r="A634" s="17"/>
      <c r="B634" s="18">
        <v>46876</v>
      </c>
      <c r="C634" s="17" t="str">
        <f t="shared" si="56"/>
        <v>91.2 - day 3</v>
      </c>
      <c r="D634" s="17"/>
      <c r="E634" s="17">
        <f t="shared" si="59"/>
        <v>13436</v>
      </c>
      <c r="F634" s="17"/>
      <c r="G634" s="17"/>
      <c r="H634" s="17">
        <f t="shared" si="57"/>
        <v>13436</v>
      </c>
      <c r="I634" s="17"/>
      <c r="J634" s="17"/>
      <c r="K634" s="17"/>
      <c r="L634" s="17">
        <f t="shared" si="58"/>
        <v>0</v>
      </c>
      <c r="M634" s="17"/>
      <c r="N634" s="21">
        <f t="shared" si="60"/>
        <v>0</v>
      </c>
      <c r="O634" s="17">
        <f t="shared" si="61"/>
        <v>0</v>
      </c>
      <c r="P634" s="20"/>
    </row>
    <row r="635" spans="1:16" ht="21" x14ac:dyDescent="0.5">
      <c r="A635" s="17"/>
      <c r="B635" s="18">
        <v>46877</v>
      </c>
      <c r="C635" s="17" t="str">
        <f t="shared" si="56"/>
        <v>91.3 - day 4</v>
      </c>
      <c r="D635" s="17"/>
      <c r="E635" s="17">
        <f t="shared" si="59"/>
        <v>13436</v>
      </c>
      <c r="F635" s="17"/>
      <c r="G635" s="17"/>
      <c r="H635" s="17">
        <f t="shared" si="57"/>
        <v>13436</v>
      </c>
      <c r="I635" s="17"/>
      <c r="J635" s="17"/>
      <c r="K635" s="17"/>
      <c r="L635" s="17">
        <f t="shared" si="58"/>
        <v>0</v>
      </c>
      <c r="M635" s="17"/>
      <c r="N635" s="21">
        <f t="shared" si="60"/>
        <v>0</v>
      </c>
      <c r="O635" s="17">
        <f t="shared" si="61"/>
        <v>0</v>
      </c>
      <c r="P635" s="20"/>
    </row>
    <row r="636" spans="1:16" ht="21" x14ac:dyDescent="0.5">
      <c r="A636" s="17"/>
      <c r="B636" s="18">
        <v>46878</v>
      </c>
      <c r="C636" s="17" t="str">
        <f t="shared" si="56"/>
        <v>91.4 - day 5</v>
      </c>
      <c r="D636" s="17"/>
      <c r="E636" s="17">
        <f t="shared" si="59"/>
        <v>13436</v>
      </c>
      <c r="F636" s="17"/>
      <c r="G636" s="17"/>
      <c r="H636" s="17">
        <f t="shared" si="57"/>
        <v>13436</v>
      </c>
      <c r="I636" s="17"/>
      <c r="J636" s="17"/>
      <c r="K636" s="17"/>
      <c r="L636" s="17">
        <f t="shared" si="58"/>
        <v>0</v>
      </c>
      <c r="M636" s="17"/>
      <c r="N636" s="21">
        <f t="shared" si="60"/>
        <v>0</v>
      </c>
      <c r="O636" s="17">
        <f t="shared" si="61"/>
        <v>0</v>
      </c>
      <c r="P636" s="20"/>
    </row>
    <row r="637" spans="1:16" ht="21" x14ac:dyDescent="0.5">
      <c r="A637" s="17"/>
      <c r="B637" s="18">
        <v>46879</v>
      </c>
      <c r="C637" s="17" t="str">
        <f t="shared" si="56"/>
        <v>91.5 - day 6</v>
      </c>
      <c r="D637" s="17"/>
      <c r="E637" s="17">
        <f t="shared" si="59"/>
        <v>13436</v>
      </c>
      <c r="F637" s="17"/>
      <c r="G637" s="17"/>
      <c r="H637" s="17">
        <f t="shared" si="57"/>
        <v>13436</v>
      </c>
      <c r="I637" s="17"/>
      <c r="J637" s="17"/>
      <c r="K637" s="17"/>
      <c r="L637" s="17">
        <f t="shared" si="58"/>
        <v>0</v>
      </c>
      <c r="M637" s="17"/>
      <c r="N637" s="21">
        <f t="shared" si="60"/>
        <v>0</v>
      </c>
      <c r="O637" s="17">
        <f t="shared" si="61"/>
        <v>0</v>
      </c>
      <c r="P637" s="20"/>
    </row>
    <row r="638" spans="1:16" ht="21" x14ac:dyDescent="0.5">
      <c r="A638" s="17"/>
      <c r="B638" s="18">
        <v>46880</v>
      </c>
      <c r="C638" s="17" t="str">
        <f t="shared" si="56"/>
        <v>91.6 - day 7</v>
      </c>
      <c r="D638" s="17"/>
      <c r="E638" s="17">
        <f t="shared" si="59"/>
        <v>13436</v>
      </c>
      <c r="F638" s="17"/>
      <c r="G638" s="17"/>
      <c r="H638" s="17">
        <f t="shared" si="57"/>
        <v>13436</v>
      </c>
      <c r="I638" s="17"/>
      <c r="J638" s="17"/>
      <c r="K638" s="17"/>
      <c r="L638" s="17">
        <f t="shared" si="58"/>
        <v>0</v>
      </c>
      <c r="M638" s="17"/>
      <c r="N638" s="21">
        <f t="shared" si="60"/>
        <v>0</v>
      </c>
      <c r="O638" s="17">
        <f t="shared" si="61"/>
        <v>0</v>
      </c>
      <c r="P638" s="20"/>
    </row>
    <row r="639" spans="1:16" ht="21" x14ac:dyDescent="0.5">
      <c r="A639" s="17"/>
      <c r="B639" s="18">
        <v>46881</v>
      </c>
      <c r="C639" s="17" t="str">
        <f t="shared" si="56"/>
        <v>92.0 - day 1</v>
      </c>
      <c r="D639" s="17"/>
      <c r="E639" s="17">
        <f t="shared" si="59"/>
        <v>13436</v>
      </c>
      <c r="F639" s="17"/>
      <c r="G639" s="17"/>
      <c r="H639" s="17">
        <f t="shared" si="57"/>
        <v>13436</v>
      </c>
      <c r="I639" s="17"/>
      <c r="J639" s="17"/>
      <c r="K639" s="17"/>
      <c r="L639" s="17">
        <f t="shared" si="58"/>
        <v>0</v>
      </c>
      <c r="M639" s="17"/>
      <c r="N639" s="21">
        <f t="shared" si="60"/>
        <v>0</v>
      </c>
      <c r="O639" s="17">
        <f t="shared" si="61"/>
        <v>0</v>
      </c>
      <c r="P639" s="20"/>
    </row>
    <row r="640" spans="1:16" ht="21" x14ac:dyDescent="0.5">
      <c r="A640" s="17"/>
      <c r="B640" s="18">
        <v>46882</v>
      </c>
      <c r="C640" s="17" t="str">
        <f t="shared" si="56"/>
        <v>92.1 - day 2</v>
      </c>
      <c r="D640" s="17"/>
      <c r="E640" s="17">
        <f t="shared" si="59"/>
        <v>13436</v>
      </c>
      <c r="F640" s="17"/>
      <c r="G640" s="17"/>
      <c r="H640" s="17">
        <f t="shared" si="57"/>
        <v>13436</v>
      </c>
      <c r="I640" s="17"/>
      <c r="J640" s="17"/>
      <c r="K640" s="17"/>
      <c r="L640" s="17">
        <f t="shared" si="58"/>
        <v>0</v>
      </c>
      <c r="M640" s="17"/>
      <c r="N640" s="21">
        <f t="shared" si="60"/>
        <v>0</v>
      </c>
      <c r="O640" s="17">
        <f t="shared" si="61"/>
        <v>0</v>
      </c>
      <c r="P640" s="20"/>
    </row>
    <row r="641" spans="1:16" ht="21" x14ac:dyDescent="0.5">
      <c r="A641" s="17"/>
      <c r="B641" s="18">
        <v>46883</v>
      </c>
      <c r="C641" s="17" t="str">
        <f t="shared" si="56"/>
        <v>92.2 - day 3</v>
      </c>
      <c r="D641" s="17"/>
      <c r="E641" s="17">
        <f t="shared" si="59"/>
        <v>13436</v>
      </c>
      <c r="F641" s="17"/>
      <c r="G641" s="17"/>
      <c r="H641" s="17">
        <f t="shared" si="57"/>
        <v>13436</v>
      </c>
      <c r="I641" s="17"/>
      <c r="J641" s="17"/>
      <c r="K641" s="17"/>
      <c r="L641" s="17">
        <f t="shared" si="58"/>
        <v>0</v>
      </c>
      <c r="M641" s="17"/>
      <c r="N641" s="21">
        <f t="shared" si="60"/>
        <v>0</v>
      </c>
      <c r="O641" s="17">
        <f t="shared" si="61"/>
        <v>0</v>
      </c>
      <c r="P641" s="20"/>
    </row>
    <row r="642" spans="1:16" ht="21" x14ac:dyDescent="0.5">
      <c r="A642" s="17"/>
      <c r="B642" s="18">
        <v>46884</v>
      </c>
      <c r="C642" s="17" t="str">
        <f t="shared" si="56"/>
        <v>92.3 - day 4</v>
      </c>
      <c r="D642" s="17"/>
      <c r="E642" s="17">
        <f t="shared" si="59"/>
        <v>13436</v>
      </c>
      <c r="F642" s="17"/>
      <c r="G642" s="17"/>
      <c r="H642" s="17">
        <f t="shared" si="57"/>
        <v>13436</v>
      </c>
      <c r="I642" s="17"/>
      <c r="J642" s="17"/>
      <c r="K642" s="17"/>
      <c r="L642" s="17">
        <f t="shared" si="58"/>
        <v>0</v>
      </c>
      <c r="M642" s="17"/>
      <c r="N642" s="21">
        <f t="shared" si="60"/>
        <v>0</v>
      </c>
      <c r="O642" s="17">
        <f t="shared" si="61"/>
        <v>0</v>
      </c>
      <c r="P642" s="20"/>
    </row>
    <row r="643" spans="1:16" ht="21" x14ac:dyDescent="0.5">
      <c r="A643" s="17"/>
      <c r="B643" s="18">
        <v>46885</v>
      </c>
      <c r="C643" s="17" t="str">
        <f t="shared" si="56"/>
        <v>92.4 - day 5</v>
      </c>
      <c r="D643" s="17"/>
      <c r="E643" s="17">
        <f t="shared" si="59"/>
        <v>13436</v>
      </c>
      <c r="F643" s="17"/>
      <c r="G643" s="17"/>
      <c r="H643" s="17">
        <f t="shared" si="57"/>
        <v>13436</v>
      </c>
      <c r="I643" s="17"/>
      <c r="J643" s="17"/>
      <c r="K643" s="17"/>
      <c r="L643" s="17">
        <f t="shared" si="58"/>
        <v>0</v>
      </c>
      <c r="M643" s="17"/>
      <c r="N643" s="21">
        <f t="shared" si="60"/>
        <v>0</v>
      </c>
      <c r="O643" s="17">
        <f t="shared" si="61"/>
        <v>0</v>
      </c>
      <c r="P643" s="20"/>
    </row>
    <row r="644" spans="1:16" ht="21" x14ac:dyDescent="0.5">
      <c r="A644" s="17"/>
      <c r="B644" s="18">
        <v>46886</v>
      </c>
      <c r="C644" s="17" t="str">
        <f t="shared" ref="C644:C707" si="62">(QUOTIENT(ROW()-2,7)+1)&amp;"."&amp;MOD(ROW()-2,7)&amp;" - day "&amp;(MOD(ROW()-2,7)+1)</f>
        <v>92.5 - day 6</v>
      </c>
      <c r="D644" s="17"/>
      <c r="E644" s="17">
        <f t="shared" si="59"/>
        <v>13436</v>
      </c>
      <c r="F644" s="17"/>
      <c r="G644" s="17"/>
      <c r="H644" s="17">
        <f t="shared" ref="H644:H707" si="63">SUM(E644-F644-G644)</f>
        <v>13436</v>
      </c>
      <c r="I644" s="17"/>
      <c r="J644" s="17"/>
      <c r="K644" s="17"/>
      <c r="L644" s="17">
        <f t="shared" ref="L644:L707" si="64">SUM(J644+K644)/H644*100</f>
        <v>0</v>
      </c>
      <c r="M644" s="17"/>
      <c r="N644" s="21">
        <f t="shared" si="60"/>
        <v>0</v>
      </c>
      <c r="O644" s="17">
        <f t="shared" si="61"/>
        <v>0</v>
      </c>
      <c r="P644" s="20"/>
    </row>
    <row r="645" spans="1:16" ht="21" x14ac:dyDescent="0.5">
      <c r="A645" s="17"/>
      <c r="B645" s="18">
        <v>46887</v>
      </c>
      <c r="C645" s="17" t="str">
        <f t="shared" si="62"/>
        <v>92.6 - day 7</v>
      </c>
      <c r="D645" s="17"/>
      <c r="E645" s="17">
        <f t="shared" si="59"/>
        <v>13436</v>
      </c>
      <c r="F645" s="17"/>
      <c r="G645" s="17"/>
      <c r="H645" s="17">
        <f t="shared" si="63"/>
        <v>13436</v>
      </c>
      <c r="I645" s="17"/>
      <c r="J645" s="17"/>
      <c r="K645" s="17"/>
      <c r="L645" s="17">
        <f t="shared" si="64"/>
        <v>0</v>
      </c>
      <c r="M645" s="17"/>
      <c r="N645" s="21">
        <f t="shared" si="60"/>
        <v>0</v>
      </c>
      <c r="O645" s="17">
        <f t="shared" si="61"/>
        <v>0</v>
      </c>
      <c r="P645" s="20"/>
    </row>
    <row r="646" spans="1:16" ht="21" x14ac:dyDescent="0.5">
      <c r="A646" s="17"/>
      <c r="B646" s="18">
        <v>46888</v>
      </c>
      <c r="C646" s="17" t="str">
        <f t="shared" si="62"/>
        <v>93.0 - day 1</v>
      </c>
      <c r="D646" s="17"/>
      <c r="E646" s="17">
        <f t="shared" ref="E646:E709" si="65">H645</f>
        <v>13436</v>
      </c>
      <c r="F646" s="17"/>
      <c r="G646" s="17"/>
      <c r="H646" s="17">
        <f t="shared" si="63"/>
        <v>13436</v>
      </c>
      <c r="I646" s="17"/>
      <c r="J646" s="17"/>
      <c r="K646" s="17"/>
      <c r="L646" s="17">
        <f t="shared" si="64"/>
        <v>0</v>
      </c>
      <c r="M646" s="17"/>
      <c r="N646" s="21">
        <f t="shared" si="60"/>
        <v>0</v>
      </c>
      <c r="O646" s="17">
        <f t="shared" si="61"/>
        <v>0</v>
      </c>
      <c r="P646" s="20"/>
    </row>
    <row r="647" spans="1:16" ht="21" x14ac:dyDescent="0.5">
      <c r="A647" s="17"/>
      <c r="B647" s="18">
        <v>46889</v>
      </c>
      <c r="C647" s="17" t="str">
        <f t="shared" si="62"/>
        <v>93.1 - day 2</v>
      </c>
      <c r="D647" s="17"/>
      <c r="E647" s="17">
        <f t="shared" si="65"/>
        <v>13436</v>
      </c>
      <c r="F647" s="17"/>
      <c r="G647" s="17"/>
      <c r="H647" s="17">
        <f t="shared" si="63"/>
        <v>13436</v>
      </c>
      <c r="I647" s="17"/>
      <c r="J647" s="17"/>
      <c r="K647" s="17"/>
      <c r="L647" s="17">
        <f t="shared" si="64"/>
        <v>0</v>
      </c>
      <c r="M647" s="17"/>
      <c r="N647" s="21">
        <f t="shared" si="60"/>
        <v>0</v>
      </c>
      <c r="O647" s="17">
        <f t="shared" si="61"/>
        <v>0</v>
      </c>
      <c r="P647" s="20"/>
    </row>
    <row r="648" spans="1:16" ht="21" x14ac:dyDescent="0.5">
      <c r="A648" s="17"/>
      <c r="B648" s="18">
        <v>46890</v>
      </c>
      <c r="C648" s="17" t="str">
        <f t="shared" si="62"/>
        <v>93.2 - day 3</v>
      </c>
      <c r="D648" s="17"/>
      <c r="E648" s="17">
        <f t="shared" si="65"/>
        <v>13436</v>
      </c>
      <c r="F648" s="17"/>
      <c r="G648" s="17"/>
      <c r="H648" s="17">
        <f t="shared" si="63"/>
        <v>13436</v>
      </c>
      <c r="I648" s="17"/>
      <c r="J648" s="17"/>
      <c r="K648" s="17"/>
      <c r="L648" s="17">
        <f t="shared" si="64"/>
        <v>0</v>
      </c>
      <c r="M648" s="17"/>
      <c r="N648" s="21">
        <f t="shared" si="60"/>
        <v>0</v>
      </c>
      <c r="O648" s="17">
        <f t="shared" si="61"/>
        <v>0</v>
      </c>
      <c r="P648" s="20"/>
    </row>
    <row r="649" spans="1:16" ht="21" x14ac:dyDescent="0.5">
      <c r="A649" s="17"/>
      <c r="B649" s="18">
        <v>46891</v>
      </c>
      <c r="C649" s="17" t="str">
        <f t="shared" si="62"/>
        <v>93.3 - day 4</v>
      </c>
      <c r="D649" s="17"/>
      <c r="E649" s="17">
        <f t="shared" si="65"/>
        <v>13436</v>
      </c>
      <c r="F649" s="17"/>
      <c r="G649" s="17"/>
      <c r="H649" s="17">
        <f t="shared" si="63"/>
        <v>13436</v>
      </c>
      <c r="I649" s="17"/>
      <c r="J649" s="17"/>
      <c r="K649" s="17"/>
      <c r="L649" s="17">
        <f t="shared" si="64"/>
        <v>0</v>
      </c>
      <c r="M649" s="17"/>
      <c r="N649" s="21">
        <f t="shared" si="60"/>
        <v>0</v>
      </c>
      <c r="O649" s="17">
        <f t="shared" si="61"/>
        <v>0</v>
      </c>
      <c r="P649" s="20"/>
    </row>
    <row r="650" spans="1:16" ht="21" x14ac:dyDescent="0.5">
      <c r="A650" s="17"/>
      <c r="B650" s="18">
        <v>46892</v>
      </c>
      <c r="C650" s="17" t="str">
        <f t="shared" si="62"/>
        <v>93.4 - day 5</v>
      </c>
      <c r="D650" s="17"/>
      <c r="E650" s="17">
        <f t="shared" si="65"/>
        <v>13436</v>
      </c>
      <c r="F650" s="17"/>
      <c r="G650" s="17"/>
      <c r="H650" s="17">
        <f t="shared" si="63"/>
        <v>13436</v>
      </c>
      <c r="I650" s="17"/>
      <c r="J650" s="17"/>
      <c r="K650" s="17"/>
      <c r="L650" s="17">
        <f t="shared" si="64"/>
        <v>0</v>
      </c>
      <c r="M650" s="17"/>
      <c r="N650" s="21">
        <f t="shared" si="60"/>
        <v>0</v>
      </c>
      <c r="O650" s="17">
        <f t="shared" si="61"/>
        <v>0</v>
      </c>
      <c r="P650" s="20"/>
    </row>
    <row r="651" spans="1:16" ht="21" x14ac:dyDescent="0.5">
      <c r="A651" s="17"/>
      <c r="B651" s="18">
        <v>46893</v>
      </c>
      <c r="C651" s="17" t="str">
        <f t="shared" si="62"/>
        <v>93.5 - day 6</v>
      </c>
      <c r="D651" s="17"/>
      <c r="E651" s="17">
        <f t="shared" si="65"/>
        <v>13436</v>
      </c>
      <c r="F651" s="17"/>
      <c r="G651" s="17"/>
      <c r="H651" s="17">
        <f t="shared" si="63"/>
        <v>13436</v>
      </c>
      <c r="I651" s="17"/>
      <c r="J651" s="17"/>
      <c r="K651" s="17"/>
      <c r="L651" s="17">
        <f t="shared" si="64"/>
        <v>0</v>
      </c>
      <c r="M651" s="17"/>
      <c r="N651" s="21">
        <f t="shared" si="60"/>
        <v>0</v>
      </c>
      <c r="O651" s="17">
        <f t="shared" si="61"/>
        <v>0</v>
      </c>
      <c r="P651" s="20"/>
    </row>
    <row r="652" spans="1:16" ht="21" x14ac:dyDescent="0.5">
      <c r="A652" s="17"/>
      <c r="B652" s="18">
        <v>46894</v>
      </c>
      <c r="C652" s="17" t="str">
        <f t="shared" si="62"/>
        <v>93.6 - day 7</v>
      </c>
      <c r="D652" s="17"/>
      <c r="E652" s="17">
        <f t="shared" si="65"/>
        <v>13436</v>
      </c>
      <c r="F652" s="17"/>
      <c r="G652" s="17"/>
      <c r="H652" s="17">
        <f t="shared" si="63"/>
        <v>13436</v>
      </c>
      <c r="I652" s="17"/>
      <c r="J652" s="17"/>
      <c r="K652" s="17"/>
      <c r="L652" s="17">
        <f t="shared" si="64"/>
        <v>0</v>
      </c>
      <c r="M652" s="17"/>
      <c r="N652" s="21">
        <f t="shared" si="60"/>
        <v>0</v>
      </c>
      <c r="O652" s="17">
        <f t="shared" si="61"/>
        <v>0</v>
      </c>
      <c r="P652" s="20"/>
    </row>
    <row r="653" spans="1:16" ht="21" x14ac:dyDescent="0.5">
      <c r="A653" s="17"/>
      <c r="B653" s="18">
        <v>46895</v>
      </c>
      <c r="C653" s="17" t="str">
        <f t="shared" si="62"/>
        <v>94.0 - day 1</v>
      </c>
      <c r="D653" s="17"/>
      <c r="E653" s="17">
        <f t="shared" si="65"/>
        <v>13436</v>
      </c>
      <c r="F653" s="17"/>
      <c r="G653" s="17"/>
      <c r="H653" s="17">
        <f t="shared" si="63"/>
        <v>13436</v>
      </c>
      <c r="I653" s="17"/>
      <c r="J653" s="17"/>
      <c r="K653" s="17"/>
      <c r="L653" s="17">
        <f t="shared" si="64"/>
        <v>0</v>
      </c>
      <c r="M653" s="17"/>
      <c r="N653" s="21">
        <f t="shared" si="60"/>
        <v>0</v>
      </c>
      <c r="O653" s="17">
        <f t="shared" si="61"/>
        <v>0</v>
      </c>
      <c r="P653" s="20"/>
    </row>
    <row r="654" spans="1:16" ht="21" x14ac:dyDescent="0.5">
      <c r="A654" s="17"/>
      <c r="B654" s="18">
        <v>46896</v>
      </c>
      <c r="C654" s="17" t="str">
        <f t="shared" si="62"/>
        <v>94.1 - day 2</v>
      </c>
      <c r="D654" s="17"/>
      <c r="E654" s="17">
        <f t="shared" si="65"/>
        <v>13436</v>
      </c>
      <c r="F654" s="17"/>
      <c r="G654" s="17"/>
      <c r="H654" s="17">
        <f t="shared" si="63"/>
        <v>13436</v>
      </c>
      <c r="I654" s="17"/>
      <c r="J654" s="17"/>
      <c r="K654" s="17"/>
      <c r="L654" s="17">
        <f t="shared" si="64"/>
        <v>0</v>
      </c>
      <c r="M654" s="17"/>
      <c r="N654" s="21">
        <f t="shared" si="60"/>
        <v>0</v>
      </c>
      <c r="O654" s="17">
        <f t="shared" si="61"/>
        <v>0</v>
      </c>
      <c r="P654" s="20"/>
    </row>
    <row r="655" spans="1:16" ht="21" x14ac:dyDescent="0.5">
      <c r="A655" s="17"/>
      <c r="B655" s="18">
        <v>46897</v>
      </c>
      <c r="C655" s="17" t="str">
        <f t="shared" si="62"/>
        <v>94.2 - day 3</v>
      </c>
      <c r="D655" s="17"/>
      <c r="E655" s="17">
        <f t="shared" si="65"/>
        <v>13436</v>
      </c>
      <c r="F655" s="17"/>
      <c r="G655" s="17"/>
      <c r="H655" s="17">
        <f t="shared" si="63"/>
        <v>13436</v>
      </c>
      <c r="I655" s="17"/>
      <c r="J655" s="17"/>
      <c r="K655" s="17"/>
      <c r="L655" s="17">
        <f t="shared" si="64"/>
        <v>0</v>
      </c>
      <c r="M655" s="17"/>
      <c r="N655" s="21">
        <f t="shared" si="60"/>
        <v>0</v>
      </c>
      <c r="O655" s="17">
        <f t="shared" si="61"/>
        <v>0</v>
      </c>
      <c r="P655" s="20"/>
    </row>
    <row r="656" spans="1:16" ht="21" x14ac:dyDescent="0.5">
      <c r="A656" s="17"/>
      <c r="B656" s="18">
        <v>46898</v>
      </c>
      <c r="C656" s="17" t="str">
        <f t="shared" si="62"/>
        <v>94.3 - day 4</v>
      </c>
      <c r="D656" s="17"/>
      <c r="E656" s="17">
        <f t="shared" si="65"/>
        <v>13436</v>
      </c>
      <c r="F656" s="17"/>
      <c r="G656" s="17"/>
      <c r="H656" s="17">
        <f t="shared" si="63"/>
        <v>13436</v>
      </c>
      <c r="I656" s="17"/>
      <c r="J656" s="17"/>
      <c r="K656" s="17"/>
      <c r="L656" s="17">
        <f t="shared" si="64"/>
        <v>0</v>
      </c>
      <c r="M656" s="17"/>
      <c r="N656" s="21">
        <f t="shared" si="60"/>
        <v>0</v>
      </c>
      <c r="O656" s="17">
        <f t="shared" si="61"/>
        <v>0</v>
      </c>
      <c r="P656" s="20"/>
    </row>
    <row r="657" spans="1:16" ht="21" x14ac:dyDescent="0.5">
      <c r="A657" s="17"/>
      <c r="B657" s="18">
        <v>46899</v>
      </c>
      <c r="C657" s="17" t="str">
        <f t="shared" si="62"/>
        <v>94.4 - day 5</v>
      </c>
      <c r="D657" s="17"/>
      <c r="E657" s="17">
        <f t="shared" si="65"/>
        <v>13436</v>
      </c>
      <c r="F657" s="17"/>
      <c r="G657" s="17"/>
      <c r="H657" s="17">
        <f t="shared" si="63"/>
        <v>13436</v>
      </c>
      <c r="I657" s="17"/>
      <c r="J657" s="17"/>
      <c r="K657" s="17"/>
      <c r="L657" s="17">
        <f t="shared" si="64"/>
        <v>0</v>
      </c>
      <c r="M657" s="17"/>
      <c r="N657" s="21">
        <f t="shared" si="60"/>
        <v>0</v>
      </c>
      <c r="O657" s="17">
        <f t="shared" si="61"/>
        <v>0</v>
      </c>
      <c r="P657" s="20"/>
    </row>
    <row r="658" spans="1:16" ht="21" x14ac:dyDescent="0.5">
      <c r="A658" s="17"/>
      <c r="B658" s="18">
        <v>46900</v>
      </c>
      <c r="C658" s="17" t="str">
        <f t="shared" si="62"/>
        <v>94.5 - day 6</v>
      </c>
      <c r="D658" s="17"/>
      <c r="E658" s="17">
        <f t="shared" si="65"/>
        <v>13436</v>
      </c>
      <c r="F658" s="17"/>
      <c r="G658" s="17"/>
      <c r="H658" s="17">
        <f t="shared" si="63"/>
        <v>13436</v>
      </c>
      <c r="I658" s="17"/>
      <c r="J658" s="17"/>
      <c r="K658" s="17"/>
      <c r="L658" s="17">
        <f t="shared" si="64"/>
        <v>0</v>
      </c>
      <c r="M658" s="17"/>
      <c r="N658" s="21">
        <f t="shared" si="60"/>
        <v>0</v>
      </c>
      <c r="O658" s="17">
        <f t="shared" si="61"/>
        <v>0</v>
      </c>
      <c r="P658" s="20"/>
    </row>
    <row r="659" spans="1:16" ht="21" x14ac:dyDescent="0.5">
      <c r="A659" s="17"/>
      <c r="B659" s="18">
        <v>46901</v>
      </c>
      <c r="C659" s="17" t="str">
        <f t="shared" si="62"/>
        <v>94.6 - day 7</v>
      </c>
      <c r="D659" s="17"/>
      <c r="E659" s="17">
        <f t="shared" si="65"/>
        <v>13436</v>
      </c>
      <c r="F659" s="17"/>
      <c r="G659" s="17"/>
      <c r="H659" s="17">
        <f t="shared" si="63"/>
        <v>13436</v>
      </c>
      <c r="I659" s="17"/>
      <c r="J659" s="17"/>
      <c r="K659" s="17"/>
      <c r="L659" s="17">
        <f t="shared" si="64"/>
        <v>0</v>
      </c>
      <c r="M659" s="17"/>
      <c r="N659" s="21">
        <f t="shared" si="60"/>
        <v>0</v>
      </c>
      <c r="O659" s="17">
        <f t="shared" si="61"/>
        <v>0</v>
      </c>
      <c r="P659" s="20"/>
    </row>
    <row r="660" spans="1:16" ht="21" x14ac:dyDescent="0.5">
      <c r="A660" s="17"/>
      <c r="B660" s="18">
        <v>46902</v>
      </c>
      <c r="C660" s="17" t="str">
        <f t="shared" si="62"/>
        <v>95.0 - day 1</v>
      </c>
      <c r="D660" s="17"/>
      <c r="E660" s="17">
        <f t="shared" si="65"/>
        <v>13436</v>
      </c>
      <c r="F660" s="17"/>
      <c r="G660" s="17"/>
      <c r="H660" s="17">
        <f t="shared" si="63"/>
        <v>13436</v>
      </c>
      <c r="I660" s="17"/>
      <c r="J660" s="17"/>
      <c r="K660" s="17"/>
      <c r="L660" s="17">
        <f t="shared" si="64"/>
        <v>0</v>
      </c>
      <c r="M660" s="17"/>
      <c r="N660" s="21">
        <f t="shared" si="60"/>
        <v>0</v>
      </c>
      <c r="O660" s="17">
        <f t="shared" si="61"/>
        <v>0</v>
      </c>
      <c r="P660" s="20"/>
    </row>
    <row r="661" spans="1:16" ht="21" x14ac:dyDescent="0.5">
      <c r="A661" s="17"/>
      <c r="B661" s="18">
        <v>46903</v>
      </c>
      <c r="C661" s="17" t="str">
        <f t="shared" si="62"/>
        <v>95.1 - day 2</v>
      </c>
      <c r="D661" s="17"/>
      <c r="E661" s="17">
        <f t="shared" si="65"/>
        <v>13436</v>
      </c>
      <c r="F661" s="17"/>
      <c r="G661" s="17"/>
      <c r="H661" s="17">
        <f t="shared" si="63"/>
        <v>13436</v>
      </c>
      <c r="I661" s="17"/>
      <c r="J661" s="17"/>
      <c r="K661" s="17"/>
      <c r="L661" s="17">
        <f t="shared" si="64"/>
        <v>0</v>
      </c>
      <c r="M661" s="17"/>
      <c r="N661" s="21">
        <f t="shared" ref="N661:N724" si="66">SUM(L661-M661)</f>
        <v>0</v>
      </c>
      <c r="O661" s="17">
        <f t="shared" ref="O661:O724" si="67">SUM(I661/H661)*1000</f>
        <v>0</v>
      </c>
      <c r="P661" s="20"/>
    </row>
    <row r="662" spans="1:16" ht="21" x14ac:dyDescent="0.5">
      <c r="A662" s="17"/>
      <c r="B662" s="18">
        <v>46904</v>
      </c>
      <c r="C662" s="17" t="str">
        <f t="shared" si="62"/>
        <v>95.2 - day 3</v>
      </c>
      <c r="D662" s="17"/>
      <c r="E662" s="17">
        <f t="shared" si="65"/>
        <v>13436</v>
      </c>
      <c r="F662" s="17"/>
      <c r="G662" s="17"/>
      <c r="H662" s="17">
        <f t="shared" si="63"/>
        <v>13436</v>
      </c>
      <c r="I662" s="17"/>
      <c r="J662" s="17"/>
      <c r="K662" s="17"/>
      <c r="L662" s="17">
        <f t="shared" si="64"/>
        <v>0</v>
      </c>
      <c r="M662" s="17"/>
      <c r="N662" s="21">
        <f t="shared" si="66"/>
        <v>0</v>
      </c>
      <c r="O662" s="17">
        <f t="shared" si="67"/>
        <v>0</v>
      </c>
      <c r="P662" s="20"/>
    </row>
    <row r="663" spans="1:16" ht="21" x14ac:dyDescent="0.5">
      <c r="A663" s="17"/>
      <c r="B663" s="18">
        <v>46905</v>
      </c>
      <c r="C663" s="17" t="str">
        <f t="shared" si="62"/>
        <v>95.3 - day 4</v>
      </c>
      <c r="D663" s="17"/>
      <c r="E663" s="17">
        <f t="shared" si="65"/>
        <v>13436</v>
      </c>
      <c r="F663" s="17"/>
      <c r="G663" s="17"/>
      <c r="H663" s="17">
        <f t="shared" si="63"/>
        <v>13436</v>
      </c>
      <c r="I663" s="17"/>
      <c r="J663" s="17"/>
      <c r="K663" s="17"/>
      <c r="L663" s="17">
        <f t="shared" si="64"/>
        <v>0</v>
      </c>
      <c r="M663" s="17"/>
      <c r="N663" s="21">
        <f t="shared" si="66"/>
        <v>0</v>
      </c>
      <c r="O663" s="17">
        <f t="shared" si="67"/>
        <v>0</v>
      </c>
      <c r="P663" s="20"/>
    </row>
    <row r="664" spans="1:16" ht="21" x14ac:dyDescent="0.5">
      <c r="A664" s="17"/>
      <c r="B664" s="18">
        <v>46906</v>
      </c>
      <c r="C664" s="17" t="str">
        <f t="shared" si="62"/>
        <v>95.4 - day 5</v>
      </c>
      <c r="D664" s="17"/>
      <c r="E664" s="17">
        <f t="shared" si="65"/>
        <v>13436</v>
      </c>
      <c r="F664" s="17"/>
      <c r="G664" s="17"/>
      <c r="H664" s="17">
        <f t="shared" si="63"/>
        <v>13436</v>
      </c>
      <c r="I664" s="17"/>
      <c r="J664" s="17"/>
      <c r="K664" s="17"/>
      <c r="L664" s="17">
        <f t="shared" si="64"/>
        <v>0</v>
      </c>
      <c r="M664" s="17"/>
      <c r="N664" s="21">
        <f t="shared" si="66"/>
        <v>0</v>
      </c>
      <c r="O664" s="17">
        <f t="shared" si="67"/>
        <v>0</v>
      </c>
      <c r="P664" s="20"/>
    </row>
    <row r="665" spans="1:16" ht="21" x14ac:dyDescent="0.5">
      <c r="A665" s="17"/>
      <c r="B665" s="18">
        <v>46907</v>
      </c>
      <c r="C665" s="17" t="str">
        <f t="shared" si="62"/>
        <v>95.5 - day 6</v>
      </c>
      <c r="D665" s="17"/>
      <c r="E665" s="17">
        <f t="shared" si="65"/>
        <v>13436</v>
      </c>
      <c r="F665" s="17"/>
      <c r="G665" s="17"/>
      <c r="H665" s="17">
        <f t="shared" si="63"/>
        <v>13436</v>
      </c>
      <c r="I665" s="17"/>
      <c r="J665" s="17"/>
      <c r="K665" s="17"/>
      <c r="L665" s="17">
        <f t="shared" si="64"/>
        <v>0</v>
      </c>
      <c r="M665" s="17"/>
      <c r="N665" s="21">
        <f t="shared" si="66"/>
        <v>0</v>
      </c>
      <c r="O665" s="17">
        <f t="shared" si="67"/>
        <v>0</v>
      </c>
      <c r="P665" s="20"/>
    </row>
    <row r="666" spans="1:16" ht="21" x14ac:dyDescent="0.5">
      <c r="A666" s="17"/>
      <c r="B666" s="18">
        <v>46908</v>
      </c>
      <c r="C666" s="17" t="str">
        <f t="shared" si="62"/>
        <v>95.6 - day 7</v>
      </c>
      <c r="D666" s="17"/>
      <c r="E666" s="17">
        <f t="shared" si="65"/>
        <v>13436</v>
      </c>
      <c r="F666" s="17"/>
      <c r="G666" s="17"/>
      <c r="H666" s="17">
        <f t="shared" si="63"/>
        <v>13436</v>
      </c>
      <c r="I666" s="17"/>
      <c r="J666" s="17"/>
      <c r="K666" s="17"/>
      <c r="L666" s="17">
        <f t="shared" si="64"/>
        <v>0</v>
      </c>
      <c r="M666" s="17"/>
      <c r="N666" s="21">
        <f t="shared" si="66"/>
        <v>0</v>
      </c>
      <c r="O666" s="17">
        <f t="shared" si="67"/>
        <v>0</v>
      </c>
      <c r="P666" s="20"/>
    </row>
    <row r="667" spans="1:16" ht="21" x14ac:dyDescent="0.5">
      <c r="A667" s="17"/>
      <c r="B667" s="18">
        <v>46909</v>
      </c>
      <c r="C667" s="17" t="str">
        <f t="shared" si="62"/>
        <v>96.0 - day 1</v>
      </c>
      <c r="D667" s="17"/>
      <c r="E667" s="17">
        <f t="shared" si="65"/>
        <v>13436</v>
      </c>
      <c r="F667" s="17"/>
      <c r="G667" s="17"/>
      <c r="H667" s="17">
        <f t="shared" si="63"/>
        <v>13436</v>
      </c>
      <c r="I667" s="17"/>
      <c r="J667" s="17"/>
      <c r="K667" s="17"/>
      <c r="L667" s="17">
        <f t="shared" si="64"/>
        <v>0</v>
      </c>
      <c r="M667" s="17"/>
      <c r="N667" s="21">
        <f t="shared" si="66"/>
        <v>0</v>
      </c>
      <c r="O667" s="17">
        <f t="shared" si="67"/>
        <v>0</v>
      </c>
      <c r="P667" s="20"/>
    </row>
    <row r="668" spans="1:16" ht="21" x14ac:dyDescent="0.5">
      <c r="A668" s="17"/>
      <c r="B668" s="18">
        <v>46910</v>
      </c>
      <c r="C668" s="17" t="str">
        <f t="shared" si="62"/>
        <v>96.1 - day 2</v>
      </c>
      <c r="D668" s="17"/>
      <c r="E668" s="17">
        <f t="shared" si="65"/>
        <v>13436</v>
      </c>
      <c r="F668" s="17"/>
      <c r="G668" s="17"/>
      <c r="H668" s="17">
        <f t="shared" si="63"/>
        <v>13436</v>
      </c>
      <c r="I668" s="17"/>
      <c r="J668" s="17"/>
      <c r="K668" s="17"/>
      <c r="L668" s="17">
        <f t="shared" si="64"/>
        <v>0</v>
      </c>
      <c r="M668" s="17"/>
      <c r="N668" s="21">
        <f t="shared" si="66"/>
        <v>0</v>
      </c>
      <c r="O668" s="17">
        <f t="shared" si="67"/>
        <v>0</v>
      </c>
      <c r="P668" s="20"/>
    </row>
    <row r="669" spans="1:16" ht="21" x14ac:dyDescent="0.5">
      <c r="A669" s="17"/>
      <c r="B669" s="18">
        <v>46911</v>
      </c>
      <c r="C669" s="17" t="str">
        <f t="shared" si="62"/>
        <v>96.2 - day 3</v>
      </c>
      <c r="D669" s="17"/>
      <c r="E669" s="17">
        <f t="shared" si="65"/>
        <v>13436</v>
      </c>
      <c r="F669" s="17"/>
      <c r="G669" s="17"/>
      <c r="H669" s="17">
        <f t="shared" si="63"/>
        <v>13436</v>
      </c>
      <c r="I669" s="17"/>
      <c r="J669" s="17"/>
      <c r="K669" s="17"/>
      <c r="L669" s="17">
        <f t="shared" si="64"/>
        <v>0</v>
      </c>
      <c r="M669" s="17"/>
      <c r="N669" s="21">
        <f t="shared" si="66"/>
        <v>0</v>
      </c>
      <c r="O669" s="17">
        <f t="shared" si="67"/>
        <v>0</v>
      </c>
      <c r="P669" s="20"/>
    </row>
    <row r="670" spans="1:16" ht="21" x14ac:dyDescent="0.5">
      <c r="A670" s="17"/>
      <c r="B670" s="18">
        <v>46912</v>
      </c>
      <c r="C670" s="17" t="str">
        <f t="shared" si="62"/>
        <v>96.3 - day 4</v>
      </c>
      <c r="D670" s="17"/>
      <c r="E670" s="17">
        <f t="shared" si="65"/>
        <v>13436</v>
      </c>
      <c r="F670" s="17"/>
      <c r="G670" s="17"/>
      <c r="H670" s="17">
        <f t="shared" si="63"/>
        <v>13436</v>
      </c>
      <c r="I670" s="17"/>
      <c r="J670" s="17"/>
      <c r="K670" s="17"/>
      <c r="L670" s="17">
        <f t="shared" si="64"/>
        <v>0</v>
      </c>
      <c r="M670" s="17"/>
      <c r="N670" s="21">
        <f t="shared" si="66"/>
        <v>0</v>
      </c>
      <c r="O670" s="17">
        <f t="shared" si="67"/>
        <v>0</v>
      </c>
      <c r="P670" s="20"/>
    </row>
    <row r="671" spans="1:16" ht="21" x14ac:dyDescent="0.5">
      <c r="A671" s="17"/>
      <c r="B671" s="18">
        <v>46913</v>
      </c>
      <c r="C671" s="17" t="str">
        <f t="shared" si="62"/>
        <v>96.4 - day 5</v>
      </c>
      <c r="D671" s="17"/>
      <c r="E671" s="17">
        <f t="shared" si="65"/>
        <v>13436</v>
      </c>
      <c r="F671" s="17"/>
      <c r="G671" s="17"/>
      <c r="H671" s="17">
        <f t="shared" si="63"/>
        <v>13436</v>
      </c>
      <c r="I671" s="17"/>
      <c r="J671" s="17"/>
      <c r="K671" s="17"/>
      <c r="L671" s="17">
        <f t="shared" si="64"/>
        <v>0</v>
      </c>
      <c r="M671" s="17"/>
      <c r="N671" s="21">
        <f t="shared" si="66"/>
        <v>0</v>
      </c>
      <c r="O671" s="17">
        <f t="shared" si="67"/>
        <v>0</v>
      </c>
      <c r="P671" s="20"/>
    </row>
    <row r="672" spans="1:16" ht="21" x14ac:dyDescent="0.5">
      <c r="A672" s="17"/>
      <c r="B672" s="18">
        <v>46914</v>
      </c>
      <c r="C672" s="17" t="str">
        <f t="shared" si="62"/>
        <v>96.5 - day 6</v>
      </c>
      <c r="D672" s="17"/>
      <c r="E672" s="17">
        <f t="shared" si="65"/>
        <v>13436</v>
      </c>
      <c r="F672" s="17"/>
      <c r="G672" s="17"/>
      <c r="H672" s="17">
        <f t="shared" si="63"/>
        <v>13436</v>
      </c>
      <c r="I672" s="17"/>
      <c r="J672" s="17"/>
      <c r="K672" s="17"/>
      <c r="L672" s="17">
        <f t="shared" si="64"/>
        <v>0</v>
      </c>
      <c r="M672" s="17"/>
      <c r="N672" s="21">
        <f t="shared" si="66"/>
        <v>0</v>
      </c>
      <c r="O672" s="17">
        <f t="shared" si="67"/>
        <v>0</v>
      </c>
      <c r="P672" s="20"/>
    </row>
    <row r="673" spans="1:16" ht="21" x14ac:dyDescent="0.5">
      <c r="A673" s="17"/>
      <c r="B673" s="18">
        <v>46915</v>
      </c>
      <c r="C673" s="17" t="str">
        <f t="shared" si="62"/>
        <v>96.6 - day 7</v>
      </c>
      <c r="D673" s="17"/>
      <c r="E673" s="17">
        <f t="shared" si="65"/>
        <v>13436</v>
      </c>
      <c r="F673" s="17"/>
      <c r="G673" s="17"/>
      <c r="H673" s="17">
        <f t="shared" si="63"/>
        <v>13436</v>
      </c>
      <c r="I673" s="17"/>
      <c r="J673" s="17"/>
      <c r="K673" s="17"/>
      <c r="L673" s="17">
        <f t="shared" si="64"/>
        <v>0</v>
      </c>
      <c r="M673" s="17"/>
      <c r="N673" s="21">
        <f t="shared" si="66"/>
        <v>0</v>
      </c>
      <c r="O673" s="17">
        <f t="shared" si="67"/>
        <v>0</v>
      </c>
      <c r="P673" s="20"/>
    </row>
    <row r="674" spans="1:16" ht="21" x14ac:dyDescent="0.5">
      <c r="A674" s="17"/>
      <c r="B674" s="18">
        <v>46916</v>
      </c>
      <c r="C674" s="17" t="str">
        <f t="shared" si="62"/>
        <v>97.0 - day 1</v>
      </c>
      <c r="D674" s="17"/>
      <c r="E674" s="17">
        <f t="shared" si="65"/>
        <v>13436</v>
      </c>
      <c r="F674" s="17"/>
      <c r="G674" s="17"/>
      <c r="H674" s="17">
        <f t="shared" si="63"/>
        <v>13436</v>
      </c>
      <c r="I674" s="17"/>
      <c r="J674" s="17"/>
      <c r="K674" s="17"/>
      <c r="L674" s="17">
        <f t="shared" si="64"/>
        <v>0</v>
      </c>
      <c r="M674" s="17"/>
      <c r="N674" s="21">
        <f t="shared" si="66"/>
        <v>0</v>
      </c>
      <c r="O674" s="17">
        <f t="shared" si="67"/>
        <v>0</v>
      </c>
      <c r="P674" s="20"/>
    </row>
    <row r="675" spans="1:16" ht="21" x14ac:dyDescent="0.5">
      <c r="A675" s="17"/>
      <c r="B675" s="18">
        <v>46917</v>
      </c>
      <c r="C675" s="17" t="str">
        <f t="shared" si="62"/>
        <v>97.1 - day 2</v>
      </c>
      <c r="D675" s="17"/>
      <c r="E675" s="17">
        <f t="shared" si="65"/>
        <v>13436</v>
      </c>
      <c r="F675" s="17"/>
      <c r="G675" s="17"/>
      <c r="H675" s="17">
        <f t="shared" si="63"/>
        <v>13436</v>
      </c>
      <c r="I675" s="17"/>
      <c r="J675" s="17"/>
      <c r="K675" s="17"/>
      <c r="L675" s="17">
        <f t="shared" si="64"/>
        <v>0</v>
      </c>
      <c r="M675" s="17"/>
      <c r="N675" s="21">
        <f t="shared" si="66"/>
        <v>0</v>
      </c>
      <c r="O675" s="17">
        <f t="shared" si="67"/>
        <v>0</v>
      </c>
      <c r="P675" s="20"/>
    </row>
    <row r="676" spans="1:16" ht="21" x14ac:dyDescent="0.5">
      <c r="A676" s="17"/>
      <c r="B676" s="18">
        <v>46918</v>
      </c>
      <c r="C676" s="17" t="str">
        <f t="shared" si="62"/>
        <v>97.2 - day 3</v>
      </c>
      <c r="D676" s="17"/>
      <c r="E676" s="17">
        <f t="shared" si="65"/>
        <v>13436</v>
      </c>
      <c r="F676" s="17"/>
      <c r="G676" s="17"/>
      <c r="H676" s="17">
        <f t="shared" si="63"/>
        <v>13436</v>
      </c>
      <c r="I676" s="17"/>
      <c r="J676" s="17"/>
      <c r="K676" s="17"/>
      <c r="L676" s="17">
        <f t="shared" si="64"/>
        <v>0</v>
      </c>
      <c r="M676" s="17"/>
      <c r="N676" s="21">
        <f t="shared" si="66"/>
        <v>0</v>
      </c>
      <c r="O676" s="17">
        <f t="shared" si="67"/>
        <v>0</v>
      </c>
      <c r="P676" s="20"/>
    </row>
    <row r="677" spans="1:16" ht="21" x14ac:dyDescent="0.5">
      <c r="A677" s="17"/>
      <c r="B677" s="18">
        <v>46919</v>
      </c>
      <c r="C677" s="17" t="str">
        <f t="shared" si="62"/>
        <v>97.3 - day 4</v>
      </c>
      <c r="D677" s="17"/>
      <c r="E677" s="17">
        <f t="shared" si="65"/>
        <v>13436</v>
      </c>
      <c r="F677" s="17"/>
      <c r="G677" s="17"/>
      <c r="H677" s="17">
        <f t="shared" si="63"/>
        <v>13436</v>
      </c>
      <c r="I677" s="17"/>
      <c r="J677" s="17"/>
      <c r="K677" s="17"/>
      <c r="L677" s="17">
        <f t="shared" si="64"/>
        <v>0</v>
      </c>
      <c r="M677" s="17"/>
      <c r="N677" s="21">
        <f t="shared" si="66"/>
        <v>0</v>
      </c>
      <c r="O677" s="17">
        <f t="shared" si="67"/>
        <v>0</v>
      </c>
      <c r="P677" s="20"/>
    </row>
    <row r="678" spans="1:16" ht="21" x14ac:dyDescent="0.5">
      <c r="A678" s="17"/>
      <c r="B678" s="18">
        <v>46920</v>
      </c>
      <c r="C678" s="17" t="str">
        <f t="shared" si="62"/>
        <v>97.4 - day 5</v>
      </c>
      <c r="D678" s="17"/>
      <c r="E678" s="17">
        <f t="shared" si="65"/>
        <v>13436</v>
      </c>
      <c r="F678" s="17"/>
      <c r="G678" s="17"/>
      <c r="H678" s="17">
        <f t="shared" si="63"/>
        <v>13436</v>
      </c>
      <c r="I678" s="17"/>
      <c r="J678" s="17"/>
      <c r="K678" s="17"/>
      <c r="L678" s="17">
        <f t="shared" si="64"/>
        <v>0</v>
      </c>
      <c r="M678" s="17"/>
      <c r="N678" s="21">
        <f t="shared" si="66"/>
        <v>0</v>
      </c>
      <c r="O678" s="17">
        <f t="shared" si="67"/>
        <v>0</v>
      </c>
      <c r="P678" s="20"/>
    </row>
    <row r="679" spans="1:16" ht="21" x14ac:dyDescent="0.5">
      <c r="A679" s="17"/>
      <c r="B679" s="18">
        <v>46921</v>
      </c>
      <c r="C679" s="17" t="str">
        <f t="shared" si="62"/>
        <v>97.5 - day 6</v>
      </c>
      <c r="D679" s="17"/>
      <c r="E679" s="17">
        <f t="shared" si="65"/>
        <v>13436</v>
      </c>
      <c r="F679" s="17"/>
      <c r="G679" s="17"/>
      <c r="H679" s="17">
        <f t="shared" si="63"/>
        <v>13436</v>
      </c>
      <c r="I679" s="17"/>
      <c r="J679" s="17"/>
      <c r="K679" s="17"/>
      <c r="L679" s="17">
        <f t="shared" si="64"/>
        <v>0</v>
      </c>
      <c r="M679" s="17"/>
      <c r="N679" s="21">
        <f t="shared" si="66"/>
        <v>0</v>
      </c>
      <c r="O679" s="17">
        <f t="shared" si="67"/>
        <v>0</v>
      </c>
      <c r="P679" s="20"/>
    </row>
    <row r="680" spans="1:16" ht="21" x14ac:dyDescent="0.5">
      <c r="A680" s="17"/>
      <c r="B680" s="18">
        <v>46922</v>
      </c>
      <c r="C680" s="17" t="str">
        <f t="shared" si="62"/>
        <v>97.6 - day 7</v>
      </c>
      <c r="D680" s="17"/>
      <c r="E680" s="17">
        <f t="shared" si="65"/>
        <v>13436</v>
      </c>
      <c r="F680" s="17"/>
      <c r="G680" s="17"/>
      <c r="H680" s="17">
        <f t="shared" si="63"/>
        <v>13436</v>
      </c>
      <c r="I680" s="17"/>
      <c r="J680" s="17"/>
      <c r="K680" s="17"/>
      <c r="L680" s="17">
        <f t="shared" si="64"/>
        <v>0</v>
      </c>
      <c r="M680" s="17"/>
      <c r="N680" s="21">
        <f t="shared" si="66"/>
        <v>0</v>
      </c>
      <c r="O680" s="17">
        <f t="shared" si="67"/>
        <v>0</v>
      </c>
      <c r="P680" s="20"/>
    </row>
    <row r="681" spans="1:16" ht="21" x14ac:dyDescent="0.5">
      <c r="A681" s="17"/>
      <c r="B681" s="18">
        <v>46923</v>
      </c>
      <c r="C681" s="17" t="str">
        <f t="shared" si="62"/>
        <v>98.0 - day 1</v>
      </c>
      <c r="D681" s="17"/>
      <c r="E681" s="17">
        <f t="shared" si="65"/>
        <v>13436</v>
      </c>
      <c r="F681" s="17"/>
      <c r="G681" s="17"/>
      <c r="H681" s="17">
        <f t="shared" si="63"/>
        <v>13436</v>
      </c>
      <c r="I681" s="17"/>
      <c r="J681" s="17"/>
      <c r="K681" s="17"/>
      <c r="L681" s="17">
        <f t="shared" si="64"/>
        <v>0</v>
      </c>
      <c r="M681" s="17"/>
      <c r="N681" s="21">
        <f t="shared" si="66"/>
        <v>0</v>
      </c>
      <c r="O681" s="17">
        <f t="shared" si="67"/>
        <v>0</v>
      </c>
      <c r="P681" s="20"/>
    </row>
    <row r="682" spans="1:16" ht="21" x14ac:dyDescent="0.5">
      <c r="A682" s="17"/>
      <c r="B682" s="18">
        <v>46924</v>
      </c>
      <c r="C682" s="17" t="str">
        <f t="shared" si="62"/>
        <v>98.1 - day 2</v>
      </c>
      <c r="D682" s="17"/>
      <c r="E682" s="17">
        <f t="shared" si="65"/>
        <v>13436</v>
      </c>
      <c r="F682" s="17"/>
      <c r="G682" s="17"/>
      <c r="H682" s="17">
        <f t="shared" si="63"/>
        <v>13436</v>
      </c>
      <c r="I682" s="17"/>
      <c r="J682" s="17"/>
      <c r="K682" s="17"/>
      <c r="L682" s="17">
        <f t="shared" si="64"/>
        <v>0</v>
      </c>
      <c r="M682" s="17"/>
      <c r="N682" s="21">
        <f t="shared" si="66"/>
        <v>0</v>
      </c>
      <c r="O682" s="17">
        <f t="shared" si="67"/>
        <v>0</v>
      </c>
      <c r="P682" s="20"/>
    </row>
    <row r="683" spans="1:16" ht="21" x14ac:dyDescent="0.5">
      <c r="A683" s="17"/>
      <c r="B683" s="18">
        <v>46925</v>
      </c>
      <c r="C683" s="17" t="str">
        <f t="shared" si="62"/>
        <v>98.2 - day 3</v>
      </c>
      <c r="D683" s="17"/>
      <c r="E683" s="17">
        <f t="shared" si="65"/>
        <v>13436</v>
      </c>
      <c r="F683" s="17"/>
      <c r="G683" s="17"/>
      <c r="H683" s="17">
        <f t="shared" si="63"/>
        <v>13436</v>
      </c>
      <c r="I683" s="17"/>
      <c r="J683" s="17"/>
      <c r="K683" s="17"/>
      <c r="L683" s="17">
        <f t="shared" si="64"/>
        <v>0</v>
      </c>
      <c r="M683" s="17"/>
      <c r="N683" s="21">
        <f t="shared" si="66"/>
        <v>0</v>
      </c>
      <c r="O683" s="17">
        <f t="shared" si="67"/>
        <v>0</v>
      </c>
      <c r="P683" s="20"/>
    </row>
    <row r="684" spans="1:16" ht="21" x14ac:dyDescent="0.5">
      <c r="A684" s="17"/>
      <c r="B684" s="18">
        <v>46926</v>
      </c>
      <c r="C684" s="17" t="str">
        <f t="shared" si="62"/>
        <v>98.3 - day 4</v>
      </c>
      <c r="D684" s="17"/>
      <c r="E684" s="17">
        <f t="shared" si="65"/>
        <v>13436</v>
      </c>
      <c r="F684" s="17"/>
      <c r="G684" s="17"/>
      <c r="H684" s="17">
        <f t="shared" si="63"/>
        <v>13436</v>
      </c>
      <c r="I684" s="17"/>
      <c r="J684" s="17"/>
      <c r="K684" s="17"/>
      <c r="L684" s="17">
        <f t="shared" si="64"/>
        <v>0</v>
      </c>
      <c r="M684" s="17"/>
      <c r="N684" s="21">
        <f t="shared" si="66"/>
        <v>0</v>
      </c>
      <c r="O684" s="17">
        <f t="shared" si="67"/>
        <v>0</v>
      </c>
      <c r="P684" s="20"/>
    </row>
    <row r="685" spans="1:16" ht="21" x14ac:dyDescent="0.5">
      <c r="A685" s="17"/>
      <c r="B685" s="18">
        <v>46927</v>
      </c>
      <c r="C685" s="17" t="str">
        <f t="shared" si="62"/>
        <v>98.4 - day 5</v>
      </c>
      <c r="D685" s="17"/>
      <c r="E685" s="17">
        <f t="shared" si="65"/>
        <v>13436</v>
      </c>
      <c r="F685" s="17"/>
      <c r="G685" s="17"/>
      <c r="H685" s="17">
        <f t="shared" si="63"/>
        <v>13436</v>
      </c>
      <c r="I685" s="17"/>
      <c r="J685" s="17"/>
      <c r="K685" s="17"/>
      <c r="L685" s="17">
        <f t="shared" si="64"/>
        <v>0</v>
      </c>
      <c r="M685" s="17"/>
      <c r="N685" s="21">
        <f t="shared" si="66"/>
        <v>0</v>
      </c>
      <c r="O685" s="17">
        <f t="shared" si="67"/>
        <v>0</v>
      </c>
      <c r="P685" s="20"/>
    </row>
    <row r="686" spans="1:16" ht="21" x14ac:dyDescent="0.5">
      <c r="A686" s="17"/>
      <c r="B686" s="18">
        <v>46928</v>
      </c>
      <c r="C686" s="17" t="str">
        <f t="shared" si="62"/>
        <v>98.5 - day 6</v>
      </c>
      <c r="D686" s="17"/>
      <c r="E686" s="17">
        <f t="shared" si="65"/>
        <v>13436</v>
      </c>
      <c r="F686" s="17"/>
      <c r="G686" s="17"/>
      <c r="H686" s="17">
        <f t="shared" si="63"/>
        <v>13436</v>
      </c>
      <c r="I686" s="17"/>
      <c r="J686" s="17"/>
      <c r="K686" s="17"/>
      <c r="L686" s="17">
        <f t="shared" si="64"/>
        <v>0</v>
      </c>
      <c r="M686" s="17"/>
      <c r="N686" s="21">
        <f t="shared" si="66"/>
        <v>0</v>
      </c>
      <c r="O686" s="17">
        <f t="shared" si="67"/>
        <v>0</v>
      </c>
      <c r="P686" s="20"/>
    </row>
    <row r="687" spans="1:16" ht="21" x14ac:dyDescent="0.5">
      <c r="A687" s="17"/>
      <c r="B687" s="18">
        <v>46929</v>
      </c>
      <c r="C687" s="17" t="str">
        <f t="shared" si="62"/>
        <v>98.6 - day 7</v>
      </c>
      <c r="D687" s="17"/>
      <c r="E687" s="17">
        <f t="shared" si="65"/>
        <v>13436</v>
      </c>
      <c r="F687" s="17"/>
      <c r="G687" s="17"/>
      <c r="H687" s="17">
        <f t="shared" si="63"/>
        <v>13436</v>
      </c>
      <c r="I687" s="17"/>
      <c r="J687" s="17"/>
      <c r="K687" s="17"/>
      <c r="L687" s="17">
        <f t="shared" si="64"/>
        <v>0</v>
      </c>
      <c r="M687" s="17"/>
      <c r="N687" s="21">
        <f t="shared" si="66"/>
        <v>0</v>
      </c>
      <c r="O687" s="17">
        <f t="shared" si="67"/>
        <v>0</v>
      </c>
      <c r="P687" s="20"/>
    </row>
    <row r="688" spans="1:16" ht="21" x14ac:dyDescent="0.5">
      <c r="A688" s="17"/>
      <c r="B688" s="18">
        <v>46930</v>
      </c>
      <c r="C688" s="17" t="str">
        <f t="shared" si="62"/>
        <v>99.0 - day 1</v>
      </c>
      <c r="D688" s="17"/>
      <c r="E688" s="17">
        <f t="shared" si="65"/>
        <v>13436</v>
      </c>
      <c r="F688" s="17"/>
      <c r="G688" s="17"/>
      <c r="H688" s="17">
        <f t="shared" si="63"/>
        <v>13436</v>
      </c>
      <c r="I688" s="17"/>
      <c r="J688" s="17"/>
      <c r="K688" s="17"/>
      <c r="L688" s="17">
        <f t="shared" si="64"/>
        <v>0</v>
      </c>
      <c r="M688" s="17"/>
      <c r="N688" s="21">
        <f t="shared" si="66"/>
        <v>0</v>
      </c>
      <c r="O688" s="17">
        <f t="shared" si="67"/>
        <v>0</v>
      </c>
      <c r="P688" s="20"/>
    </row>
    <row r="689" spans="1:16" ht="21" x14ac:dyDescent="0.5">
      <c r="A689" s="17"/>
      <c r="B689" s="18">
        <v>46931</v>
      </c>
      <c r="C689" s="17" t="str">
        <f t="shared" si="62"/>
        <v>99.1 - day 2</v>
      </c>
      <c r="D689" s="17"/>
      <c r="E689" s="17">
        <f t="shared" si="65"/>
        <v>13436</v>
      </c>
      <c r="F689" s="17"/>
      <c r="G689" s="17"/>
      <c r="H689" s="17">
        <f t="shared" si="63"/>
        <v>13436</v>
      </c>
      <c r="I689" s="17"/>
      <c r="J689" s="17"/>
      <c r="K689" s="17"/>
      <c r="L689" s="17">
        <f t="shared" si="64"/>
        <v>0</v>
      </c>
      <c r="M689" s="17"/>
      <c r="N689" s="21">
        <f t="shared" si="66"/>
        <v>0</v>
      </c>
      <c r="O689" s="17">
        <f t="shared" si="67"/>
        <v>0</v>
      </c>
      <c r="P689" s="20"/>
    </row>
    <row r="690" spans="1:16" ht="21" x14ac:dyDescent="0.5">
      <c r="A690" s="17"/>
      <c r="B690" s="18">
        <v>46932</v>
      </c>
      <c r="C690" s="17" t="str">
        <f t="shared" si="62"/>
        <v>99.2 - day 3</v>
      </c>
      <c r="D690" s="17"/>
      <c r="E690" s="17">
        <f t="shared" si="65"/>
        <v>13436</v>
      </c>
      <c r="F690" s="17"/>
      <c r="G690" s="17"/>
      <c r="H690" s="17">
        <f t="shared" si="63"/>
        <v>13436</v>
      </c>
      <c r="I690" s="17"/>
      <c r="J690" s="17"/>
      <c r="K690" s="17"/>
      <c r="L690" s="17">
        <f t="shared" si="64"/>
        <v>0</v>
      </c>
      <c r="M690" s="17"/>
      <c r="N690" s="21">
        <f t="shared" si="66"/>
        <v>0</v>
      </c>
      <c r="O690" s="17">
        <f t="shared" si="67"/>
        <v>0</v>
      </c>
      <c r="P690" s="20"/>
    </row>
    <row r="691" spans="1:16" ht="21" x14ac:dyDescent="0.5">
      <c r="A691" s="17"/>
      <c r="B691" s="18">
        <v>46933</v>
      </c>
      <c r="C691" s="17" t="str">
        <f t="shared" si="62"/>
        <v>99.3 - day 4</v>
      </c>
      <c r="D691" s="17"/>
      <c r="E691" s="17">
        <f t="shared" si="65"/>
        <v>13436</v>
      </c>
      <c r="F691" s="17"/>
      <c r="G691" s="17"/>
      <c r="H691" s="17">
        <f t="shared" si="63"/>
        <v>13436</v>
      </c>
      <c r="I691" s="17"/>
      <c r="J691" s="17"/>
      <c r="K691" s="17"/>
      <c r="L691" s="17">
        <f t="shared" si="64"/>
        <v>0</v>
      </c>
      <c r="M691" s="17"/>
      <c r="N691" s="21">
        <f t="shared" si="66"/>
        <v>0</v>
      </c>
      <c r="O691" s="17">
        <f t="shared" si="67"/>
        <v>0</v>
      </c>
      <c r="P691" s="20"/>
    </row>
    <row r="692" spans="1:16" ht="21" x14ac:dyDescent="0.5">
      <c r="A692" s="17"/>
      <c r="B692" s="18">
        <v>46934</v>
      </c>
      <c r="C692" s="17" t="str">
        <f t="shared" si="62"/>
        <v>99.4 - day 5</v>
      </c>
      <c r="D692" s="17"/>
      <c r="E692" s="17">
        <f t="shared" si="65"/>
        <v>13436</v>
      </c>
      <c r="F692" s="17"/>
      <c r="G692" s="17"/>
      <c r="H692" s="17">
        <f t="shared" si="63"/>
        <v>13436</v>
      </c>
      <c r="I692" s="17"/>
      <c r="J692" s="17"/>
      <c r="K692" s="17"/>
      <c r="L692" s="17">
        <f t="shared" si="64"/>
        <v>0</v>
      </c>
      <c r="M692" s="17"/>
      <c r="N692" s="21">
        <f t="shared" si="66"/>
        <v>0</v>
      </c>
      <c r="O692" s="17">
        <f t="shared" si="67"/>
        <v>0</v>
      </c>
      <c r="P692" s="20"/>
    </row>
    <row r="693" spans="1:16" ht="21" x14ac:dyDescent="0.5">
      <c r="A693" s="17"/>
      <c r="B693" s="18">
        <v>46935</v>
      </c>
      <c r="C693" s="17" t="str">
        <f t="shared" si="62"/>
        <v>99.5 - day 6</v>
      </c>
      <c r="D693" s="17"/>
      <c r="E693" s="17">
        <f t="shared" si="65"/>
        <v>13436</v>
      </c>
      <c r="F693" s="17"/>
      <c r="G693" s="17"/>
      <c r="H693" s="17">
        <f t="shared" si="63"/>
        <v>13436</v>
      </c>
      <c r="I693" s="17"/>
      <c r="J693" s="17"/>
      <c r="K693" s="17"/>
      <c r="L693" s="17">
        <f t="shared" si="64"/>
        <v>0</v>
      </c>
      <c r="M693" s="17"/>
      <c r="N693" s="21">
        <f t="shared" si="66"/>
        <v>0</v>
      </c>
      <c r="O693" s="17">
        <f t="shared" si="67"/>
        <v>0</v>
      </c>
      <c r="P693" s="20"/>
    </row>
    <row r="694" spans="1:16" ht="21" x14ac:dyDescent="0.5">
      <c r="A694" s="17"/>
      <c r="B694" s="18">
        <v>46936</v>
      </c>
      <c r="C694" s="17" t="str">
        <f t="shared" si="62"/>
        <v>99.6 - day 7</v>
      </c>
      <c r="D694" s="17"/>
      <c r="E694" s="17">
        <f t="shared" si="65"/>
        <v>13436</v>
      </c>
      <c r="F694" s="17"/>
      <c r="G694" s="17"/>
      <c r="H694" s="17">
        <f t="shared" si="63"/>
        <v>13436</v>
      </c>
      <c r="I694" s="17"/>
      <c r="J694" s="17"/>
      <c r="K694" s="17"/>
      <c r="L694" s="17">
        <f t="shared" si="64"/>
        <v>0</v>
      </c>
      <c r="M694" s="17"/>
      <c r="N694" s="21">
        <f t="shared" si="66"/>
        <v>0</v>
      </c>
      <c r="O694" s="17">
        <f t="shared" si="67"/>
        <v>0</v>
      </c>
      <c r="P694" s="20"/>
    </row>
    <row r="695" spans="1:16" ht="21" x14ac:dyDescent="0.5">
      <c r="A695" s="17"/>
      <c r="B695" s="18">
        <v>46937</v>
      </c>
      <c r="C695" s="17" t="str">
        <f t="shared" si="62"/>
        <v>100.0 - day 1</v>
      </c>
      <c r="D695" s="17"/>
      <c r="E695" s="17">
        <f t="shared" si="65"/>
        <v>13436</v>
      </c>
      <c r="F695" s="17"/>
      <c r="G695" s="17"/>
      <c r="H695" s="17">
        <f t="shared" si="63"/>
        <v>13436</v>
      </c>
      <c r="I695" s="17"/>
      <c r="J695" s="17"/>
      <c r="K695" s="17"/>
      <c r="L695" s="17">
        <f t="shared" si="64"/>
        <v>0</v>
      </c>
      <c r="M695" s="17"/>
      <c r="N695" s="21">
        <f t="shared" si="66"/>
        <v>0</v>
      </c>
      <c r="O695" s="17">
        <f t="shared" si="67"/>
        <v>0</v>
      </c>
      <c r="P695" s="20"/>
    </row>
    <row r="696" spans="1:16" ht="21" x14ac:dyDescent="0.5">
      <c r="A696" s="17"/>
      <c r="B696" s="18">
        <v>46938</v>
      </c>
      <c r="C696" s="17" t="str">
        <f t="shared" si="62"/>
        <v>100.1 - day 2</v>
      </c>
      <c r="D696" s="17"/>
      <c r="E696" s="17">
        <f t="shared" si="65"/>
        <v>13436</v>
      </c>
      <c r="F696" s="17"/>
      <c r="G696" s="17"/>
      <c r="H696" s="17">
        <f t="shared" si="63"/>
        <v>13436</v>
      </c>
      <c r="I696" s="17"/>
      <c r="J696" s="17"/>
      <c r="K696" s="17"/>
      <c r="L696" s="17">
        <f t="shared" si="64"/>
        <v>0</v>
      </c>
      <c r="M696" s="17"/>
      <c r="N696" s="21">
        <f t="shared" si="66"/>
        <v>0</v>
      </c>
      <c r="O696" s="17">
        <f t="shared" si="67"/>
        <v>0</v>
      </c>
      <c r="P696" s="20"/>
    </row>
    <row r="697" spans="1:16" ht="21" x14ac:dyDescent="0.5">
      <c r="A697" s="17"/>
      <c r="B697" s="18">
        <v>46939</v>
      </c>
      <c r="C697" s="17" t="str">
        <f t="shared" si="62"/>
        <v>100.2 - day 3</v>
      </c>
      <c r="D697" s="17"/>
      <c r="E697" s="17">
        <f t="shared" si="65"/>
        <v>13436</v>
      </c>
      <c r="F697" s="17"/>
      <c r="G697" s="17"/>
      <c r="H697" s="17">
        <f t="shared" si="63"/>
        <v>13436</v>
      </c>
      <c r="I697" s="17"/>
      <c r="J697" s="17"/>
      <c r="K697" s="17"/>
      <c r="L697" s="17">
        <f t="shared" si="64"/>
        <v>0</v>
      </c>
      <c r="M697" s="17"/>
      <c r="N697" s="21">
        <f t="shared" si="66"/>
        <v>0</v>
      </c>
      <c r="O697" s="17">
        <f t="shared" si="67"/>
        <v>0</v>
      </c>
      <c r="P697" s="20"/>
    </row>
    <row r="698" spans="1:16" ht="21" x14ac:dyDescent="0.5">
      <c r="A698" s="17"/>
      <c r="B698" s="18">
        <v>46940</v>
      </c>
      <c r="C698" s="17" t="str">
        <f t="shared" si="62"/>
        <v>100.3 - day 4</v>
      </c>
      <c r="D698" s="17"/>
      <c r="E698" s="17">
        <f t="shared" si="65"/>
        <v>13436</v>
      </c>
      <c r="F698" s="17"/>
      <c r="G698" s="17"/>
      <c r="H698" s="17">
        <f t="shared" si="63"/>
        <v>13436</v>
      </c>
      <c r="I698" s="17"/>
      <c r="J698" s="17"/>
      <c r="K698" s="17"/>
      <c r="L698" s="17">
        <f t="shared" si="64"/>
        <v>0</v>
      </c>
      <c r="M698" s="17"/>
      <c r="N698" s="21">
        <f t="shared" si="66"/>
        <v>0</v>
      </c>
      <c r="O698" s="17">
        <f t="shared" si="67"/>
        <v>0</v>
      </c>
      <c r="P698" s="20"/>
    </row>
    <row r="699" spans="1:16" ht="21" x14ac:dyDescent="0.5">
      <c r="A699" s="17"/>
      <c r="B699" s="18">
        <v>46941</v>
      </c>
      <c r="C699" s="17" t="str">
        <f t="shared" si="62"/>
        <v>100.4 - day 5</v>
      </c>
      <c r="D699" s="17"/>
      <c r="E699" s="17">
        <f t="shared" si="65"/>
        <v>13436</v>
      </c>
      <c r="F699" s="17"/>
      <c r="G699" s="17"/>
      <c r="H699" s="17">
        <f t="shared" si="63"/>
        <v>13436</v>
      </c>
      <c r="I699" s="17"/>
      <c r="J699" s="17"/>
      <c r="K699" s="17"/>
      <c r="L699" s="17">
        <f t="shared" si="64"/>
        <v>0</v>
      </c>
      <c r="M699" s="17"/>
      <c r="N699" s="21">
        <f t="shared" si="66"/>
        <v>0</v>
      </c>
      <c r="O699" s="17">
        <f t="shared" si="67"/>
        <v>0</v>
      </c>
      <c r="P699" s="20"/>
    </row>
    <row r="700" spans="1:16" ht="21" x14ac:dyDescent="0.5">
      <c r="A700" s="17"/>
      <c r="B700" s="18">
        <v>46942</v>
      </c>
      <c r="C700" s="17" t="str">
        <f t="shared" si="62"/>
        <v>100.5 - day 6</v>
      </c>
      <c r="D700" s="17"/>
      <c r="E700" s="17">
        <f t="shared" si="65"/>
        <v>13436</v>
      </c>
      <c r="F700" s="17"/>
      <c r="G700" s="17"/>
      <c r="H700" s="17">
        <f t="shared" si="63"/>
        <v>13436</v>
      </c>
      <c r="I700" s="17"/>
      <c r="J700" s="17"/>
      <c r="K700" s="17"/>
      <c r="L700" s="17">
        <f t="shared" si="64"/>
        <v>0</v>
      </c>
      <c r="M700" s="17"/>
      <c r="N700" s="21">
        <f t="shared" si="66"/>
        <v>0</v>
      </c>
      <c r="O700" s="17">
        <f t="shared" si="67"/>
        <v>0</v>
      </c>
      <c r="P700" s="20"/>
    </row>
    <row r="701" spans="1:16" ht="21" x14ac:dyDescent="0.5">
      <c r="A701" s="17"/>
      <c r="B701" s="18">
        <v>46943</v>
      </c>
      <c r="C701" s="17" t="str">
        <f t="shared" si="62"/>
        <v>100.6 - day 7</v>
      </c>
      <c r="D701" s="17"/>
      <c r="E701" s="17">
        <f t="shared" si="65"/>
        <v>13436</v>
      </c>
      <c r="F701" s="17"/>
      <c r="G701" s="17"/>
      <c r="H701" s="17">
        <f t="shared" si="63"/>
        <v>13436</v>
      </c>
      <c r="I701" s="17"/>
      <c r="J701" s="17"/>
      <c r="K701" s="17"/>
      <c r="L701" s="17">
        <f t="shared" si="64"/>
        <v>0</v>
      </c>
      <c r="M701" s="17"/>
      <c r="N701" s="21">
        <f t="shared" si="66"/>
        <v>0</v>
      </c>
      <c r="O701" s="17">
        <f t="shared" si="67"/>
        <v>0</v>
      </c>
      <c r="P701" s="20"/>
    </row>
    <row r="702" spans="1:16" ht="21" x14ac:dyDescent="0.5">
      <c r="A702" s="17"/>
      <c r="B702" s="18">
        <v>46944</v>
      </c>
      <c r="C702" s="17" t="str">
        <f t="shared" si="62"/>
        <v>101.0 - day 1</v>
      </c>
      <c r="D702" s="17"/>
      <c r="E702" s="17">
        <f t="shared" si="65"/>
        <v>13436</v>
      </c>
      <c r="F702" s="17"/>
      <c r="G702" s="17"/>
      <c r="H702" s="17">
        <f t="shared" si="63"/>
        <v>13436</v>
      </c>
      <c r="I702" s="17"/>
      <c r="J702" s="17"/>
      <c r="K702" s="17"/>
      <c r="L702" s="17">
        <f t="shared" si="64"/>
        <v>0</v>
      </c>
      <c r="M702" s="17"/>
      <c r="N702" s="21">
        <f t="shared" si="66"/>
        <v>0</v>
      </c>
      <c r="O702" s="17">
        <f t="shared" si="67"/>
        <v>0</v>
      </c>
      <c r="P702" s="20"/>
    </row>
    <row r="703" spans="1:16" ht="21" x14ac:dyDescent="0.5">
      <c r="A703" s="17"/>
      <c r="B703" s="18">
        <v>46945</v>
      </c>
      <c r="C703" s="17" t="str">
        <f t="shared" si="62"/>
        <v>101.1 - day 2</v>
      </c>
      <c r="D703" s="17"/>
      <c r="E703" s="17">
        <f t="shared" si="65"/>
        <v>13436</v>
      </c>
      <c r="F703" s="17"/>
      <c r="G703" s="17"/>
      <c r="H703" s="17">
        <f t="shared" si="63"/>
        <v>13436</v>
      </c>
      <c r="I703" s="17"/>
      <c r="J703" s="17"/>
      <c r="K703" s="17"/>
      <c r="L703" s="17">
        <f t="shared" si="64"/>
        <v>0</v>
      </c>
      <c r="M703" s="17"/>
      <c r="N703" s="21">
        <f t="shared" si="66"/>
        <v>0</v>
      </c>
      <c r="O703" s="17">
        <f t="shared" si="67"/>
        <v>0</v>
      </c>
      <c r="P703" s="20"/>
    </row>
    <row r="704" spans="1:16" ht="21" x14ac:dyDescent="0.5">
      <c r="A704" s="17"/>
      <c r="B704" s="18">
        <v>46946</v>
      </c>
      <c r="C704" s="17" t="str">
        <f t="shared" si="62"/>
        <v>101.2 - day 3</v>
      </c>
      <c r="D704" s="17"/>
      <c r="E704" s="17">
        <f t="shared" si="65"/>
        <v>13436</v>
      </c>
      <c r="F704" s="17"/>
      <c r="G704" s="17"/>
      <c r="H704" s="17">
        <f t="shared" si="63"/>
        <v>13436</v>
      </c>
      <c r="I704" s="17"/>
      <c r="J704" s="17"/>
      <c r="K704" s="17"/>
      <c r="L704" s="17">
        <f t="shared" si="64"/>
        <v>0</v>
      </c>
      <c r="M704" s="17"/>
      <c r="N704" s="21">
        <f t="shared" si="66"/>
        <v>0</v>
      </c>
      <c r="O704" s="17">
        <f t="shared" si="67"/>
        <v>0</v>
      </c>
      <c r="P704" s="20"/>
    </row>
    <row r="705" spans="1:16" ht="21" x14ac:dyDescent="0.5">
      <c r="A705" s="17"/>
      <c r="B705" s="18">
        <v>46947</v>
      </c>
      <c r="C705" s="17" t="str">
        <f t="shared" si="62"/>
        <v>101.3 - day 4</v>
      </c>
      <c r="D705" s="17"/>
      <c r="E705" s="17">
        <f t="shared" si="65"/>
        <v>13436</v>
      </c>
      <c r="F705" s="17"/>
      <c r="G705" s="17"/>
      <c r="H705" s="17">
        <f t="shared" si="63"/>
        <v>13436</v>
      </c>
      <c r="I705" s="17"/>
      <c r="J705" s="17"/>
      <c r="K705" s="17"/>
      <c r="L705" s="17">
        <f t="shared" si="64"/>
        <v>0</v>
      </c>
      <c r="M705" s="17"/>
      <c r="N705" s="21">
        <f t="shared" si="66"/>
        <v>0</v>
      </c>
      <c r="O705" s="17">
        <f t="shared" si="67"/>
        <v>0</v>
      </c>
      <c r="P705" s="20"/>
    </row>
    <row r="706" spans="1:16" ht="21" x14ac:dyDescent="0.5">
      <c r="A706" s="17"/>
      <c r="B706" s="18">
        <v>46948</v>
      </c>
      <c r="C706" s="17" t="str">
        <f t="shared" si="62"/>
        <v>101.4 - day 5</v>
      </c>
      <c r="D706" s="17"/>
      <c r="E706" s="17">
        <f t="shared" si="65"/>
        <v>13436</v>
      </c>
      <c r="F706" s="17"/>
      <c r="G706" s="17"/>
      <c r="H706" s="17">
        <f t="shared" si="63"/>
        <v>13436</v>
      </c>
      <c r="I706" s="17"/>
      <c r="J706" s="17"/>
      <c r="K706" s="17"/>
      <c r="L706" s="17">
        <f t="shared" si="64"/>
        <v>0</v>
      </c>
      <c r="M706" s="17"/>
      <c r="N706" s="21">
        <f t="shared" si="66"/>
        <v>0</v>
      </c>
      <c r="O706" s="17">
        <f t="shared" si="67"/>
        <v>0</v>
      </c>
      <c r="P706" s="20"/>
    </row>
    <row r="707" spans="1:16" ht="21" x14ac:dyDescent="0.5">
      <c r="A707" s="17"/>
      <c r="B707" s="18">
        <v>46949</v>
      </c>
      <c r="C707" s="17" t="str">
        <f t="shared" si="62"/>
        <v>101.5 - day 6</v>
      </c>
      <c r="D707" s="17"/>
      <c r="E707" s="17">
        <f t="shared" si="65"/>
        <v>13436</v>
      </c>
      <c r="F707" s="17"/>
      <c r="G707" s="17"/>
      <c r="H707" s="17">
        <f t="shared" si="63"/>
        <v>13436</v>
      </c>
      <c r="I707" s="17"/>
      <c r="J707" s="17"/>
      <c r="K707" s="17"/>
      <c r="L707" s="17">
        <f t="shared" si="64"/>
        <v>0</v>
      </c>
      <c r="M707" s="17"/>
      <c r="N707" s="21">
        <f t="shared" si="66"/>
        <v>0</v>
      </c>
      <c r="O707" s="17">
        <f t="shared" si="67"/>
        <v>0</v>
      </c>
      <c r="P707" s="20"/>
    </row>
    <row r="708" spans="1:16" ht="21" x14ac:dyDescent="0.5">
      <c r="A708" s="17"/>
      <c r="B708" s="18">
        <v>46950</v>
      </c>
      <c r="C708" s="17" t="str">
        <f t="shared" ref="C708:C731" si="68">(QUOTIENT(ROW()-2,7)+1)&amp;"."&amp;MOD(ROW()-2,7)&amp;" - day "&amp;(MOD(ROW()-2,7)+1)</f>
        <v>101.6 - day 7</v>
      </c>
      <c r="D708" s="17"/>
      <c r="E708" s="17">
        <f t="shared" si="65"/>
        <v>13436</v>
      </c>
      <c r="F708" s="17"/>
      <c r="G708" s="17"/>
      <c r="H708" s="17">
        <f t="shared" ref="H708:H731" si="69">SUM(E708-F708-G708)</f>
        <v>13436</v>
      </c>
      <c r="I708" s="17"/>
      <c r="J708" s="17"/>
      <c r="K708" s="17"/>
      <c r="L708" s="17">
        <f t="shared" ref="L708:L731" si="70">SUM(J708+K708)/H708*100</f>
        <v>0</v>
      </c>
      <c r="M708" s="17"/>
      <c r="N708" s="21">
        <f t="shared" si="66"/>
        <v>0</v>
      </c>
      <c r="O708" s="17">
        <f t="shared" si="67"/>
        <v>0</v>
      </c>
      <c r="P708" s="20"/>
    </row>
    <row r="709" spans="1:16" ht="21" x14ac:dyDescent="0.5">
      <c r="A709" s="17"/>
      <c r="B709" s="18">
        <v>46951</v>
      </c>
      <c r="C709" s="17" t="str">
        <f t="shared" si="68"/>
        <v>102.0 - day 1</v>
      </c>
      <c r="D709" s="17"/>
      <c r="E709" s="17">
        <f t="shared" si="65"/>
        <v>13436</v>
      </c>
      <c r="F709" s="17"/>
      <c r="G709" s="17"/>
      <c r="H709" s="17">
        <f t="shared" si="69"/>
        <v>13436</v>
      </c>
      <c r="I709" s="17"/>
      <c r="J709" s="17"/>
      <c r="K709" s="17"/>
      <c r="L709" s="17">
        <f t="shared" si="70"/>
        <v>0</v>
      </c>
      <c r="M709" s="17"/>
      <c r="N709" s="21">
        <f t="shared" si="66"/>
        <v>0</v>
      </c>
      <c r="O709" s="17">
        <f t="shared" si="67"/>
        <v>0</v>
      </c>
      <c r="P709" s="20"/>
    </row>
    <row r="710" spans="1:16" ht="21" x14ac:dyDescent="0.5">
      <c r="A710" s="17"/>
      <c r="B710" s="18">
        <v>46952</v>
      </c>
      <c r="C710" s="17" t="str">
        <f t="shared" si="68"/>
        <v>102.1 - day 2</v>
      </c>
      <c r="D710" s="17"/>
      <c r="E710" s="17">
        <f t="shared" ref="E710:E731" si="71">H709</f>
        <v>13436</v>
      </c>
      <c r="F710" s="17"/>
      <c r="G710" s="17"/>
      <c r="H710" s="17">
        <f t="shared" si="69"/>
        <v>13436</v>
      </c>
      <c r="I710" s="17"/>
      <c r="J710" s="17"/>
      <c r="K710" s="17"/>
      <c r="L710" s="17">
        <f t="shared" si="70"/>
        <v>0</v>
      </c>
      <c r="M710" s="17"/>
      <c r="N710" s="21">
        <f t="shared" si="66"/>
        <v>0</v>
      </c>
      <c r="O710" s="17">
        <f t="shared" si="67"/>
        <v>0</v>
      </c>
      <c r="P710" s="20"/>
    </row>
    <row r="711" spans="1:16" ht="21" x14ac:dyDescent="0.5">
      <c r="A711" s="17"/>
      <c r="B711" s="18">
        <v>46953</v>
      </c>
      <c r="C711" s="17" t="str">
        <f t="shared" si="68"/>
        <v>102.2 - day 3</v>
      </c>
      <c r="D711" s="17"/>
      <c r="E711" s="17">
        <f t="shared" si="71"/>
        <v>13436</v>
      </c>
      <c r="F711" s="17"/>
      <c r="G711" s="17"/>
      <c r="H711" s="17">
        <f t="shared" si="69"/>
        <v>13436</v>
      </c>
      <c r="I711" s="17"/>
      <c r="J711" s="17"/>
      <c r="K711" s="17"/>
      <c r="L711" s="17">
        <f t="shared" si="70"/>
        <v>0</v>
      </c>
      <c r="M711" s="17"/>
      <c r="N711" s="21">
        <f t="shared" si="66"/>
        <v>0</v>
      </c>
      <c r="O711" s="17">
        <f t="shared" si="67"/>
        <v>0</v>
      </c>
      <c r="P711" s="20"/>
    </row>
    <row r="712" spans="1:16" ht="21" x14ac:dyDescent="0.5">
      <c r="A712" s="17"/>
      <c r="B712" s="18">
        <v>46954</v>
      </c>
      <c r="C712" s="17" t="str">
        <f t="shared" si="68"/>
        <v>102.3 - day 4</v>
      </c>
      <c r="D712" s="17"/>
      <c r="E712" s="17">
        <f t="shared" si="71"/>
        <v>13436</v>
      </c>
      <c r="F712" s="17"/>
      <c r="G712" s="17"/>
      <c r="H712" s="17">
        <f t="shared" si="69"/>
        <v>13436</v>
      </c>
      <c r="I712" s="17"/>
      <c r="J712" s="17"/>
      <c r="K712" s="17"/>
      <c r="L712" s="17">
        <f t="shared" si="70"/>
        <v>0</v>
      </c>
      <c r="M712" s="17"/>
      <c r="N712" s="21">
        <f t="shared" si="66"/>
        <v>0</v>
      </c>
      <c r="O712" s="17">
        <f t="shared" si="67"/>
        <v>0</v>
      </c>
      <c r="P712" s="20"/>
    </row>
    <row r="713" spans="1:16" ht="21" x14ac:dyDescent="0.5">
      <c r="A713" s="17"/>
      <c r="B713" s="18">
        <v>46955</v>
      </c>
      <c r="C713" s="17" t="str">
        <f t="shared" si="68"/>
        <v>102.4 - day 5</v>
      </c>
      <c r="D713" s="17"/>
      <c r="E713" s="17">
        <f t="shared" si="71"/>
        <v>13436</v>
      </c>
      <c r="F713" s="17"/>
      <c r="G713" s="17"/>
      <c r="H713" s="17">
        <f t="shared" si="69"/>
        <v>13436</v>
      </c>
      <c r="I713" s="17"/>
      <c r="J713" s="17"/>
      <c r="K713" s="17"/>
      <c r="L713" s="17">
        <f t="shared" si="70"/>
        <v>0</v>
      </c>
      <c r="M713" s="17"/>
      <c r="N713" s="21">
        <f t="shared" si="66"/>
        <v>0</v>
      </c>
      <c r="O713" s="17">
        <f t="shared" si="67"/>
        <v>0</v>
      </c>
      <c r="P713" s="20"/>
    </row>
    <row r="714" spans="1:16" ht="21" x14ac:dyDescent="0.5">
      <c r="A714" s="17"/>
      <c r="B714" s="18">
        <v>46956</v>
      </c>
      <c r="C714" s="17" t="str">
        <f t="shared" si="68"/>
        <v>102.5 - day 6</v>
      </c>
      <c r="D714" s="17"/>
      <c r="E714" s="17">
        <f t="shared" si="71"/>
        <v>13436</v>
      </c>
      <c r="F714" s="17"/>
      <c r="G714" s="17"/>
      <c r="H714" s="17">
        <f t="shared" si="69"/>
        <v>13436</v>
      </c>
      <c r="I714" s="17"/>
      <c r="J714" s="17"/>
      <c r="K714" s="17"/>
      <c r="L714" s="17">
        <f t="shared" si="70"/>
        <v>0</v>
      </c>
      <c r="M714" s="17"/>
      <c r="N714" s="21">
        <f t="shared" si="66"/>
        <v>0</v>
      </c>
      <c r="O714" s="17">
        <f t="shared" si="67"/>
        <v>0</v>
      </c>
      <c r="P714" s="20"/>
    </row>
    <row r="715" spans="1:16" ht="21" x14ac:dyDescent="0.5">
      <c r="A715" s="17"/>
      <c r="B715" s="18">
        <v>46957</v>
      </c>
      <c r="C715" s="17" t="str">
        <f t="shared" si="68"/>
        <v>102.6 - day 7</v>
      </c>
      <c r="D715" s="17"/>
      <c r="E715" s="17">
        <f t="shared" si="71"/>
        <v>13436</v>
      </c>
      <c r="F715" s="17"/>
      <c r="G715" s="17"/>
      <c r="H715" s="17">
        <f t="shared" si="69"/>
        <v>13436</v>
      </c>
      <c r="I715" s="17"/>
      <c r="J715" s="17"/>
      <c r="K715" s="17"/>
      <c r="L715" s="17">
        <f t="shared" si="70"/>
        <v>0</v>
      </c>
      <c r="M715" s="17"/>
      <c r="N715" s="21">
        <f t="shared" si="66"/>
        <v>0</v>
      </c>
      <c r="O715" s="17">
        <f t="shared" si="67"/>
        <v>0</v>
      </c>
      <c r="P715" s="20"/>
    </row>
    <row r="716" spans="1:16" ht="21" x14ac:dyDescent="0.5">
      <c r="A716" s="17"/>
      <c r="B716" s="18">
        <v>46958</v>
      </c>
      <c r="C716" s="17" t="str">
        <f t="shared" si="68"/>
        <v>103.0 - day 1</v>
      </c>
      <c r="D716" s="17"/>
      <c r="E716" s="17">
        <f t="shared" si="71"/>
        <v>13436</v>
      </c>
      <c r="F716" s="17"/>
      <c r="G716" s="17"/>
      <c r="H716" s="17">
        <f t="shared" si="69"/>
        <v>13436</v>
      </c>
      <c r="I716" s="17"/>
      <c r="J716" s="17"/>
      <c r="K716" s="17"/>
      <c r="L716" s="17">
        <f t="shared" si="70"/>
        <v>0</v>
      </c>
      <c r="M716" s="17"/>
      <c r="N716" s="21">
        <f t="shared" si="66"/>
        <v>0</v>
      </c>
      <c r="O716" s="17">
        <f t="shared" si="67"/>
        <v>0</v>
      </c>
      <c r="P716" s="20"/>
    </row>
    <row r="717" spans="1:16" ht="21" x14ac:dyDescent="0.5">
      <c r="A717" s="17"/>
      <c r="B717" s="18">
        <v>46959</v>
      </c>
      <c r="C717" s="17" t="str">
        <f t="shared" si="68"/>
        <v>103.1 - day 2</v>
      </c>
      <c r="D717" s="17"/>
      <c r="E717" s="17">
        <f t="shared" si="71"/>
        <v>13436</v>
      </c>
      <c r="F717" s="17"/>
      <c r="G717" s="17"/>
      <c r="H717" s="17">
        <f t="shared" si="69"/>
        <v>13436</v>
      </c>
      <c r="I717" s="17"/>
      <c r="J717" s="17"/>
      <c r="K717" s="17"/>
      <c r="L717" s="17">
        <f t="shared" si="70"/>
        <v>0</v>
      </c>
      <c r="M717" s="17"/>
      <c r="N717" s="21">
        <f t="shared" si="66"/>
        <v>0</v>
      </c>
      <c r="O717" s="17">
        <f t="shared" si="67"/>
        <v>0</v>
      </c>
      <c r="P717" s="20"/>
    </row>
    <row r="718" spans="1:16" ht="21" x14ac:dyDescent="0.5">
      <c r="A718" s="17"/>
      <c r="B718" s="18">
        <v>46960</v>
      </c>
      <c r="C718" s="17" t="str">
        <f t="shared" si="68"/>
        <v>103.2 - day 3</v>
      </c>
      <c r="D718" s="17"/>
      <c r="E718" s="17">
        <f t="shared" si="71"/>
        <v>13436</v>
      </c>
      <c r="F718" s="17"/>
      <c r="G718" s="17"/>
      <c r="H718" s="17">
        <f t="shared" si="69"/>
        <v>13436</v>
      </c>
      <c r="I718" s="17"/>
      <c r="J718" s="17"/>
      <c r="K718" s="17"/>
      <c r="L718" s="17">
        <f t="shared" si="70"/>
        <v>0</v>
      </c>
      <c r="M718" s="17"/>
      <c r="N718" s="21">
        <f t="shared" si="66"/>
        <v>0</v>
      </c>
      <c r="O718" s="17">
        <f t="shared" si="67"/>
        <v>0</v>
      </c>
      <c r="P718" s="20"/>
    </row>
    <row r="719" spans="1:16" ht="21" x14ac:dyDescent="0.5">
      <c r="A719" s="17"/>
      <c r="B719" s="18">
        <v>46961</v>
      </c>
      <c r="C719" s="17" t="str">
        <f t="shared" si="68"/>
        <v>103.3 - day 4</v>
      </c>
      <c r="D719" s="17"/>
      <c r="E719" s="17">
        <f t="shared" si="71"/>
        <v>13436</v>
      </c>
      <c r="F719" s="17"/>
      <c r="G719" s="17"/>
      <c r="H719" s="17">
        <f t="shared" si="69"/>
        <v>13436</v>
      </c>
      <c r="I719" s="17"/>
      <c r="J719" s="17"/>
      <c r="K719" s="17"/>
      <c r="L719" s="17">
        <f t="shared" si="70"/>
        <v>0</v>
      </c>
      <c r="M719" s="17"/>
      <c r="N719" s="21">
        <f t="shared" si="66"/>
        <v>0</v>
      </c>
      <c r="O719" s="17">
        <f t="shared" si="67"/>
        <v>0</v>
      </c>
      <c r="P719" s="20"/>
    </row>
    <row r="720" spans="1:16" ht="21" x14ac:dyDescent="0.5">
      <c r="A720" s="17"/>
      <c r="B720" s="18">
        <v>46962</v>
      </c>
      <c r="C720" s="17" t="str">
        <f t="shared" si="68"/>
        <v>103.4 - day 5</v>
      </c>
      <c r="D720" s="17"/>
      <c r="E720" s="17">
        <f t="shared" si="71"/>
        <v>13436</v>
      </c>
      <c r="F720" s="17"/>
      <c r="G720" s="17"/>
      <c r="H720" s="17">
        <f t="shared" si="69"/>
        <v>13436</v>
      </c>
      <c r="I720" s="17"/>
      <c r="J720" s="17"/>
      <c r="K720" s="17"/>
      <c r="L720" s="17">
        <f t="shared" si="70"/>
        <v>0</v>
      </c>
      <c r="M720" s="17"/>
      <c r="N720" s="21">
        <f t="shared" si="66"/>
        <v>0</v>
      </c>
      <c r="O720" s="17">
        <f t="shared" si="67"/>
        <v>0</v>
      </c>
      <c r="P720" s="20"/>
    </row>
    <row r="721" spans="1:16" ht="21" x14ac:dyDescent="0.5">
      <c r="A721" s="17"/>
      <c r="B721" s="18">
        <v>46963</v>
      </c>
      <c r="C721" s="17" t="str">
        <f t="shared" si="68"/>
        <v>103.5 - day 6</v>
      </c>
      <c r="D721" s="17"/>
      <c r="E721" s="17">
        <f t="shared" si="71"/>
        <v>13436</v>
      </c>
      <c r="F721" s="17"/>
      <c r="G721" s="17"/>
      <c r="H721" s="17">
        <f t="shared" si="69"/>
        <v>13436</v>
      </c>
      <c r="I721" s="17"/>
      <c r="J721" s="17"/>
      <c r="K721" s="17"/>
      <c r="L721" s="17">
        <f t="shared" si="70"/>
        <v>0</v>
      </c>
      <c r="M721" s="17"/>
      <c r="N721" s="21">
        <f t="shared" si="66"/>
        <v>0</v>
      </c>
      <c r="O721" s="17">
        <f t="shared" si="67"/>
        <v>0</v>
      </c>
      <c r="P721" s="20"/>
    </row>
    <row r="722" spans="1:16" ht="21" x14ac:dyDescent="0.5">
      <c r="A722" s="17"/>
      <c r="B722" s="18">
        <v>46964</v>
      </c>
      <c r="C722" s="17" t="str">
        <f t="shared" si="68"/>
        <v>103.6 - day 7</v>
      </c>
      <c r="D722" s="17"/>
      <c r="E722" s="17">
        <f t="shared" si="71"/>
        <v>13436</v>
      </c>
      <c r="F722" s="17"/>
      <c r="G722" s="17"/>
      <c r="H722" s="17">
        <f t="shared" si="69"/>
        <v>13436</v>
      </c>
      <c r="I722" s="17"/>
      <c r="J722" s="17"/>
      <c r="K722" s="17"/>
      <c r="L722" s="17">
        <f t="shared" si="70"/>
        <v>0</v>
      </c>
      <c r="M722" s="17"/>
      <c r="N722" s="21">
        <f t="shared" si="66"/>
        <v>0</v>
      </c>
      <c r="O722" s="17">
        <f t="shared" si="67"/>
        <v>0</v>
      </c>
      <c r="P722" s="20"/>
    </row>
    <row r="723" spans="1:16" ht="21" x14ac:dyDescent="0.5">
      <c r="A723" s="17"/>
      <c r="B723" s="18">
        <v>46965</v>
      </c>
      <c r="C723" s="17" t="str">
        <f t="shared" si="68"/>
        <v>104.0 - day 1</v>
      </c>
      <c r="D723" s="17"/>
      <c r="E723" s="17">
        <f t="shared" si="71"/>
        <v>13436</v>
      </c>
      <c r="F723" s="17"/>
      <c r="G723" s="17"/>
      <c r="H723" s="17">
        <f t="shared" si="69"/>
        <v>13436</v>
      </c>
      <c r="I723" s="17"/>
      <c r="J723" s="17"/>
      <c r="K723" s="17"/>
      <c r="L723" s="17">
        <f t="shared" si="70"/>
        <v>0</v>
      </c>
      <c r="M723" s="17"/>
      <c r="N723" s="21">
        <f t="shared" si="66"/>
        <v>0</v>
      </c>
      <c r="O723" s="17">
        <f t="shared" si="67"/>
        <v>0</v>
      </c>
      <c r="P723" s="20"/>
    </row>
    <row r="724" spans="1:16" ht="21" x14ac:dyDescent="0.5">
      <c r="A724" s="17"/>
      <c r="B724" s="18">
        <v>46966</v>
      </c>
      <c r="C724" s="17" t="str">
        <f t="shared" si="68"/>
        <v>104.1 - day 2</v>
      </c>
      <c r="D724" s="17"/>
      <c r="E724" s="17">
        <f t="shared" si="71"/>
        <v>13436</v>
      </c>
      <c r="F724" s="17"/>
      <c r="G724" s="17"/>
      <c r="H724" s="17">
        <f t="shared" si="69"/>
        <v>13436</v>
      </c>
      <c r="I724" s="17"/>
      <c r="J724" s="17"/>
      <c r="K724" s="17"/>
      <c r="L724" s="17">
        <f t="shared" si="70"/>
        <v>0</v>
      </c>
      <c r="M724" s="17"/>
      <c r="N724" s="21">
        <f t="shared" si="66"/>
        <v>0</v>
      </c>
      <c r="O724" s="17">
        <f t="shared" si="67"/>
        <v>0</v>
      </c>
      <c r="P724" s="20"/>
    </row>
    <row r="725" spans="1:16" ht="21" x14ac:dyDescent="0.5">
      <c r="A725" s="17"/>
      <c r="B725" s="18">
        <v>46967</v>
      </c>
      <c r="C725" s="17" t="str">
        <f t="shared" si="68"/>
        <v>104.2 - day 3</v>
      </c>
      <c r="D725" s="17"/>
      <c r="E725" s="17">
        <f t="shared" si="71"/>
        <v>13436</v>
      </c>
      <c r="F725" s="17"/>
      <c r="G725" s="17"/>
      <c r="H725" s="17">
        <f t="shared" si="69"/>
        <v>13436</v>
      </c>
      <c r="I725" s="17"/>
      <c r="J725" s="17"/>
      <c r="K725" s="17"/>
      <c r="L725" s="17">
        <f t="shared" si="70"/>
        <v>0</v>
      </c>
      <c r="M725" s="17"/>
      <c r="N725" s="21">
        <f t="shared" ref="N725:N731" si="72">SUM(L725-M725)</f>
        <v>0</v>
      </c>
      <c r="O725" s="17">
        <f t="shared" ref="O725:O731" si="73">SUM(I725/H725)*1000</f>
        <v>0</v>
      </c>
      <c r="P725" s="20"/>
    </row>
    <row r="726" spans="1:16" ht="21" x14ac:dyDescent="0.5">
      <c r="A726" s="17"/>
      <c r="B726" s="18">
        <v>46968</v>
      </c>
      <c r="C726" s="17" t="str">
        <f t="shared" si="68"/>
        <v>104.3 - day 4</v>
      </c>
      <c r="D726" s="17"/>
      <c r="E726" s="17">
        <f t="shared" si="71"/>
        <v>13436</v>
      </c>
      <c r="F726" s="17"/>
      <c r="G726" s="17"/>
      <c r="H726" s="17">
        <f t="shared" si="69"/>
        <v>13436</v>
      </c>
      <c r="I726" s="17"/>
      <c r="J726" s="17"/>
      <c r="K726" s="17"/>
      <c r="L726" s="17">
        <f t="shared" si="70"/>
        <v>0</v>
      </c>
      <c r="M726" s="17"/>
      <c r="N726" s="21">
        <f t="shared" si="72"/>
        <v>0</v>
      </c>
      <c r="O726" s="17">
        <f t="shared" si="73"/>
        <v>0</v>
      </c>
      <c r="P726" s="20"/>
    </row>
    <row r="727" spans="1:16" ht="21" x14ac:dyDescent="0.5">
      <c r="A727" s="17"/>
      <c r="B727" s="18">
        <v>46969</v>
      </c>
      <c r="C727" s="17" t="str">
        <f t="shared" si="68"/>
        <v>104.4 - day 5</v>
      </c>
      <c r="D727" s="17"/>
      <c r="E727" s="17">
        <f t="shared" si="71"/>
        <v>13436</v>
      </c>
      <c r="F727" s="17"/>
      <c r="G727" s="17"/>
      <c r="H727" s="17">
        <f t="shared" si="69"/>
        <v>13436</v>
      </c>
      <c r="I727" s="17"/>
      <c r="J727" s="17"/>
      <c r="K727" s="17"/>
      <c r="L727" s="17">
        <f t="shared" si="70"/>
        <v>0</v>
      </c>
      <c r="M727" s="17"/>
      <c r="N727" s="21">
        <f t="shared" si="72"/>
        <v>0</v>
      </c>
      <c r="O727" s="17">
        <f t="shared" si="73"/>
        <v>0</v>
      </c>
      <c r="P727" s="20"/>
    </row>
    <row r="728" spans="1:16" ht="21" x14ac:dyDescent="0.5">
      <c r="A728" s="17"/>
      <c r="B728" s="18">
        <v>46970</v>
      </c>
      <c r="C728" s="17" t="str">
        <f t="shared" si="68"/>
        <v>104.5 - day 6</v>
      </c>
      <c r="D728" s="17"/>
      <c r="E728" s="17">
        <f t="shared" si="71"/>
        <v>13436</v>
      </c>
      <c r="F728" s="17"/>
      <c r="G728" s="17"/>
      <c r="H728" s="17">
        <f t="shared" si="69"/>
        <v>13436</v>
      </c>
      <c r="I728" s="17"/>
      <c r="J728" s="17"/>
      <c r="K728" s="17"/>
      <c r="L728" s="17">
        <f t="shared" si="70"/>
        <v>0</v>
      </c>
      <c r="M728" s="17"/>
      <c r="N728" s="21">
        <f t="shared" si="72"/>
        <v>0</v>
      </c>
      <c r="O728" s="17">
        <f t="shared" si="73"/>
        <v>0</v>
      </c>
      <c r="P728" s="20"/>
    </row>
    <row r="729" spans="1:16" ht="21" x14ac:dyDescent="0.5">
      <c r="A729" s="17"/>
      <c r="B729" s="18">
        <v>46971</v>
      </c>
      <c r="C729" s="17" t="str">
        <f t="shared" si="68"/>
        <v>104.6 - day 7</v>
      </c>
      <c r="D729" s="17"/>
      <c r="E729" s="17">
        <f t="shared" si="71"/>
        <v>13436</v>
      </c>
      <c r="F729" s="17"/>
      <c r="G729" s="17"/>
      <c r="H729" s="17">
        <f t="shared" si="69"/>
        <v>13436</v>
      </c>
      <c r="I729" s="17"/>
      <c r="J729" s="17"/>
      <c r="K729" s="17"/>
      <c r="L729" s="17">
        <f t="shared" si="70"/>
        <v>0</v>
      </c>
      <c r="M729" s="17"/>
      <c r="N729" s="21">
        <f t="shared" si="72"/>
        <v>0</v>
      </c>
      <c r="O729" s="17">
        <f t="shared" si="73"/>
        <v>0</v>
      </c>
      <c r="P729" s="20"/>
    </row>
    <row r="730" spans="1:16" ht="21" x14ac:dyDescent="0.5">
      <c r="A730" s="17"/>
      <c r="B730" s="18">
        <v>46972</v>
      </c>
      <c r="C730" s="17" t="str">
        <f t="shared" si="68"/>
        <v>105.0 - day 1</v>
      </c>
      <c r="D730" s="17"/>
      <c r="E730" s="17">
        <f t="shared" si="71"/>
        <v>13436</v>
      </c>
      <c r="F730" s="17"/>
      <c r="G730" s="17"/>
      <c r="H730" s="17">
        <f t="shared" si="69"/>
        <v>13436</v>
      </c>
      <c r="I730" s="17"/>
      <c r="J730" s="17"/>
      <c r="K730" s="17"/>
      <c r="L730" s="17">
        <f t="shared" si="70"/>
        <v>0</v>
      </c>
      <c r="M730" s="17"/>
      <c r="N730" s="21">
        <f t="shared" si="72"/>
        <v>0</v>
      </c>
      <c r="O730" s="17">
        <f t="shared" si="73"/>
        <v>0</v>
      </c>
      <c r="P730" s="20"/>
    </row>
    <row r="731" spans="1:16" ht="21" x14ac:dyDescent="0.5">
      <c r="A731" s="17"/>
      <c r="B731" s="18">
        <v>46973</v>
      </c>
      <c r="C731" s="17" t="str">
        <f t="shared" si="68"/>
        <v>105.1 - day 2</v>
      </c>
      <c r="D731" s="17"/>
      <c r="E731" s="17">
        <f t="shared" si="71"/>
        <v>13436</v>
      </c>
      <c r="F731" s="17"/>
      <c r="G731" s="17"/>
      <c r="H731" s="17">
        <f t="shared" si="69"/>
        <v>13436</v>
      </c>
      <c r="I731" s="17"/>
      <c r="J731" s="17"/>
      <c r="K731" s="17"/>
      <c r="L731" s="17">
        <f t="shared" si="70"/>
        <v>0</v>
      </c>
      <c r="M731" s="17"/>
      <c r="N731" s="21">
        <f t="shared" si="72"/>
        <v>0</v>
      </c>
      <c r="O731" s="17">
        <f t="shared" si="73"/>
        <v>0</v>
      </c>
      <c r="P731" s="20"/>
    </row>
  </sheetData>
  <conditionalFormatting sqref="N3:N731">
    <cfRule type="cellIs" dxfId="0" priority="1" operator="between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031B5-0BE4-40D2-B354-FF78717BA5F9}">
  <dimension ref="A3:P38"/>
  <sheetViews>
    <sheetView zoomScale="70" zoomScaleNormal="70" workbookViewId="0">
      <selection activeCell="E7" sqref="E7"/>
    </sheetView>
  </sheetViews>
  <sheetFormatPr defaultRowHeight="14.5" x14ac:dyDescent="0.35"/>
  <cols>
    <col min="1" max="1" width="15.1796875" bestFit="1" customWidth="1"/>
    <col min="2" max="2" width="7.54296875" customWidth="1"/>
    <col min="3" max="3" width="15.1796875" bestFit="1" customWidth="1"/>
    <col min="4" max="4" width="10.81640625" bestFit="1" customWidth="1"/>
    <col min="5" max="5" width="20.08984375" bestFit="1" customWidth="1"/>
    <col min="6" max="6" width="10.6328125" bestFit="1" customWidth="1"/>
    <col min="8" max="8" width="19.6328125" bestFit="1" customWidth="1"/>
    <col min="9" max="9" width="19.08984375" bestFit="1" customWidth="1"/>
    <col min="10" max="10" width="16.36328125" bestFit="1" customWidth="1"/>
    <col min="11" max="11" width="12.453125" bestFit="1" customWidth="1"/>
    <col min="12" max="12" width="21.54296875" bestFit="1" customWidth="1"/>
    <col min="13" max="13" width="19.453125" bestFit="1" customWidth="1"/>
    <col min="14" max="14" width="24.54296875" bestFit="1" customWidth="1"/>
    <col min="15" max="15" width="13.1796875" bestFit="1" customWidth="1"/>
  </cols>
  <sheetData>
    <row r="3" spans="1:16" x14ac:dyDescent="0.3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25</v>
      </c>
      <c r="M3" t="s">
        <v>26</v>
      </c>
      <c r="N3" t="s">
        <v>27</v>
      </c>
      <c r="O3" t="s">
        <v>24</v>
      </c>
      <c r="P3" t="s">
        <v>28</v>
      </c>
    </row>
    <row r="4" spans="1:16" x14ac:dyDescent="0.35">
      <c r="C4">
        <v>0.1</v>
      </c>
      <c r="D4" t="s">
        <v>33</v>
      </c>
    </row>
    <row r="5" spans="1:16" x14ac:dyDescent="0.35">
      <c r="C5">
        <v>0.2</v>
      </c>
    </row>
    <row r="6" spans="1:16" x14ac:dyDescent="0.35">
      <c r="C6">
        <v>0.3</v>
      </c>
    </row>
    <row r="7" spans="1:16" x14ac:dyDescent="0.35">
      <c r="C7">
        <v>0.4</v>
      </c>
    </row>
    <row r="8" spans="1:16" x14ac:dyDescent="0.35">
      <c r="C8">
        <v>0.5</v>
      </c>
    </row>
    <row r="9" spans="1:16" x14ac:dyDescent="0.35">
      <c r="C9">
        <v>0.6</v>
      </c>
    </row>
    <row r="10" spans="1:16" x14ac:dyDescent="0.35">
      <c r="C10">
        <v>0.7</v>
      </c>
    </row>
    <row r="11" spans="1:16" x14ac:dyDescent="0.35">
      <c r="C11" t="s">
        <v>29</v>
      </c>
    </row>
    <row r="12" spans="1:16" x14ac:dyDescent="0.35">
      <c r="C12">
        <v>1.2</v>
      </c>
    </row>
    <row r="13" spans="1:16" x14ac:dyDescent="0.35">
      <c r="C13">
        <v>1.3</v>
      </c>
    </row>
    <row r="14" spans="1:16" x14ac:dyDescent="0.35">
      <c r="C14">
        <v>1.4</v>
      </c>
    </row>
    <row r="15" spans="1:16" x14ac:dyDescent="0.35">
      <c r="C15">
        <v>1.5</v>
      </c>
    </row>
    <row r="16" spans="1:16" x14ac:dyDescent="0.35">
      <c r="C16">
        <v>1.6</v>
      </c>
    </row>
    <row r="17" spans="3:3" x14ac:dyDescent="0.35">
      <c r="C17">
        <v>1.7</v>
      </c>
    </row>
    <row r="18" spans="3:3" x14ac:dyDescent="0.35">
      <c r="C18" t="s">
        <v>30</v>
      </c>
    </row>
    <row r="19" spans="3:3" x14ac:dyDescent="0.35">
      <c r="C19">
        <v>2.2000000000000002</v>
      </c>
    </row>
    <row r="20" spans="3:3" x14ac:dyDescent="0.35">
      <c r="C20">
        <v>2.2999999999999998</v>
      </c>
    </row>
    <row r="21" spans="3:3" x14ac:dyDescent="0.35">
      <c r="C21">
        <v>2.4</v>
      </c>
    </row>
    <row r="22" spans="3:3" x14ac:dyDescent="0.35">
      <c r="C22">
        <v>2.5</v>
      </c>
    </row>
    <row r="23" spans="3:3" x14ac:dyDescent="0.35">
      <c r="C23">
        <v>2.6</v>
      </c>
    </row>
    <row r="24" spans="3:3" x14ac:dyDescent="0.35">
      <c r="C24">
        <v>2.7</v>
      </c>
    </row>
    <row r="25" spans="3:3" x14ac:dyDescent="0.35">
      <c r="C25" t="s">
        <v>31</v>
      </c>
    </row>
    <row r="26" spans="3:3" x14ac:dyDescent="0.35">
      <c r="C26">
        <v>3.2</v>
      </c>
    </row>
    <row r="27" spans="3:3" x14ac:dyDescent="0.35">
      <c r="C27">
        <v>3.3</v>
      </c>
    </row>
    <row r="28" spans="3:3" x14ac:dyDescent="0.35">
      <c r="C28">
        <v>3.4</v>
      </c>
    </row>
    <row r="29" spans="3:3" x14ac:dyDescent="0.35">
      <c r="C29">
        <v>3.5</v>
      </c>
    </row>
    <row r="30" spans="3:3" x14ac:dyDescent="0.35">
      <c r="C30">
        <v>3.6</v>
      </c>
    </row>
    <row r="31" spans="3:3" x14ac:dyDescent="0.35">
      <c r="C31">
        <v>3.7</v>
      </c>
    </row>
    <row r="32" spans="3:3" x14ac:dyDescent="0.35">
      <c r="C32" t="s">
        <v>32</v>
      </c>
    </row>
    <row r="33" spans="3:3" x14ac:dyDescent="0.35">
      <c r="C33">
        <v>4.2</v>
      </c>
    </row>
    <row r="34" spans="3:3" x14ac:dyDescent="0.35">
      <c r="C34">
        <v>4.3</v>
      </c>
    </row>
    <row r="35" spans="3:3" x14ac:dyDescent="0.35">
      <c r="C35">
        <v>4.4000000000000004</v>
      </c>
    </row>
    <row r="36" spans="3:3" x14ac:dyDescent="0.35">
      <c r="C36">
        <v>4.5</v>
      </c>
    </row>
    <row r="37" spans="3:3" x14ac:dyDescent="0.35">
      <c r="C37">
        <v>4.5999999999999996</v>
      </c>
    </row>
    <row r="38" spans="3:3" x14ac:dyDescent="0.35">
      <c r="C38">
        <v>4.7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596ED-F9D3-4C9A-88F7-E037F571337D}">
  <dimension ref="C1:M86"/>
  <sheetViews>
    <sheetView topLeftCell="C1" zoomScale="74" workbookViewId="0">
      <selection activeCell="D20" sqref="D20"/>
    </sheetView>
  </sheetViews>
  <sheetFormatPr defaultRowHeight="14.5" x14ac:dyDescent="0.35"/>
  <cols>
    <col min="3" max="3" width="28.81640625" bestFit="1" customWidth="1"/>
    <col min="4" max="4" width="15.36328125" bestFit="1" customWidth="1"/>
    <col min="11" max="11" width="9.90625" bestFit="1" customWidth="1"/>
  </cols>
  <sheetData>
    <row r="1" spans="3:13" x14ac:dyDescent="0.35">
      <c r="L1" s="15" t="s">
        <v>202</v>
      </c>
      <c r="M1" s="15"/>
    </row>
    <row r="2" spans="3:13" x14ac:dyDescent="0.35">
      <c r="C2" s="14" t="s">
        <v>201</v>
      </c>
      <c r="K2" t="s">
        <v>203</v>
      </c>
      <c r="L2" t="s">
        <v>26</v>
      </c>
    </row>
    <row r="3" spans="3:13" x14ac:dyDescent="0.35">
      <c r="C3" t="s">
        <v>34</v>
      </c>
      <c r="D3" t="s">
        <v>200</v>
      </c>
      <c r="K3" t="s">
        <v>35</v>
      </c>
    </row>
    <row r="4" spans="3:13" x14ac:dyDescent="0.35">
      <c r="C4" t="s">
        <v>35</v>
      </c>
      <c r="D4" s="12">
        <v>0.03</v>
      </c>
      <c r="K4" t="s">
        <v>37</v>
      </c>
      <c r="L4">
        <v>25</v>
      </c>
    </row>
    <row r="5" spans="3:13" x14ac:dyDescent="0.35">
      <c r="C5" t="s">
        <v>36</v>
      </c>
      <c r="D5" s="12">
        <v>0.15</v>
      </c>
      <c r="K5" t="s">
        <v>39</v>
      </c>
      <c r="L5">
        <v>50</v>
      </c>
    </row>
    <row r="6" spans="3:13" x14ac:dyDescent="0.35">
      <c r="C6" t="s">
        <v>38</v>
      </c>
      <c r="D6" s="13">
        <v>0.44500000000000001</v>
      </c>
      <c r="K6" t="s">
        <v>41</v>
      </c>
      <c r="L6">
        <v>75</v>
      </c>
    </row>
    <row r="7" spans="3:13" x14ac:dyDescent="0.35">
      <c r="C7" t="s">
        <v>40</v>
      </c>
      <c r="D7" s="13">
        <v>0.67600000000000005</v>
      </c>
      <c r="K7" t="s">
        <v>43</v>
      </c>
      <c r="L7">
        <v>90</v>
      </c>
    </row>
    <row r="8" spans="3:13" x14ac:dyDescent="0.35">
      <c r="C8" t="s">
        <v>42</v>
      </c>
      <c r="D8" s="13">
        <v>0.82399999999999995</v>
      </c>
      <c r="K8" t="s">
        <v>45</v>
      </c>
      <c r="L8">
        <v>93</v>
      </c>
    </row>
    <row r="9" spans="3:13" x14ac:dyDescent="0.35">
      <c r="C9" t="s">
        <v>44</v>
      </c>
      <c r="D9" s="13">
        <v>0.91100000000000003</v>
      </c>
      <c r="K9" t="s">
        <v>47</v>
      </c>
      <c r="L9">
        <v>95</v>
      </c>
    </row>
    <row r="10" spans="3:13" x14ac:dyDescent="0.35">
      <c r="C10" t="s">
        <v>46</v>
      </c>
      <c r="D10" s="13">
        <v>0.94799999999999995</v>
      </c>
      <c r="K10" t="s">
        <v>49</v>
      </c>
      <c r="L10">
        <v>96</v>
      </c>
    </row>
    <row r="11" spans="3:13" x14ac:dyDescent="0.35">
      <c r="C11" t="s">
        <v>48</v>
      </c>
      <c r="D11" s="13">
        <v>0.95599999999999996</v>
      </c>
      <c r="K11" t="s">
        <v>51</v>
      </c>
      <c r="L11">
        <v>96.5</v>
      </c>
    </row>
    <row r="12" spans="3:13" x14ac:dyDescent="0.35">
      <c r="C12" t="s">
        <v>50</v>
      </c>
      <c r="D12" s="13">
        <v>0.96099999999999997</v>
      </c>
      <c r="K12" t="s">
        <v>53</v>
      </c>
      <c r="L12">
        <v>97</v>
      </c>
    </row>
    <row r="13" spans="3:13" x14ac:dyDescent="0.35">
      <c r="C13" t="s">
        <v>52</v>
      </c>
      <c r="D13" s="13">
        <v>0.96399999999999997</v>
      </c>
      <c r="K13" t="s">
        <v>55</v>
      </c>
      <c r="L13">
        <v>97.5</v>
      </c>
    </row>
    <row r="14" spans="3:13" x14ac:dyDescent="0.35">
      <c r="C14" t="s">
        <v>54</v>
      </c>
      <c r="D14" s="13">
        <v>0.96599999999999997</v>
      </c>
      <c r="K14" t="s">
        <v>57</v>
      </c>
      <c r="L14">
        <v>98</v>
      </c>
    </row>
    <row r="15" spans="3:13" x14ac:dyDescent="0.35">
      <c r="C15" t="s">
        <v>56</v>
      </c>
      <c r="D15" s="13">
        <v>0.96699999999999997</v>
      </c>
      <c r="K15" t="s">
        <v>59</v>
      </c>
      <c r="L15">
        <v>98</v>
      </c>
    </row>
    <row r="16" spans="3:13" x14ac:dyDescent="0.35">
      <c r="C16" t="s">
        <v>58</v>
      </c>
      <c r="D16" s="13">
        <v>0.96799999999999997</v>
      </c>
      <c r="K16" t="s">
        <v>61</v>
      </c>
      <c r="L16">
        <v>98</v>
      </c>
    </row>
    <row r="17" spans="3:12" x14ac:dyDescent="0.35">
      <c r="C17" t="s">
        <v>60</v>
      </c>
      <c r="D17" s="12">
        <v>0.97</v>
      </c>
      <c r="K17" t="s">
        <v>63</v>
      </c>
      <c r="L17">
        <v>98</v>
      </c>
    </row>
    <row r="18" spans="3:12" x14ac:dyDescent="0.35">
      <c r="C18" t="s">
        <v>62</v>
      </c>
      <c r="D18" s="13">
        <v>0.96899999999999997</v>
      </c>
      <c r="K18" t="s">
        <v>65</v>
      </c>
      <c r="L18">
        <v>97.9</v>
      </c>
    </row>
    <row r="19" spans="3:12" x14ac:dyDescent="0.35">
      <c r="C19" t="s">
        <v>64</v>
      </c>
      <c r="D19" s="13">
        <v>0.96799999999999997</v>
      </c>
      <c r="K19" t="s">
        <v>67</v>
      </c>
      <c r="L19">
        <v>97.8</v>
      </c>
    </row>
    <row r="20" spans="3:12" x14ac:dyDescent="0.35">
      <c r="C20" t="s">
        <v>66</v>
      </c>
      <c r="D20" s="13">
        <v>0.96699999999999997</v>
      </c>
      <c r="K20" t="s">
        <v>69</v>
      </c>
      <c r="L20">
        <v>97.7</v>
      </c>
    </row>
    <row r="21" spans="3:12" x14ac:dyDescent="0.35">
      <c r="C21" t="s">
        <v>68</v>
      </c>
      <c r="D21" s="13">
        <v>0.96599999999999997</v>
      </c>
      <c r="K21" t="s">
        <v>71</v>
      </c>
      <c r="L21">
        <v>97.6</v>
      </c>
    </row>
    <row r="22" spans="3:12" x14ac:dyDescent="0.35">
      <c r="C22" t="s">
        <v>70</v>
      </c>
      <c r="D22" s="13">
        <v>0.96499999999999997</v>
      </c>
      <c r="K22" t="s">
        <v>73</v>
      </c>
      <c r="L22">
        <v>97.5</v>
      </c>
    </row>
    <row r="23" spans="3:12" x14ac:dyDescent="0.35">
      <c r="C23" t="s">
        <v>72</v>
      </c>
      <c r="D23" s="13">
        <v>0.96399999999999997</v>
      </c>
      <c r="K23" t="s">
        <v>75</v>
      </c>
      <c r="L23">
        <v>97.3</v>
      </c>
    </row>
    <row r="24" spans="3:12" x14ac:dyDescent="0.35">
      <c r="C24" t="s">
        <v>74</v>
      </c>
      <c r="D24" s="13">
        <v>0.96199999999999997</v>
      </c>
      <c r="K24" t="s">
        <v>77</v>
      </c>
      <c r="L24">
        <v>97.1</v>
      </c>
    </row>
    <row r="25" spans="3:12" x14ac:dyDescent="0.35">
      <c r="C25" t="s">
        <v>76</v>
      </c>
      <c r="D25" s="13">
        <v>0.96099999999999997</v>
      </c>
      <c r="K25" t="s">
        <v>79</v>
      </c>
      <c r="L25">
        <v>96.9</v>
      </c>
    </row>
    <row r="26" spans="3:12" x14ac:dyDescent="0.35">
      <c r="C26" t="s">
        <v>78</v>
      </c>
      <c r="D26" s="13">
        <v>0.95899999999999996</v>
      </c>
      <c r="K26" t="s">
        <v>81</v>
      </c>
      <c r="L26">
        <v>96.7</v>
      </c>
    </row>
    <row r="27" spans="3:12" x14ac:dyDescent="0.35">
      <c r="C27" t="s">
        <v>80</v>
      </c>
      <c r="D27" s="13">
        <v>0.95799999999999996</v>
      </c>
      <c r="K27" t="s">
        <v>83</v>
      </c>
      <c r="L27">
        <v>96.5</v>
      </c>
    </row>
    <row r="28" spans="3:12" x14ac:dyDescent="0.35">
      <c r="C28" t="s">
        <v>82</v>
      </c>
      <c r="D28" s="13">
        <v>0.95599999999999996</v>
      </c>
      <c r="K28" t="s">
        <v>85</v>
      </c>
      <c r="L28">
        <v>96.3</v>
      </c>
    </row>
    <row r="29" spans="3:12" x14ac:dyDescent="0.35">
      <c r="C29" t="s">
        <v>84</v>
      </c>
      <c r="D29" s="13">
        <v>0.95399999999999996</v>
      </c>
      <c r="K29" t="s">
        <v>87</v>
      </c>
      <c r="L29">
        <v>96.1</v>
      </c>
    </row>
    <row r="30" spans="3:12" x14ac:dyDescent="0.35">
      <c r="C30" t="s">
        <v>86</v>
      </c>
      <c r="D30" s="13">
        <v>0.95299999999999996</v>
      </c>
      <c r="K30" t="s">
        <v>89</v>
      </c>
      <c r="L30">
        <v>95.9</v>
      </c>
    </row>
    <row r="31" spans="3:12" x14ac:dyDescent="0.35">
      <c r="C31" t="s">
        <v>88</v>
      </c>
      <c r="D31" s="13">
        <v>0.95099999999999996</v>
      </c>
      <c r="K31" t="s">
        <v>91</v>
      </c>
      <c r="L31">
        <v>95.7</v>
      </c>
    </row>
    <row r="32" spans="3:12" x14ac:dyDescent="0.35">
      <c r="C32" t="s">
        <v>90</v>
      </c>
      <c r="D32" s="13">
        <v>0.94899999999999995</v>
      </c>
      <c r="K32" t="s">
        <v>93</v>
      </c>
      <c r="L32">
        <v>95.4</v>
      </c>
    </row>
    <row r="33" spans="3:12" x14ac:dyDescent="0.35">
      <c r="C33" t="s">
        <v>92</v>
      </c>
      <c r="D33" s="13">
        <v>0.94599999999999995</v>
      </c>
      <c r="K33" t="s">
        <v>95</v>
      </c>
      <c r="L33">
        <v>95.2</v>
      </c>
    </row>
    <row r="34" spans="3:12" x14ac:dyDescent="0.35">
      <c r="C34" t="s">
        <v>94</v>
      </c>
      <c r="D34" s="13">
        <v>0.94399999999999995</v>
      </c>
      <c r="K34" t="s">
        <v>97</v>
      </c>
      <c r="L34">
        <v>95</v>
      </c>
    </row>
    <row r="35" spans="3:12" x14ac:dyDescent="0.35">
      <c r="C35" t="s">
        <v>96</v>
      </c>
      <c r="D35" s="13">
        <v>0.94199999999999995</v>
      </c>
      <c r="K35" t="s">
        <v>99</v>
      </c>
      <c r="L35">
        <v>94.7</v>
      </c>
    </row>
    <row r="36" spans="3:12" x14ac:dyDescent="0.35">
      <c r="C36" t="s">
        <v>98</v>
      </c>
      <c r="D36" s="13">
        <v>0.93899999999999995</v>
      </c>
      <c r="K36" t="s">
        <v>101</v>
      </c>
      <c r="L36">
        <v>94.5</v>
      </c>
    </row>
    <row r="37" spans="3:12" x14ac:dyDescent="0.35">
      <c r="C37" t="s">
        <v>100</v>
      </c>
      <c r="D37" s="13">
        <v>0.93700000000000006</v>
      </c>
      <c r="K37" t="s">
        <v>103</v>
      </c>
      <c r="L37">
        <v>94.2</v>
      </c>
    </row>
    <row r="38" spans="3:12" x14ac:dyDescent="0.35">
      <c r="C38" t="s">
        <v>102</v>
      </c>
      <c r="D38" s="13">
        <v>0.93400000000000005</v>
      </c>
      <c r="K38" t="s">
        <v>105</v>
      </c>
      <c r="L38">
        <v>94</v>
      </c>
    </row>
    <row r="39" spans="3:12" x14ac:dyDescent="0.35">
      <c r="C39" t="s">
        <v>104</v>
      </c>
      <c r="D39" s="13">
        <v>0.93200000000000005</v>
      </c>
      <c r="K39" t="s">
        <v>107</v>
      </c>
      <c r="L39">
        <v>93.7</v>
      </c>
    </row>
    <row r="40" spans="3:12" x14ac:dyDescent="0.35">
      <c r="C40" t="s">
        <v>106</v>
      </c>
      <c r="D40" s="13">
        <v>0.92900000000000005</v>
      </c>
      <c r="K40" t="s">
        <v>109</v>
      </c>
      <c r="L40">
        <v>93.4</v>
      </c>
    </row>
    <row r="41" spans="3:12" x14ac:dyDescent="0.35">
      <c r="C41" t="s">
        <v>108</v>
      </c>
      <c r="D41" s="13">
        <v>0.92700000000000005</v>
      </c>
      <c r="K41" t="s">
        <v>111</v>
      </c>
      <c r="L41">
        <v>93.1</v>
      </c>
    </row>
    <row r="42" spans="3:12" x14ac:dyDescent="0.35">
      <c r="C42" t="s">
        <v>110</v>
      </c>
      <c r="D42" s="13">
        <v>0.92400000000000004</v>
      </c>
      <c r="K42" t="s">
        <v>113</v>
      </c>
      <c r="L42">
        <v>92.8</v>
      </c>
    </row>
    <row r="43" spans="3:12" x14ac:dyDescent="0.35">
      <c r="C43" t="s">
        <v>112</v>
      </c>
      <c r="D43" s="13">
        <v>0.92100000000000004</v>
      </c>
      <c r="K43" t="s">
        <v>115</v>
      </c>
      <c r="L43">
        <v>92.5</v>
      </c>
    </row>
    <row r="44" spans="3:12" x14ac:dyDescent="0.35">
      <c r="C44" t="s">
        <v>114</v>
      </c>
      <c r="D44" s="13">
        <v>0.91800000000000004</v>
      </c>
      <c r="K44" t="s">
        <v>117</v>
      </c>
      <c r="L44">
        <v>92.2</v>
      </c>
    </row>
    <row r="45" spans="3:12" x14ac:dyDescent="0.35">
      <c r="C45" t="s">
        <v>116</v>
      </c>
      <c r="D45" s="13">
        <v>0.91500000000000004</v>
      </c>
      <c r="K45" t="s">
        <v>119</v>
      </c>
      <c r="L45">
        <v>91.9</v>
      </c>
    </row>
    <row r="46" spans="3:12" x14ac:dyDescent="0.35">
      <c r="C46" t="s">
        <v>118</v>
      </c>
      <c r="D46" s="13">
        <v>0.91200000000000003</v>
      </c>
      <c r="K46" t="s">
        <v>121</v>
      </c>
      <c r="L46">
        <v>91.6</v>
      </c>
    </row>
    <row r="47" spans="3:12" x14ac:dyDescent="0.35">
      <c r="C47" t="s">
        <v>120</v>
      </c>
      <c r="D47" s="13">
        <v>0.90900000000000003</v>
      </c>
      <c r="K47" t="s">
        <v>123</v>
      </c>
      <c r="L47">
        <v>91.3</v>
      </c>
    </row>
    <row r="48" spans="3:12" x14ac:dyDescent="0.35">
      <c r="C48" t="s">
        <v>122</v>
      </c>
      <c r="D48" s="13">
        <v>0.90600000000000003</v>
      </c>
      <c r="K48" t="s">
        <v>125</v>
      </c>
      <c r="L48">
        <v>91</v>
      </c>
    </row>
    <row r="49" spans="3:12" x14ac:dyDescent="0.35">
      <c r="C49" t="s">
        <v>124</v>
      </c>
      <c r="D49" s="13">
        <v>0.90300000000000002</v>
      </c>
      <c r="K49" t="s">
        <v>127</v>
      </c>
      <c r="L49">
        <v>90.7</v>
      </c>
    </row>
    <row r="50" spans="3:12" x14ac:dyDescent="0.35">
      <c r="C50" t="s">
        <v>126</v>
      </c>
      <c r="D50" s="12">
        <v>0.9</v>
      </c>
      <c r="K50" t="s">
        <v>129</v>
      </c>
      <c r="L50">
        <v>90.3</v>
      </c>
    </row>
    <row r="51" spans="3:12" x14ac:dyDescent="0.35">
      <c r="C51" t="s">
        <v>128</v>
      </c>
      <c r="D51" s="13">
        <v>0.89600000000000002</v>
      </c>
      <c r="K51" t="s">
        <v>131</v>
      </c>
      <c r="L51">
        <v>90</v>
      </c>
    </row>
    <row r="52" spans="3:12" x14ac:dyDescent="0.35">
      <c r="C52" t="s">
        <v>130</v>
      </c>
      <c r="D52" s="13">
        <v>0.89300000000000002</v>
      </c>
      <c r="K52" t="s">
        <v>133</v>
      </c>
      <c r="L52">
        <v>89.7</v>
      </c>
    </row>
    <row r="53" spans="3:12" x14ac:dyDescent="0.35">
      <c r="C53" t="s">
        <v>132</v>
      </c>
      <c r="D53" s="12">
        <v>0.89</v>
      </c>
      <c r="K53" t="s">
        <v>135</v>
      </c>
      <c r="L53">
        <v>89.3</v>
      </c>
    </row>
    <row r="54" spans="3:12" x14ac:dyDescent="0.35">
      <c r="C54" t="s">
        <v>134</v>
      </c>
      <c r="D54" s="13">
        <v>0.88600000000000001</v>
      </c>
      <c r="K54" t="s">
        <v>137</v>
      </c>
      <c r="L54">
        <v>89</v>
      </c>
    </row>
    <row r="55" spans="3:12" x14ac:dyDescent="0.35">
      <c r="C55" t="s">
        <v>136</v>
      </c>
      <c r="D55" s="13">
        <v>0.88300000000000001</v>
      </c>
      <c r="K55" t="s">
        <v>139</v>
      </c>
      <c r="L55">
        <v>88.6</v>
      </c>
    </row>
    <row r="56" spans="3:12" x14ac:dyDescent="0.35">
      <c r="C56" t="s">
        <v>138</v>
      </c>
      <c r="D56" s="13">
        <v>0.879</v>
      </c>
      <c r="K56" t="s">
        <v>141</v>
      </c>
      <c r="L56">
        <v>88.3</v>
      </c>
    </row>
    <row r="57" spans="3:12" x14ac:dyDescent="0.35">
      <c r="C57" t="s">
        <v>140</v>
      </c>
      <c r="D57" s="13">
        <v>0.875</v>
      </c>
      <c r="K57" t="s">
        <v>143</v>
      </c>
      <c r="L57">
        <v>87.9</v>
      </c>
    </row>
    <row r="58" spans="3:12" x14ac:dyDescent="0.35">
      <c r="C58" t="s">
        <v>142</v>
      </c>
      <c r="D58" s="13">
        <v>0.872</v>
      </c>
      <c r="K58" t="s">
        <v>145</v>
      </c>
      <c r="L58">
        <v>87.6</v>
      </c>
    </row>
    <row r="59" spans="3:12" x14ac:dyDescent="0.35">
      <c r="C59" t="s">
        <v>144</v>
      </c>
      <c r="D59" s="13">
        <v>0.86799999999999999</v>
      </c>
      <c r="K59" t="s">
        <v>147</v>
      </c>
      <c r="L59">
        <v>87.2</v>
      </c>
    </row>
    <row r="60" spans="3:12" x14ac:dyDescent="0.35">
      <c r="C60" t="s">
        <v>146</v>
      </c>
      <c r="D60" s="13">
        <v>0.86299999999999999</v>
      </c>
      <c r="K60" t="s">
        <v>149</v>
      </c>
      <c r="L60">
        <v>86.8</v>
      </c>
    </row>
    <row r="61" spans="3:12" x14ac:dyDescent="0.35">
      <c r="C61" t="s">
        <v>148</v>
      </c>
      <c r="D61" s="13">
        <v>0.85899999999999999</v>
      </c>
      <c r="K61" t="s">
        <v>151</v>
      </c>
      <c r="L61">
        <v>86.4</v>
      </c>
    </row>
    <row r="62" spans="3:12" x14ac:dyDescent="0.35">
      <c r="C62" t="s">
        <v>150</v>
      </c>
      <c r="D62" s="13">
        <v>0.85599999999999998</v>
      </c>
      <c r="K62" t="s">
        <v>153</v>
      </c>
      <c r="L62">
        <v>86.1</v>
      </c>
    </row>
    <row r="63" spans="3:12" x14ac:dyDescent="0.35">
      <c r="C63" t="s">
        <v>152</v>
      </c>
      <c r="D63" s="13">
        <v>0.85199999999999998</v>
      </c>
      <c r="K63" t="s">
        <v>155</v>
      </c>
      <c r="L63">
        <v>85.7</v>
      </c>
    </row>
    <row r="64" spans="3:12" x14ac:dyDescent="0.35">
      <c r="C64" t="s">
        <v>154</v>
      </c>
      <c r="D64" s="13">
        <v>0.84799999999999998</v>
      </c>
      <c r="K64" t="s">
        <v>157</v>
      </c>
      <c r="L64">
        <v>85.3</v>
      </c>
    </row>
    <row r="65" spans="3:12" x14ac:dyDescent="0.35">
      <c r="C65" t="s">
        <v>156</v>
      </c>
      <c r="D65" s="13">
        <v>0.84399999999999997</v>
      </c>
      <c r="K65" t="s">
        <v>159</v>
      </c>
      <c r="L65">
        <v>84.9</v>
      </c>
    </row>
    <row r="66" spans="3:12" x14ac:dyDescent="0.35">
      <c r="C66" t="s">
        <v>158</v>
      </c>
      <c r="D66" s="12">
        <v>0.84</v>
      </c>
      <c r="K66" t="s">
        <v>161</v>
      </c>
      <c r="L66">
        <v>84.5</v>
      </c>
    </row>
    <row r="67" spans="3:12" x14ac:dyDescent="0.35">
      <c r="C67" t="s">
        <v>160</v>
      </c>
      <c r="D67" s="13">
        <v>0.83599999999999997</v>
      </c>
      <c r="K67" t="s">
        <v>163</v>
      </c>
      <c r="L67">
        <v>84.1</v>
      </c>
    </row>
    <row r="68" spans="3:12" x14ac:dyDescent="0.35">
      <c r="C68" t="s">
        <v>162</v>
      </c>
      <c r="D68" s="13">
        <v>0.83199999999999996</v>
      </c>
      <c r="K68" t="s">
        <v>165</v>
      </c>
      <c r="L68">
        <v>83.7</v>
      </c>
    </row>
    <row r="69" spans="3:12" x14ac:dyDescent="0.35">
      <c r="C69" t="s">
        <v>164</v>
      </c>
      <c r="D69" s="13">
        <v>0.82899999999999996</v>
      </c>
      <c r="K69" t="s">
        <v>167</v>
      </c>
      <c r="L69">
        <v>83.3</v>
      </c>
    </row>
    <row r="70" spans="3:12" x14ac:dyDescent="0.35">
      <c r="C70" t="s">
        <v>166</v>
      </c>
      <c r="D70" s="13">
        <v>0.82499999999999996</v>
      </c>
      <c r="K70" t="s">
        <v>169</v>
      </c>
      <c r="L70">
        <v>82.9</v>
      </c>
    </row>
    <row r="71" spans="3:12" x14ac:dyDescent="0.35">
      <c r="C71" t="s">
        <v>168</v>
      </c>
      <c r="D71" s="13">
        <v>0.82099999999999995</v>
      </c>
      <c r="K71" t="s">
        <v>171</v>
      </c>
      <c r="L71">
        <v>82.5</v>
      </c>
    </row>
    <row r="72" spans="3:12" x14ac:dyDescent="0.35">
      <c r="C72" t="s">
        <v>170</v>
      </c>
      <c r="D72" s="13">
        <v>0.81699999999999995</v>
      </c>
      <c r="K72" t="s">
        <v>173</v>
      </c>
      <c r="L72">
        <v>82</v>
      </c>
    </row>
    <row r="73" spans="3:12" x14ac:dyDescent="0.35">
      <c r="C73" t="s">
        <v>172</v>
      </c>
      <c r="D73" s="13">
        <v>0.81299999999999994</v>
      </c>
      <c r="K73" t="s">
        <v>175</v>
      </c>
      <c r="L73">
        <v>81.599999999999994</v>
      </c>
    </row>
    <row r="74" spans="3:12" x14ac:dyDescent="0.35">
      <c r="C74" t="s">
        <v>174</v>
      </c>
      <c r="D74" s="13">
        <v>0.80900000000000005</v>
      </c>
      <c r="K74" t="s">
        <v>177</v>
      </c>
      <c r="L74">
        <v>81.099999999999994</v>
      </c>
    </row>
    <row r="75" spans="3:12" x14ac:dyDescent="0.35">
      <c r="C75" t="s">
        <v>176</v>
      </c>
      <c r="D75" s="13">
        <v>0.80600000000000005</v>
      </c>
      <c r="K75" t="s">
        <v>179</v>
      </c>
      <c r="L75">
        <v>80.599999999999994</v>
      </c>
    </row>
    <row r="76" spans="3:12" x14ac:dyDescent="0.35">
      <c r="C76" t="s">
        <v>178</v>
      </c>
      <c r="D76" s="13">
        <v>0.80200000000000005</v>
      </c>
      <c r="K76" t="s">
        <v>181</v>
      </c>
      <c r="L76">
        <v>80.2</v>
      </c>
    </row>
    <row r="77" spans="3:12" x14ac:dyDescent="0.35">
      <c r="C77" t="s">
        <v>180</v>
      </c>
      <c r="D77" s="13">
        <v>0.79800000000000004</v>
      </c>
      <c r="K77" t="s">
        <v>183</v>
      </c>
      <c r="L77">
        <v>79.7</v>
      </c>
    </row>
    <row r="78" spans="3:12" x14ac:dyDescent="0.35">
      <c r="C78" t="s">
        <v>182</v>
      </c>
      <c r="D78" s="13">
        <v>0.79400000000000004</v>
      </c>
      <c r="K78" t="s">
        <v>185</v>
      </c>
      <c r="L78">
        <v>79.2</v>
      </c>
    </row>
    <row r="79" spans="3:12" x14ac:dyDescent="0.35">
      <c r="C79" t="s">
        <v>184</v>
      </c>
      <c r="D79" s="13">
        <v>0.79100000000000004</v>
      </c>
      <c r="K79" t="s">
        <v>187</v>
      </c>
      <c r="L79">
        <v>78.599999999999994</v>
      </c>
    </row>
    <row r="80" spans="3:12" x14ac:dyDescent="0.35">
      <c r="C80" t="s">
        <v>186</v>
      </c>
      <c r="D80" s="13">
        <v>0.78700000000000003</v>
      </c>
      <c r="K80" t="s">
        <v>189</v>
      </c>
      <c r="L80">
        <v>78.099999999999994</v>
      </c>
    </row>
    <row r="81" spans="3:12" x14ac:dyDescent="0.35">
      <c r="C81" t="s">
        <v>188</v>
      </c>
      <c r="D81" s="13">
        <v>0.78300000000000003</v>
      </c>
      <c r="K81" t="s">
        <v>191</v>
      </c>
      <c r="L81">
        <v>77.599999999999994</v>
      </c>
    </row>
    <row r="82" spans="3:12" x14ac:dyDescent="0.35">
      <c r="C82" t="s">
        <v>190</v>
      </c>
      <c r="D82" s="12">
        <v>0.78</v>
      </c>
      <c r="K82" t="s">
        <v>193</v>
      </c>
      <c r="L82">
        <v>77</v>
      </c>
    </row>
    <row r="83" spans="3:12" x14ac:dyDescent="0.35">
      <c r="C83" t="s">
        <v>192</v>
      </c>
      <c r="D83" s="13">
        <v>0.77700000000000002</v>
      </c>
      <c r="K83" t="s">
        <v>195</v>
      </c>
      <c r="L83">
        <v>76.5</v>
      </c>
    </row>
    <row r="84" spans="3:12" x14ac:dyDescent="0.35">
      <c r="C84" t="s">
        <v>194</v>
      </c>
      <c r="D84" s="13">
        <v>0.77300000000000002</v>
      </c>
      <c r="K84" t="s">
        <v>197</v>
      </c>
      <c r="L84">
        <v>75.900000000000006</v>
      </c>
    </row>
    <row r="85" spans="3:12" x14ac:dyDescent="0.35">
      <c r="C85" t="s">
        <v>196</v>
      </c>
      <c r="D85" s="12">
        <v>0.77</v>
      </c>
      <c r="K85" t="s">
        <v>199</v>
      </c>
      <c r="L85">
        <v>75.3</v>
      </c>
    </row>
    <row r="86" spans="3:12" x14ac:dyDescent="0.35">
      <c r="C86" t="s">
        <v>198</v>
      </c>
      <c r="D86" s="12">
        <v>0.77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ED3EB-C1D1-4EF7-B236-FD847D25CC1A}">
  <dimension ref="A2:L88"/>
  <sheetViews>
    <sheetView zoomScale="89" zoomScaleNormal="115" workbookViewId="0">
      <selection activeCell="F7" sqref="F7"/>
    </sheetView>
  </sheetViews>
  <sheetFormatPr defaultColWidth="9.08984375" defaultRowHeight="20.5" x14ac:dyDescent="0.8"/>
  <cols>
    <col min="1" max="1" width="9.08984375" style="1"/>
    <col min="2" max="9" width="9.08984375" style="1" customWidth="1"/>
    <col min="10" max="10" width="9.08984375" style="1"/>
    <col min="11" max="11" width="15.6328125" style="1" bestFit="1" customWidth="1"/>
    <col min="12" max="16384" width="9.08984375" style="1"/>
  </cols>
  <sheetData>
    <row r="2" spans="1:12" x14ac:dyDescent="0.8">
      <c r="A2" s="19" t="s">
        <v>12</v>
      </c>
      <c r="B2" s="19"/>
      <c r="C2" s="19"/>
      <c r="D2" s="19"/>
      <c r="E2" s="19" t="s">
        <v>11</v>
      </c>
      <c r="F2" s="19"/>
      <c r="G2" s="5" t="s">
        <v>9</v>
      </c>
      <c r="H2" s="4"/>
      <c r="I2" s="5">
        <v>16000</v>
      </c>
    </row>
    <row r="3" spans="1:12" ht="44.25" customHeight="1" x14ac:dyDescent="0.8">
      <c r="A3" s="8" t="s">
        <v>0</v>
      </c>
      <c r="B3" s="8" t="s">
        <v>2</v>
      </c>
      <c r="C3" s="9" t="s">
        <v>6</v>
      </c>
      <c r="D3" s="9" t="s">
        <v>3</v>
      </c>
      <c r="E3" s="9" t="s">
        <v>5</v>
      </c>
      <c r="F3" s="10" t="s">
        <v>1</v>
      </c>
      <c r="G3" s="10" t="s">
        <v>7</v>
      </c>
      <c r="H3" s="10" t="s">
        <v>4</v>
      </c>
      <c r="I3" s="10" t="s">
        <v>8</v>
      </c>
    </row>
    <row r="4" spans="1:12" ht="24" x14ac:dyDescent="0.8">
      <c r="A4" s="2">
        <v>19</v>
      </c>
      <c r="B4" s="2">
        <v>30000</v>
      </c>
      <c r="C4" s="22" cm="1">
        <f t="array" ref="C4">SUM('flock performance sheet'!F129:F135+'flock performance sheet'!G129:G135)</f>
        <v>222</v>
      </c>
      <c r="D4" s="3">
        <f t="shared" ref="D4:D9" si="0">C4/B4%</f>
        <v>0.74</v>
      </c>
      <c r="E4" s="3">
        <f>D4</f>
        <v>0.74</v>
      </c>
      <c r="F4" s="22" cm="1">
        <f t="array" ref="F4">SUM('flock performance sheet'!J129:J135+'flock performance sheet'!K129:K135)</f>
        <v>15178</v>
      </c>
      <c r="G4" s="3">
        <f>(F4/B4%)/7</f>
        <v>7.2276190476190481</v>
      </c>
      <c r="H4" s="3">
        <f>F4/B4</f>
        <v>0.50593333333333335</v>
      </c>
      <c r="I4" s="3">
        <f>H4</f>
        <v>0.50593333333333335</v>
      </c>
      <c r="K4" s="16" t="s">
        <v>18</v>
      </c>
      <c r="L4" s="1" t="s">
        <v>207</v>
      </c>
    </row>
    <row r="5" spans="1:12" x14ac:dyDescent="0.8">
      <c r="A5" s="2">
        <v>20</v>
      </c>
      <c r="B5" s="2">
        <f t="shared" ref="B5:B10" si="1">B4-C4</f>
        <v>29778</v>
      </c>
      <c r="C5" s="22" cm="1">
        <f t="array" ref="C5">SUM('flock performance sheet'!F136:F142+'flock performance sheet'!G136:G142)</f>
        <v>0</v>
      </c>
      <c r="D5" s="3">
        <f t="shared" si="0"/>
        <v>0</v>
      </c>
      <c r="E5" s="3">
        <f>E4+D5</f>
        <v>0.74</v>
      </c>
      <c r="F5" s="22" cm="1">
        <f t="array" ref="F5">SUM('flock performance sheet'!J136:J142+'flock performance sheet'!K136:K142)</f>
        <v>0</v>
      </c>
      <c r="G5" s="3">
        <f t="shared" ref="G5:G68" si="2">(F5/B5%)/7</f>
        <v>0</v>
      </c>
      <c r="H5" s="3">
        <f>F5/B4</f>
        <v>0</v>
      </c>
      <c r="I5" s="3">
        <f>I4+H5</f>
        <v>0.50593333333333335</v>
      </c>
      <c r="K5" s="1" t="s">
        <v>206</v>
      </c>
    </row>
    <row r="6" spans="1:12" x14ac:dyDescent="0.8">
      <c r="A6" s="2">
        <v>21</v>
      </c>
      <c r="B6" s="2">
        <f t="shared" si="1"/>
        <v>29778</v>
      </c>
      <c r="C6" s="22" cm="1">
        <f t="array" ref="C6">SUM('flock performance sheet'!F143:F149+'flock performance sheet'!G143:G149)</f>
        <v>0</v>
      </c>
      <c r="D6" s="3">
        <f t="shared" si="0"/>
        <v>0</v>
      </c>
      <c r="E6" s="3">
        <f t="shared" ref="E6:E69" si="3">E5+D6</f>
        <v>0.74</v>
      </c>
      <c r="F6" s="22" cm="1">
        <f t="array" ref="F6">SUM('flock performance sheet'!J143:J149+'flock performance sheet'!K143:K149)</f>
        <v>0</v>
      </c>
      <c r="G6" s="3">
        <f t="shared" si="2"/>
        <v>0</v>
      </c>
      <c r="H6" s="3">
        <f>F6/B4</f>
        <v>0</v>
      </c>
      <c r="I6" s="3">
        <f t="shared" ref="I6:I69" si="4">I5+H6</f>
        <v>0.50593333333333335</v>
      </c>
    </row>
    <row r="7" spans="1:12" x14ac:dyDescent="0.8">
      <c r="A7" s="2">
        <v>22</v>
      </c>
      <c r="B7" s="2">
        <f t="shared" si="1"/>
        <v>29778</v>
      </c>
      <c r="C7" s="22" cm="1">
        <f t="array" ref="C7">SUM('flock performance sheet'!F150:F156+'flock performance sheet'!G150:G156)</f>
        <v>0</v>
      </c>
      <c r="D7" s="3">
        <f t="shared" si="0"/>
        <v>0</v>
      </c>
      <c r="E7" s="3">
        <f t="shared" si="3"/>
        <v>0.74</v>
      </c>
      <c r="F7" s="22" cm="1">
        <f t="array" ref="F7">SUM('flock performance sheet'!J150:J156+'flock performance sheet'!K150:K156)</f>
        <v>0</v>
      </c>
      <c r="G7" s="3">
        <f t="shared" si="2"/>
        <v>0</v>
      </c>
      <c r="H7" s="3">
        <f>F7/B4</f>
        <v>0</v>
      </c>
      <c r="I7" s="3">
        <f t="shared" si="4"/>
        <v>0.50593333333333335</v>
      </c>
    </row>
    <row r="8" spans="1:12" x14ac:dyDescent="0.8">
      <c r="A8" s="2">
        <v>23</v>
      </c>
      <c r="B8" s="2">
        <f t="shared" si="1"/>
        <v>29778</v>
      </c>
      <c r="C8" s="22" cm="1">
        <f t="array" ref="C8">SUM('flock performance sheet'!F157:F163+'flock performance sheet'!G157:G163)</f>
        <v>0</v>
      </c>
      <c r="D8" s="3">
        <f t="shared" si="0"/>
        <v>0</v>
      </c>
      <c r="E8" s="3">
        <f t="shared" si="3"/>
        <v>0.74</v>
      </c>
      <c r="F8" s="22" cm="1">
        <f t="array" ref="F8">SUM('flock performance sheet'!J157:J163+'flock performance sheet'!K157:K163)</f>
        <v>0</v>
      </c>
      <c r="G8" s="3">
        <f t="shared" si="2"/>
        <v>0</v>
      </c>
      <c r="H8" s="3">
        <f>F8/B4</f>
        <v>0</v>
      </c>
      <c r="I8" s="3">
        <f t="shared" si="4"/>
        <v>0.50593333333333335</v>
      </c>
    </row>
    <row r="9" spans="1:12" x14ac:dyDescent="0.8">
      <c r="A9" s="2">
        <v>24</v>
      </c>
      <c r="B9" s="2">
        <f t="shared" si="1"/>
        <v>29778</v>
      </c>
      <c r="C9" s="22" cm="1">
        <f t="array" ref="C9">SUM('flock performance sheet'!F164:F170+'flock performance sheet'!G164:G170)</f>
        <v>0</v>
      </c>
      <c r="D9" s="3">
        <f t="shared" si="0"/>
        <v>0</v>
      </c>
      <c r="E9" s="3">
        <f t="shared" si="3"/>
        <v>0.74</v>
      </c>
      <c r="F9" s="22" cm="1">
        <f t="array" ref="F9">SUM('flock performance sheet'!J164:J170+'flock performance sheet'!K164:K170)</f>
        <v>0</v>
      </c>
      <c r="G9" s="3">
        <f t="shared" si="2"/>
        <v>0</v>
      </c>
      <c r="H9" s="3">
        <f>F9/B4</f>
        <v>0</v>
      </c>
      <c r="I9" s="3">
        <f t="shared" si="4"/>
        <v>0.50593333333333335</v>
      </c>
    </row>
    <row r="10" spans="1:12" x14ac:dyDescent="0.8">
      <c r="A10" s="2">
        <v>25</v>
      </c>
      <c r="B10" s="2">
        <f t="shared" si="1"/>
        <v>29778</v>
      </c>
      <c r="C10" s="22" cm="1">
        <f t="array" ref="C10">SUM('flock performance sheet'!F171:F177+'flock performance sheet'!G171:G177)</f>
        <v>0</v>
      </c>
      <c r="D10" s="3">
        <f t="shared" ref="D10:D68" si="5">C10/B10%</f>
        <v>0</v>
      </c>
      <c r="E10" s="3">
        <f t="shared" si="3"/>
        <v>0.74</v>
      </c>
      <c r="F10" s="22" cm="1">
        <f t="array" ref="F10">SUM('flock performance sheet'!J171:J177+'flock performance sheet'!K171:K177)</f>
        <v>0</v>
      </c>
      <c r="G10" s="3">
        <f t="shared" si="2"/>
        <v>0</v>
      </c>
      <c r="H10" s="3">
        <f>F10/B4</f>
        <v>0</v>
      </c>
      <c r="I10" s="3">
        <f t="shared" si="4"/>
        <v>0.50593333333333335</v>
      </c>
    </row>
    <row r="11" spans="1:12" x14ac:dyDescent="0.8">
      <c r="A11" s="2">
        <v>26</v>
      </c>
      <c r="B11" s="2">
        <f t="shared" ref="B11:B69" si="6">B10-C10</f>
        <v>29778</v>
      </c>
      <c r="C11" s="22" cm="1">
        <f t="array" ref="C11">SUM('flock performance sheet'!F178:F184+'flock performance sheet'!G178:G184)</f>
        <v>0</v>
      </c>
      <c r="D11" s="3">
        <f t="shared" si="5"/>
        <v>0</v>
      </c>
      <c r="E11" s="3">
        <f t="shared" si="3"/>
        <v>0.74</v>
      </c>
      <c r="F11" s="22" cm="1">
        <f t="array" ref="F11">SUM('flock performance sheet'!J178:J184+'flock performance sheet'!K178:K184)</f>
        <v>0</v>
      </c>
      <c r="G11" s="3">
        <f t="shared" si="2"/>
        <v>0</v>
      </c>
      <c r="H11" s="3">
        <f>F11/B4</f>
        <v>0</v>
      </c>
      <c r="I11" s="3">
        <f t="shared" si="4"/>
        <v>0.50593333333333335</v>
      </c>
    </row>
    <row r="12" spans="1:12" x14ac:dyDescent="0.8">
      <c r="A12" s="2">
        <v>27</v>
      </c>
      <c r="B12" s="2">
        <f t="shared" si="6"/>
        <v>29778</v>
      </c>
      <c r="C12" s="22" cm="1">
        <f t="array" ref="C12">SUM('flock performance sheet'!F185:F191+'flock performance sheet'!G185:G191)</f>
        <v>0</v>
      </c>
      <c r="D12" s="3">
        <f t="shared" si="5"/>
        <v>0</v>
      </c>
      <c r="E12" s="3">
        <f t="shared" si="3"/>
        <v>0.74</v>
      </c>
      <c r="F12" s="22" cm="1">
        <f t="array" ref="F12">SUM('flock performance sheet'!J185:J191+'flock performance sheet'!K185:K191)</f>
        <v>0</v>
      </c>
      <c r="G12" s="3">
        <f t="shared" si="2"/>
        <v>0</v>
      </c>
      <c r="H12" s="3">
        <f>F12/B4</f>
        <v>0</v>
      </c>
      <c r="I12" s="3">
        <f t="shared" si="4"/>
        <v>0.50593333333333335</v>
      </c>
    </row>
    <row r="13" spans="1:12" x14ac:dyDescent="0.8">
      <c r="A13" s="2">
        <v>28</v>
      </c>
      <c r="B13" s="2">
        <f t="shared" si="6"/>
        <v>29778</v>
      </c>
      <c r="C13" s="22" cm="1">
        <f t="array" ref="C13">SUM('flock performance sheet'!F192:F198+'flock performance sheet'!G192:G198)</f>
        <v>0</v>
      </c>
      <c r="D13" s="3">
        <f t="shared" si="5"/>
        <v>0</v>
      </c>
      <c r="E13" s="3">
        <f t="shared" si="3"/>
        <v>0.74</v>
      </c>
      <c r="F13" s="22" cm="1">
        <f t="array" ref="F13">SUM('flock performance sheet'!J192:J198+'flock performance sheet'!K192:K198)</f>
        <v>0</v>
      </c>
      <c r="G13" s="3">
        <f t="shared" si="2"/>
        <v>0</v>
      </c>
      <c r="H13" s="3">
        <f>F13/B4</f>
        <v>0</v>
      </c>
      <c r="I13" s="3">
        <f t="shared" si="4"/>
        <v>0.50593333333333335</v>
      </c>
    </row>
    <row r="14" spans="1:12" x14ac:dyDescent="0.8">
      <c r="A14" s="2">
        <v>29</v>
      </c>
      <c r="B14" s="2">
        <f t="shared" si="6"/>
        <v>29778</v>
      </c>
      <c r="C14" s="22" cm="1">
        <f t="array" ref="C14">SUM('flock performance sheet'!F199:F205+'flock performance sheet'!G199:G205)</f>
        <v>0</v>
      </c>
      <c r="D14" s="3">
        <f t="shared" si="5"/>
        <v>0</v>
      </c>
      <c r="E14" s="3">
        <f t="shared" si="3"/>
        <v>0.74</v>
      </c>
      <c r="F14" s="22" cm="1">
        <f t="array" ref="F14">SUM('flock performance sheet'!J199:J205+'flock performance sheet'!K199:K205)</f>
        <v>0</v>
      </c>
      <c r="G14" s="3">
        <f t="shared" si="2"/>
        <v>0</v>
      </c>
      <c r="H14" s="3">
        <f>F14/B4</f>
        <v>0</v>
      </c>
      <c r="I14" s="3">
        <f t="shared" si="4"/>
        <v>0.50593333333333335</v>
      </c>
    </row>
    <row r="15" spans="1:12" x14ac:dyDescent="0.8">
      <c r="A15" s="2">
        <v>30</v>
      </c>
      <c r="B15" s="2">
        <f t="shared" si="6"/>
        <v>29778</v>
      </c>
      <c r="C15" s="22" cm="1">
        <f t="array" ref="C15">SUM('flock performance sheet'!F206:F212+'flock performance sheet'!G206:G212)</f>
        <v>0</v>
      </c>
      <c r="D15" s="3">
        <f t="shared" si="5"/>
        <v>0</v>
      </c>
      <c r="E15" s="3">
        <f t="shared" si="3"/>
        <v>0.74</v>
      </c>
      <c r="F15" s="22" cm="1">
        <f t="array" ref="F15">SUM('flock performance sheet'!J206:J212+'flock performance sheet'!K206:K212)</f>
        <v>0</v>
      </c>
      <c r="G15" s="3">
        <f t="shared" si="2"/>
        <v>0</v>
      </c>
      <c r="H15" s="3">
        <f>F15/B4</f>
        <v>0</v>
      </c>
      <c r="I15" s="3">
        <f t="shared" si="4"/>
        <v>0.50593333333333335</v>
      </c>
    </row>
    <row r="16" spans="1:12" x14ac:dyDescent="0.8">
      <c r="A16" s="2">
        <v>31</v>
      </c>
      <c r="B16" s="2">
        <f t="shared" si="6"/>
        <v>29778</v>
      </c>
      <c r="C16" s="22" cm="1">
        <f t="array" ref="C16">SUM('flock performance sheet'!F213:F219+'flock performance sheet'!G213:G219)</f>
        <v>0</v>
      </c>
      <c r="D16" s="3">
        <f t="shared" si="5"/>
        <v>0</v>
      </c>
      <c r="E16" s="3">
        <f t="shared" si="3"/>
        <v>0.74</v>
      </c>
      <c r="F16" s="22" cm="1">
        <f t="array" ref="F16">SUM('flock performance sheet'!J213:J219+'flock performance sheet'!K213:K219)</f>
        <v>0</v>
      </c>
      <c r="G16" s="3">
        <f t="shared" si="2"/>
        <v>0</v>
      </c>
      <c r="H16" s="3">
        <f>F16/B4</f>
        <v>0</v>
      </c>
      <c r="I16" s="3">
        <f t="shared" si="4"/>
        <v>0.50593333333333335</v>
      </c>
    </row>
    <row r="17" spans="1:11" x14ac:dyDescent="0.8">
      <c r="A17" s="2">
        <v>32</v>
      </c>
      <c r="B17" s="2">
        <f t="shared" si="6"/>
        <v>29778</v>
      </c>
      <c r="C17" s="22" cm="1">
        <f t="array" ref="C17">SUM('flock performance sheet'!F220:F226+'flock performance sheet'!G220:G226)</f>
        <v>0</v>
      </c>
      <c r="D17" s="3">
        <f t="shared" si="5"/>
        <v>0</v>
      </c>
      <c r="E17" s="3">
        <f t="shared" si="3"/>
        <v>0.74</v>
      </c>
      <c r="F17" s="22" cm="1">
        <f t="array" ref="F17">SUM('flock performance sheet'!J220:J226+'flock performance sheet'!K220:K226)</f>
        <v>0</v>
      </c>
      <c r="G17" s="3">
        <f t="shared" si="2"/>
        <v>0</v>
      </c>
      <c r="H17" s="3">
        <f>F17/B4</f>
        <v>0</v>
      </c>
      <c r="I17" s="3">
        <f t="shared" si="4"/>
        <v>0.50593333333333335</v>
      </c>
    </row>
    <row r="18" spans="1:11" x14ac:dyDescent="0.8">
      <c r="A18" s="2">
        <v>33</v>
      </c>
      <c r="B18" s="2">
        <f t="shared" si="6"/>
        <v>29778</v>
      </c>
      <c r="C18" s="22" cm="1">
        <f t="array" ref="C18">SUM('flock performance sheet'!F227:F233+'flock performance sheet'!G227:G233)</f>
        <v>0</v>
      </c>
      <c r="D18" s="3">
        <f t="shared" si="5"/>
        <v>0</v>
      </c>
      <c r="E18" s="3">
        <f t="shared" si="3"/>
        <v>0.74</v>
      </c>
      <c r="F18" s="22" cm="1">
        <f t="array" ref="F18">SUM('flock performance sheet'!J227:J233+'flock performance sheet'!K227:K233)</f>
        <v>0</v>
      </c>
      <c r="G18" s="3">
        <f t="shared" si="2"/>
        <v>0</v>
      </c>
      <c r="H18" s="3">
        <f>F18/B4</f>
        <v>0</v>
      </c>
      <c r="I18" s="3">
        <f t="shared" si="4"/>
        <v>0.50593333333333335</v>
      </c>
    </row>
    <row r="19" spans="1:11" x14ac:dyDescent="0.8">
      <c r="A19" s="2">
        <v>34</v>
      </c>
      <c r="B19" s="2">
        <f t="shared" si="6"/>
        <v>29778</v>
      </c>
      <c r="C19" s="22" cm="1">
        <f t="array" ref="C19">SUM('flock performance sheet'!F234:F240+'flock performance sheet'!G234:G240)</f>
        <v>0</v>
      </c>
      <c r="D19" s="3">
        <f t="shared" si="5"/>
        <v>0</v>
      </c>
      <c r="E19" s="3">
        <f t="shared" si="3"/>
        <v>0.74</v>
      </c>
      <c r="F19" s="22" cm="1">
        <f t="array" ref="F19">SUM('flock performance sheet'!J234:J240+'flock performance sheet'!K234:K240)</f>
        <v>0</v>
      </c>
      <c r="G19" s="3">
        <f t="shared" si="2"/>
        <v>0</v>
      </c>
      <c r="H19" s="3">
        <f>F19/B4</f>
        <v>0</v>
      </c>
      <c r="I19" s="3">
        <f t="shared" si="4"/>
        <v>0.50593333333333335</v>
      </c>
    </row>
    <row r="20" spans="1:11" x14ac:dyDescent="0.8">
      <c r="A20" s="2">
        <v>35</v>
      </c>
      <c r="B20" s="2">
        <f t="shared" si="6"/>
        <v>29778</v>
      </c>
      <c r="C20" s="22" cm="1">
        <f t="array" ref="C20">SUM('flock performance sheet'!F241:F247+'flock performance sheet'!G241:G247)</f>
        <v>0</v>
      </c>
      <c r="D20" s="3">
        <f t="shared" si="5"/>
        <v>0</v>
      </c>
      <c r="E20" s="3">
        <f t="shared" si="3"/>
        <v>0.74</v>
      </c>
      <c r="F20" s="22" cm="1">
        <f t="array" ref="F20">SUM('flock performance sheet'!J241:J247+'flock performance sheet'!K241:K247)</f>
        <v>0</v>
      </c>
      <c r="G20" s="3">
        <f t="shared" si="2"/>
        <v>0</v>
      </c>
      <c r="H20" s="3">
        <f>F20/B4</f>
        <v>0</v>
      </c>
      <c r="I20" s="3">
        <f t="shared" si="4"/>
        <v>0.50593333333333335</v>
      </c>
    </row>
    <row r="21" spans="1:11" x14ac:dyDescent="0.8">
      <c r="A21" s="2">
        <v>36</v>
      </c>
      <c r="B21" s="2">
        <f t="shared" si="6"/>
        <v>29778</v>
      </c>
      <c r="C21" s="22" cm="1">
        <f t="array" ref="C21">SUM('flock performance sheet'!F248:F254+'flock performance sheet'!G248:G254)</f>
        <v>0</v>
      </c>
      <c r="D21" s="3">
        <f t="shared" si="5"/>
        <v>0</v>
      </c>
      <c r="E21" s="3">
        <f t="shared" si="3"/>
        <v>0.74</v>
      </c>
      <c r="F21" s="22" cm="1">
        <f t="array" ref="F21">SUM('flock performance sheet'!J248:J254+'flock performance sheet'!K248:K254)</f>
        <v>0</v>
      </c>
      <c r="G21" s="3">
        <f t="shared" si="2"/>
        <v>0</v>
      </c>
      <c r="H21" s="3">
        <f>F21/B4</f>
        <v>0</v>
      </c>
      <c r="I21" s="3">
        <f t="shared" si="4"/>
        <v>0.50593333333333335</v>
      </c>
    </row>
    <row r="22" spans="1:11" x14ac:dyDescent="0.8">
      <c r="A22" s="2">
        <v>37</v>
      </c>
      <c r="B22" s="2">
        <f t="shared" si="6"/>
        <v>29778</v>
      </c>
      <c r="C22" s="22" cm="1">
        <f t="array" ref="C22">SUM('flock performance sheet'!F255:F261+'flock performance sheet'!G255:G261)</f>
        <v>0</v>
      </c>
      <c r="D22" s="3">
        <f t="shared" si="5"/>
        <v>0</v>
      </c>
      <c r="E22" s="3">
        <f t="shared" si="3"/>
        <v>0.74</v>
      </c>
      <c r="F22" s="22" cm="1">
        <f t="array" ref="F22">SUM('flock performance sheet'!J255:J261+'flock performance sheet'!K255:K261)</f>
        <v>0</v>
      </c>
      <c r="G22" s="3">
        <f t="shared" si="2"/>
        <v>0</v>
      </c>
      <c r="H22" s="3">
        <f>F22/B4</f>
        <v>0</v>
      </c>
      <c r="I22" s="3">
        <f t="shared" si="4"/>
        <v>0.50593333333333335</v>
      </c>
    </row>
    <row r="23" spans="1:11" x14ac:dyDescent="0.8">
      <c r="A23" s="2">
        <v>38</v>
      </c>
      <c r="B23" s="2">
        <f t="shared" si="6"/>
        <v>29778</v>
      </c>
      <c r="C23" s="22" cm="1">
        <f t="array" ref="C23">SUM('flock performance sheet'!F262:F268+'flock performance sheet'!G262:G268)</f>
        <v>0</v>
      </c>
      <c r="D23" s="3">
        <f t="shared" si="5"/>
        <v>0</v>
      </c>
      <c r="E23" s="3">
        <f t="shared" si="3"/>
        <v>0.74</v>
      </c>
      <c r="F23" s="22" cm="1">
        <f t="array" ref="F23">SUM('flock performance sheet'!J262:J268+'flock performance sheet'!K262:K268)</f>
        <v>0</v>
      </c>
      <c r="G23" s="3">
        <f t="shared" si="2"/>
        <v>0</v>
      </c>
      <c r="H23" s="3">
        <f>F23/B4</f>
        <v>0</v>
      </c>
      <c r="I23" s="3">
        <f t="shared" si="4"/>
        <v>0.50593333333333335</v>
      </c>
      <c r="K23" s="11"/>
    </row>
    <row r="24" spans="1:11" x14ac:dyDescent="0.8">
      <c r="A24" s="2">
        <v>39</v>
      </c>
      <c r="B24" s="2">
        <f t="shared" si="6"/>
        <v>29778</v>
      </c>
      <c r="C24" s="22" cm="1">
        <f t="array" ref="C24">SUM('flock performance sheet'!F269:F275+'flock performance sheet'!G269:G275)</f>
        <v>0</v>
      </c>
      <c r="D24" s="3">
        <f t="shared" si="5"/>
        <v>0</v>
      </c>
      <c r="E24" s="3">
        <f t="shared" si="3"/>
        <v>0.74</v>
      </c>
      <c r="F24" s="22" cm="1">
        <f t="array" ref="F24">SUM('flock performance sheet'!J269:J275+'flock performance sheet'!K269:K275)</f>
        <v>0</v>
      </c>
      <c r="G24" s="3">
        <f t="shared" si="2"/>
        <v>0</v>
      </c>
      <c r="H24" s="3">
        <f>F24/B4</f>
        <v>0</v>
      </c>
      <c r="I24" s="3">
        <f t="shared" si="4"/>
        <v>0.50593333333333335</v>
      </c>
    </row>
    <row r="25" spans="1:11" x14ac:dyDescent="0.8">
      <c r="A25" s="2">
        <v>40</v>
      </c>
      <c r="B25" s="2">
        <f t="shared" si="6"/>
        <v>29778</v>
      </c>
      <c r="C25" s="22" cm="1">
        <f t="array" ref="C25">SUM('flock performance sheet'!F276:F282+'flock performance sheet'!G276:G282)</f>
        <v>0</v>
      </c>
      <c r="D25" s="3">
        <f t="shared" si="5"/>
        <v>0</v>
      </c>
      <c r="E25" s="3">
        <f t="shared" si="3"/>
        <v>0.74</v>
      </c>
      <c r="F25" s="22" cm="1">
        <f t="array" ref="F25">SUM('flock performance sheet'!J276:J282+'flock performance sheet'!K276:K282)</f>
        <v>0</v>
      </c>
      <c r="G25" s="3">
        <f t="shared" si="2"/>
        <v>0</v>
      </c>
      <c r="H25" s="3">
        <f>F25/B4</f>
        <v>0</v>
      </c>
      <c r="I25" s="3">
        <f t="shared" si="4"/>
        <v>0.50593333333333335</v>
      </c>
    </row>
    <row r="26" spans="1:11" x14ac:dyDescent="0.8">
      <c r="A26" s="2">
        <v>41</v>
      </c>
      <c r="B26" s="2">
        <f t="shared" si="6"/>
        <v>29778</v>
      </c>
      <c r="C26" s="22" cm="1">
        <f t="array" ref="C26">SUM('flock performance sheet'!F283:F289+'flock performance sheet'!G283:G289)</f>
        <v>0</v>
      </c>
      <c r="D26" s="3">
        <f>C26/B26%</f>
        <v>0</v>
      </c>
      <c r="E26" s="3">
        <f t="shared" si="3"/>
        <v>0.74</v>
      </c>
      <c r="F26" s="22" cm="1">
        <f t="array" ref="F26">SUM('flock performance sheet'!J283:J289+'flock performance sheet'!K283:K289)</f>
        <v>0</v>
      </c>
      <c r="G26" s="3">
        <f>(F26/B26%)/7</f>
        <v>0</v>
      </c>
      <c r="H26" s="3">
        <f>F26/B4</f>
        <v>0</v>
      </c>
      <c r="I26" s="3">
        <f t="shared" si="4"/>
        <v>0.50593333333333335</v>
      </c>
    </row>
    <row r="27" spans="1:11" x14ac:dyDescent="0.8">
      <c r="A27" s="2">
        <v>42</v>
      </c>
      <c r="B27" s="2">
        <f>B26-C26</f>
        <v>29778</v>
      </c>
      <c r="C27" s="22" cm="1">
        <f t="array" ref="C27">SUM('flock performance sheet'!F290:F296+'flock performance sheet'!G290:G296)</f>
        <v>0</v>
      </c>
      <c r="D27" s="3">
        <f t="shared" si="5"/>
        <v>0</v>
      </c>
      <c r="E27" s="3">
        <f t="shared" si="3"/>
        <v>0.74</v>
      </c>
      <c r="F27" s="22" cm="1">
        <f t="array" ref="F27">SUM('flock performance sheet'!J290:J296+'flock performance sheet'!K290:K296)</f>
        <v>0</v>
      </c>
      <c r="G27" s="3">
        <f t="shared" si="2"/>
        <v>0</v>
      </c>
      <c r="H27" s="3">
        <f>F27/B4</f>
        <v>0</v>
      </c>
      <c r="I27" s="3">
        <f t="shared" si="4"/>
        <v>0.50593333333333335</v>
      </c>
    </row>
    <row r="28" spans="1:11" x14ac:dyDescent="0.8">
      <c r="A28" s="2">
        <v>43</v>
      </c>
      <c r="B28" s="2">
        <f t="shared" si="6"/>
        <v>29778</v>
      </c>
      <c r="C28" s="22" cm="1">
        <f t="array" ref="C28">SUM('flock performance sheet'!F297:F303+'flock performance sheet'!G297:G303)</f>
        <v>0</v>
      </c>
      <c r="D28" s="3">
        <f t="shared" si="5"/>
        <v>0</v>
      </c>
      <c r="E28" s="3">
        <f t="shared" si="3"/>
        <v>0.74</v>
      </c>
      <c r="F28" s="22" cm="1">
        <f t="array" ref="F28">SUM('flock performance sheet'!J297:J303+'flock performance sheet'!K297:K303)</f>
        <v>0</v>
      </c>
      <c r="G28" s="3">
        <f t="shared" si="2"/>
        <v>0</v>
      </c>
      <c r="H28" s="3">
        <f>F28/B4</f>
        <v>0</v>
      </c>
      <c r="I28" s="3">
        <f t="shared" si="4"/>
        <v>0.50593333333333335</v>
      </c>
    </row>
    <row r="29" spans="1:11" x14ac:dyDescent="0.8">
      <c r="A29" s="2">
        <v>44</v>
      </c>
      <c r="B29" s="2">
        <f t="shared" si="6"/>
        <v>29778</v>
      </c>
      <c r="C29" s="22" cm="1">
        <f t="array" ref="C29">SUM('flock performance sheet'!F304:F310+'flock performance sheet'!G304:G310)</f>
        <v>0</v>
      </c>
      <c r="D29" s="3">
        <f t="shared" si="5"/>
        <v>0</v>
      </c>
      <c r="E29" s="3">
        <f t="shared" si="3"/>
        <v>0.74</v>
      </c>
      <c r="F29" s="22" cm="1">
        <f t="array" ref="F29">SUM('flock performance sheet'!J304:J310+'flock performance sheet'!K304:K310)</f>
        <v>0</v>
      </c>
      <c r="G29" s="3">
        <f t="shared" si="2"/>
        <v>0</v>
      </c>
      <c r="H29" s="3">
        <f>F29/B4</f>
        <v>0</v>
      </c>
      <c r="I29" s="3">
        <f t="shared" si="4"/>
        <v>0.50593333333333335</v>
      </c>
    </row>
    <row r="30" spans="1:11" x14ac:dyDescent="0.8">
      <c r="A30" s="2">
        <v>45</v>
      </c>
      <c r="B30" s="2">
        <f t="shared" si="6"/>
        <v>29778</v>
      </c>
      <c r="C30" s="22" cm="1">
        <f t="array" ref="C30">SUM('flock performance sheet'!F311:F317+'flock performance sheet'!G311:G317)</f>
        <v>0</v>
      </c>
      <c r="D30" s="3">
        <f t="shared" si="5"/>
        <v>0</v>
      </c>
      <c r="E30" s="3">
        <f t="shared" si="3"/>
        <v>0.74</v>
      </c>
      <c r="F30" s="22" cm="1">
        <f t="array" ref="F30">SUM('flock performance sheet'!J311:J317+'flock performance sheet'!K311:K317)</f>
        <v>0</v>
      </c>
      <c r="G30" s="3">
        <f t="shared" si="2"/>
        <v>0</v>
      </c>
      <c r="H30" s="3">
        <f>F30/B4</f>
        <v>0</v>
      </c>
      <c r="I30" s="3">
        <f t="shared" si="4"/>
        <v>0.50593333333333335</v>
      </c>
    </row>
    <row r="31" spans="1:11" x14ac:dyDescent="0.8">
      <c r="A31" s="2">
        <v>46</v>
      </c>
      <c r="B31" s="2">
        <f t="shared" si="6"/>
        <v>29778</v>
      </c>
      <c r="C31" s="22" cm="1">
        <f t="array" ref="C31">SUM('flock performance sheet'!F318:F324+'flock performance sheet'!G318:G324)</f>
        <v>0</v>
      </c>
      <c r="D31" s="3">
        <f t="shared" si="5"/>
        <v>0</v>
      </c>
      <c r="E31" s="3">
        <f t="shared" si="3"/>
        <v>0.74</v>
      </c>
      <c r="F31" s="22" cm="1">
        <f t="array" ref="F31">SUM('flock performance sheet'!J318:J324+'flock performance sheet'!K318:K324)</f>
        <v>0</v>
      </c>
      <c r="G31" s="3">
        <f t="shared" si="2"/>
        <v>0</v>
      </c>
      <c r="H31" s="3">
        <f>F31/B4</f>
        <v>0</v>
      </c>
      <c r="I31" s="3">
        <f t="shared" si="4"/>
        <v>0.50593333333333335</v>
      </c>
    </row>
    <row r="32" spans="1:11" x14ac:dyDescent="0.8">
      <c r="A32" s="2">
        <v>47</v>
      </c>
      <c r="B32" s="2">
        <f t="shared" si="6"/>
        <v>29778</v>
      </c>
      <c r="C32" s="22" cm="1">
        <f t="array" ref="C32">SUM('flock performance sheet'!F325:F331+'flock performance sheet'!G325:G331)</f>
        <v>0</v>
      </c>
      <c r="D32" s="3">
        <f t="shared" si="5"/>
        <v>0</v>
      </c>
      <c r="E32" s="3">
        <f t="shared" si="3"/>
        <v>0.74</v>
      </c>
      <c r="F32" s="22" cm="1">
        <f t="array" ref="F32">SUM('flock performance sheet'!J325:J331+'flock performance sheet'!K325:K331)</f>
        <v>0</v>
      </c>
      <c r="G32" s="3">
        <f t="shared" si="2"/>
        <v>0</v>
      </c>
      <c r="H32" s="3">
        <f>F32/B4</f>
        <v>0</v>
      </c>
      <c r="I32" s="3">
        <f t="shared" si="4"/>
        <v>0.50593333333333335</v>
      </c>
    </row>
    <row r="33" spans="1:9" x14ac:dyDescent="0.8">
      <c r="A33" s="2">
        <v>48</v>
      </c>
      <c r="B33" s="2">
        <f t="shared" si="6"/>
        <v>29778</v>
      </c>
      <c r="C33" s="22" cm="1">
        <f t="array" ref="C33">SUM('flock performance sheet'!F332:F338+'flock performance sheet'!G332:G338)</f>
        <v>0</v>
      </c>
      <c r="D33" s="3">
        <f t="shared" si="5"/>
        <v>0</v>
      </c>
      <c r="E33" s="3">
        <f t="shared" si="3"/>
        <v>0.74</v>
      </c>
      <c r="F33" s="22" cm="1">
        <f t="array" ref="F33">SUM('flock performance sheet'!J332:J338+'flock performance sheet'!K332:K338)</f>
        <v>0</v>
      </c>
      <c r="G33" s="3">
        <f t="shared" si="2"/>
        <v>0</v>
      </c>
      <c r="H33" s="3">
        <f>F33/B4</f>
        <v>0</v>
      </c>
      <c r="I33" s="3">
        <f t="shared" si="4"/>
        <v>0.50593333333333335</v>
      </c>
    </row>
    <row r="34" spans="1:9" x14ac:dyDescent="0.8">
      <c r="A34" s="2">
        <v>49</v>
      </c>
      <c r="B34" s="2">
        <f t="shared" si="6"/>
        <v>29778</v>
      </c>
      <c r="C34" s="22" cm="1">
        <f t="array" ref="C34">SUM('flock performance sheet'!F339:F345+'flock performance sheet'!G339:G345)</f>
        <v>0</v>
      </c>
      <c r="D34" s="3">
        <f t="shared" si="5"/>
        <v>0</v>
      </c>
      <c r="E34" s="3">
        <f t="shared" si="3"/>
        <v>0.74</v>
      </c>
      <c r="F34" s="22" cm="1">
        <f t="array" ref="F34">SUM('flock performance sheet'!J339:J345+'flock performance sheet'!K339:K345)</f>
        <v>0</v>
      </c>
      <c r="G34" s="3">
        <f t="shared" si="2"/>
        <v>0</v>
      </c>
      <c r="H34" s="3">
        <f>F34/B4</f>
        <v>0</v>
      </c>
      <c r="I34" s="3">
        <f t="shared" si="4"/>
        <v>0.50593333333333335</v>
      </c>
    </row>
    <row r="35" spans="1:9" x14ac:dyDescent="0.8">
      <c r="A35" s="2">
        <v>50</v>
      </c>
      <c r="B35" s="2">
        <f t="shared" si="6"/>
        <v>29778</v>
      </c>
      <c r="C35" s="22" cm="1">
        <f t="array" ref="C35">SUM('flock performance sheet'!F346:F352+'flock performance sheet'!G346:G352)</f>
        <v>0</v>
      </c>
      <c r="D35" s="3">
        <f t="shared" si="5"/>
        <v>0</v>
      </c>
      <c r="E35" s="3">
        <f t="shared" si="3"/>
        <v>0.74</v>
      </c>
      <c r="F35" s="22" cm="1">
        <f t="array" ref="F35">SUM('flock performance sheet'!J346:J352+'flock performance sheet'!K346:K352)</f>
        <v>0</v>
      </c>
      <c r="G35" s="3">
        <f t="shared" si="2"/>
        <v>0</v>
      </c>
      <c r="H35" s="3">
        <f>F35/B4</f>
        <v>0</v>
      </c>
      <c r="I35" s="3">
        <f t="shared" si="4"/>
        <v>0.50593333333333335</v>
      </c>
    </row>
    <row r="36" spans="1:9" x14ac:dyDescent="0.8">
      <c r="A36" s="2">
        <v>51</v>
      </c>
      <c r="B36" s="2">
        <f t="shared" si="6"/>
        <v>29778</v>
      </c>
      <c r="C36" s="22" cm="1">
        <f t="array" ref="C36">SUM('flock performance sheet'!F353:F359+'flock performance sheet'!G353:G359)</f>
        <v>0</v>
      </c>
      <c r="D36" s="3">
        <f t="shared" si="5"/>
        <v>0</v>
      </c>
      <c r="E36" s="3">
        <f t="shared" si="3"/>
        <v>0.74</v>
      </c>
      <c r="F36" s="22" cm="1">
        <f t="array" ref="F36">SUM('flock performance sheet'!J353:J359+'flock performance sheet'!K353:K359)</f>
        <v>0</v>
      </c>
      <c r="G36" s="3">
        <f t="shared" si="2"/>
        <v>0</v>
      </c>
      <c r="H36" s="3">
        <f>F36/B4</f>
        <v>0</v>
      </c>
      <c r="I36" s="3">
        <f t="shared" si="4"/>
        <v>0.50593333333333335</v>
      </c>
    </row>
    <row r="37" spans="1:9" x14ac:dyDescent="0.8">
      <c r="A37" s="2">
        <v>52</v>
      </c>
      <c r="B37" s="2">
        <f t="shared" si="6"/>
        <v>29778</v>
      </c>
      <c r="C37" s="22" cm="1">
        <f t="array" ref="C37">SUM('flock performance sheet'!F360:F366+'flock performance sheet'!G360:G366)</f>
        <v>0</v>
      </c>
      <c r="D37" s="3">
        <f t="shared" si="5"/>
        <v>0</v>
      </c>
      <c r="E37" s="3">
        <f t="shared" si="3"/>
        <v>0.74</v>
      </c>
      <c r="F37" s="22" cm="1">
        <f t="array" ref="F37">SUM('flock performance sheet'!J360:J366+'flock performance sheet'!K360:K366)</f>
        <v>0</v>
      </c>
      <c r="G37" s="3">
        <f t="shared" si="2"/>
        <v>0</v>
      </c>
      <c r="H37" s="3">
        <f>F37/B4</f>
        <v>0</v>
      </c>
      <c r="I37" s="3">
        <f t="shared" si="4"/>
        <v>0.50593333333333335</v>
      </c>
    </row>
    <row r="38" spans="1:9" x14ac:dyDescent="0.8">
      <c r="A38" s="2">
        <v>53</v>
      </c>
      <c r="B38" s="2">
        <f t="shared" si="6"/>
        <v>29778</v>
      </c>
      <c r="C38" s="22" cm="1">
        <f t="array" ref="C38">SUM('flock performance sheet'!F367:F373+'flock performance sheet'!G367:G373)</f>
        <v>0</v>
      </c>
      <c r="D38" s="3">
        <f t="shared" si="5"/>
        <v>0</v>
      </c>
      <c r="E38" s="3">
        <f t="shared" si="3"/>
        <v>0.74</v>
      </c>
      <c r="F38" s="22" cm="1">
        <f t="array" ref="F38">SUM('flock performance sheet'!J367:J373+'flock performance sheet'!K367:K373)</f>
        <v>0</v>
      </c>
      <c r="G38" s="3">
        <f t="shared" si="2"/>
        <v>0</v>
      </c>
      <c r="H38" s="3">
        <f>F38/B4</f>
        <v>0</v>
      </c>
      <c r="I38" s="3">
        <f t="shared" si="4"/>
        <v>0.50593333333333335</v>
      </c>
    </row>
    <row r="39" spans="1:9" x14ac:dyDescent="0.8">
      <c r="A39" s="2">
        <v>54</v>
      </c>
      <c r="B39" s="2">
        <f t="shared" si="6"/>
        <v>29778</v>
      </c>
      <c r="C39" s="22" cm="1">
        <f t="array" ref="C39">SUM('flock performance sheet'!F374:F380+'flock performance sheet'!G374:G380)</f>
        <v>0</v>
      </c>
      <c r="D39" s="3">
        <f t="shared" si="5"/>
        <v>0</v>
      </c>
      <c r="E39" s="3">
        <f t="shared" si="3"/>
        <v>0.74</v>
      </c>
      <c r="F39" s="22" cm="1">
        <f t="array" ref="F39">SUM('flock performance sheet'!J374:J380+'flock performance sheet'!K374:K380)</f>
        <v>0</v>
      </c>
      <c r="G39" s="3">
        <f t="shared" si="2"/>
        <v>0</v>
      </c>
      <c r="H39" s="3">
        <f>F39/B4</f>
        <v>0</v>
      </c>
      <c r="I39" s="3">
        <f t="shared" si="4"/>
        <v>0.50593333333333335</v>
      </c>
    </row>
    <row r="40" spans="1:9" x14ac:dyDescent="0.8">
      <c r="A40" s="2">
        <v>55</v>
      </c>
      <c r="B40" s="2">
        <f t="shared" si="6"/>
        <v>29778</v>
      </c>
      <c r="C40" s="22" cm="1">
        <f t="array" ref="C40">SUM('flock performance sheet'!F381:F387+'flock performance sheet'!G381:G387)</f>
        <v>0</v>
      </c>
      <c r="D40" s="3">
        <f t="shared" si="5"/>
        <v>0</v>
      </c>
      <c r="E40" s="3">
        <f t="shared" si="3"/>
        <v>0.74</v>
      </c>
      <c r="F40" s="22" cm="1">
        <f t="array" ref="F40">SUM('flock performance sheet'!J381:J387+'flock performance sheet'!K381:K387)</f>
        <v>0</v>
      </c>
      <c r="G40" s="3">
        <f t="shared" si="2"/>
        <v>0</v>
      </c>
      <c r="H40" s="3">
        <f>F40/B4</f>
        <v>0</v>
      </c>
      <c r="I40" s="3">
        <f t="shared" si="4"/>
        <v>0.50593333333333335</v>
      </c>
    </row>
    <row r="41" spans="1:9" x14ac:dyDescent="0.8">
      <c r="A41" s="2">
        <v>56</v>
      </c>
      <c r="B41" s="2">
        <f t="shared" si="6"/>
        <v>29778</v>
      </c>
      <c r="C41" s="22" cm="1">
        <f t="array" ref="C41">SUM('flock performance sheet'!F388:F394+'flock performance sheet'!G388:G394)</f>
        <v>0</v>
      </c>
      <c r="D41" s="3">
        <f t="shared" si="5"/>
        <v>0</v>
      </c>
      <c r="E41" s="3">
        <f t="shared" si="3"/>
        <v>0.74</v>
      </c>
      <c r="F41" s="22" cm="1">
        <f t="array" ref="F41">SUM('flock performance sheet'!J388:J394+'flock performance sheet'!K388:K394)</f>
        <v>0</v>
      </c>
      <c r="G41" s="3">
        <f t="shared" si="2"/>
        <v>0</v>
      </c>
      <c r="H41" s="3">
        <f>F41/B4</f>
        <v>0</v>
      </c>
      <c r="I41" s="3">
        <f t="shared" si="4"/>
        <v>0.50593333333333335</v>
      </c>
    </row>
    <row r="42" spans="1:9" x14ac:dyDescent="0.8">
      <c r="A42" s="2">
        <v>57</v>
      </c>
      <c r="B42" s="2">
        <f t="shared" si="6"/>
        <v>29778</v>
      </c>
      <c r="C42" s="22" cm="1">
        <f t="array" ref="C42">SUM('flock performance sheet'!F395:F401+'flock performance sheet'!G395:G401)</f>
        <v>0</v>
      </c>
      <c r="D42" s="3">
        <f t="shared" si="5"/>
        <v>0</v>
      </c>
      <c r="E42" s="3">
        <f t="shared" si="3"/>
        <v>0.74</v>
      </c>
      <c r="F42" s="22" cm="1">
        <f t="array" ref="F42">SUM('flock performance sheet'!J395:J401+'flock performance sheet'!K395:K401)</f>
        <v>0</v>
      </c>
      <c r="G42" s="3">
        <f t="shared" si="2"/>
        <v>0</v>
      </c>
      <c r="H42" s="3">
        <f>F42/B4</f>
        <v>0</v>
      </c>
      <c r="I42" s="3">
        <f t="shared" si="4"/>
        <v>0.50593333333333335</v>
      </c>
    </row>
    <row r="43" spans="1:9" x14ac:dyDescent="0.8">
      <c r="A43" s="2">
        <v>58</v>
      </c>
      <c r="B43" s="2">
        <f t="shared" si="6"/>
        <v>29778</v>
      </c>
      <c r="C43" s="22" cm="1">
        <f t="array" ref="C43">SUM('flock performance sheet'!F402:F408+'flock performance sheet'!G402:G408)</f>
        <v>0</v>
      </c>
      <c r="D43" s="3">
        <f t="shared" si="5"/>
        <v>0</v>
      </c>
      <c r="E43" s="3">
        <f t="shared" si="3"/>
        <v>0.74</v>
      </c>
      <c r="F43" s="22" cm="1">
        <f t="array" ref="F43">SUM('flock performance sheet'!J402:J408+'flock performance sheet'!K402:K408)</f>
        <v>0</v>
      </c>
      <c r="G43" s="3">
        <f t="shared" si="2"/>
        <v>0</v>
      </c>
      <c r="H43" s="3">
        <f>F43/B4</f>
        <v>0</v>
      </c>
      <c r="I43" s="3">
        <f t="shared" si="4"/>
        <v>0.50593333333333335</v>
      </c>
    </row>
    <row r="44" spans="1:9" x14ac:dyDescent="0.8">
      <c r="A44" s="2">
        <v>59</v>
      </c>
      <c r="B44" s="2">
        <f t="shared" si="6"/>
        <v>29778</v>
      </c>
      <c r="C44" s="22" cm="1">
        <f t="array" ref="C44">SUM('flock performance sheet'!F409:F415+'flock performance sheet'!G409:G415)</f>
        <v>0</v>
      </c>
      <c r="D44" s="3">
        <f t="shared" si="5"/>
        <v>0</v>
      </c>
      <c r="E44" s="3">
        <f t="shared" si="3"/>
        <v>0.74</v>
      </c>
      <c r="F44" s="22" cm="1">
        <f t="array" ref="F44">SUM('flock performance sheet'!J409:J415+'flock performance sheet'!K409:K415)</f>
        <v>0</v>
      </c>
      <c r="G44" s="3">
        <f t="shared" si="2"/>
        <v>0</v>
      </c>
      <c r="H44" s="3">
        <f>F44/B4</f>
        <v>0</v>
      </c>
      <c r="I44" s="3">
        <f t="shared" si="4"/>
        <v>0.50593333333333335</v>
      </c>
    </row>
    <row r="45" spans="1:9" x14ac:dyDescent="0.8">
      <c r="A45" s="2">
        <v>60</v>
      </c>
      <c r="B45" s="2">
        <f t="shared" si="6"/>
        <v>29778</v>
      </c>
      <c r="C45" s="22" cm="1">
        <f t="array" ref="C45">SUM('flock performance sheet'!F416:F422+'flock performance sheet'!G416:G422)</f>
        <v>0</v>
      </c>
      <c r="D45" s="3">
        <f t="shared" si="5"/>
        <v>0</v>
      </c>
      <c r="E45" s="3">
        <f t="shared" si="3"/>
        <v>0.74</v>
      </c>
      <c r="F45" s="22" cm="1">
        <f t="array" ref="F45">SUM('flock performance sheet'!J416:J422+'flock performance sheet'!K416:K422)</f>
        <v>0</v>
      </c>
      <c r="G45" s="3">
        <f t="shared" si="2"/>
        <v>0</v>
      </c>
      <c r="H45" s="3">
        <f>F45/B4</f>
        <v>0</v>
      </c>
      <c r="I45" s="3">
        <f t="shared" si="4"/>
        <v>0.50593333333333335</v>
      </c>
    </row>
    <row r="46" spans="1:9" x14ac:dyDescent="0.8">
      <c r="A46" s="2">
        <v>61</v>
      </c>
      <c r="B46" s="2">
        <f t="shared" si="6"/>
        <v>29778</v>
      </c>
      <c r="C46" s="22" cm="1">
        <f t="array" ref="C46">SUM('flock performance sheet'!F423:F429+'flock performance sheet'!G423:G429)</f>
        <v>0</v>
      </c>
      <c r="D46" s="3">
        <f t="shared" si="5"/>
        <v>0</v>
      </c>
      <c r="E46" s="3">
        <f t="shared" si="3"/>
        <v>0.74</v>
      </c>
      <c r="F46" s="22" cm="1">
        <f t="array" ref="F46">SUM('flock performance sheet'!J423:J429+'flock performance sheet'!K423:K429)</f>
        <v>0</v>
      </c>
      <c r="G46" s="3">
        <f t="shared" si="2"/>
        <v>0</v>
      </c>
      <c r="H46" s="3">
        <f>F46/B4</f>
        <v>0</v>
      </c>
      <c r="I46" s="3">
        <f t="shared" si="4"/>
        <v>0.50593333333333335</v>
      </c>
    </row>
    <row r="47" spans="1:9" x14ac:dyDescent="0.8">
      <c r="A47" s="2">
        <v>62</v>
      </c>
      <c r="B47" s="2">
        <f t="shared" si="6"/>
        <v>29778</v>
      </c>
      <c r="C47" s="22" cm="1">
        <f t="array" ref="C47">SUM('flock performance sheet'!F430:F436+'flock performance sheet'!G430:G436)</f>
        <v>0</v>
      </c>
      <c r="D47" s="3">
        <f t="shared" si="5"/>
        <v>0</v>
      </c>
      <c r="E47" s="3">
        <f t="shared" si="3"/>
        <v>0.74</v>
      </c>
      <c r="F47" s="22" cm="1">
        <f t="array" ref="F47">SUM('flock performance sheet'!J430:J436+'flock performance sheet'!K430:K436)</f>
        <v>0</v>
      </c>
      <c r="G47" s="3">
        <f t="shared" si="2"/>
        <v>0</v>
      </c>
      <c r="H47" s="3">
        <f>F47/B4</f>
        <v>0</v>
      </c>
      <c r="I47" s="3">
        <f t="shared" si="4"/>
        <v>0.50593333333333335</v>
      </c>
    </row>
    <row r="48" spans="1:9" x14ac:dyDescent="0.8">
      <c r="A48" s="2">
        <v>63</v>
      </c>
      <c r="B48" s="2">
        <f t="shared" si="6"/>
        <v>29778</v>
      </c>
      <c r="C48" s="22" cm="1">
        <f t="array" ref="C48">SUM('flock performance sheet'!F437:F443+'flock performance sheet'!G437:G443)</f>
        <v>0</v>
      </c>
      <c r="D48" s="3">
        <f t="shared" si="5"/>
        <v>0</v>
      </c>
      <c r="E48" s="3">
        <f t="shared" si="3"/>
        <v>0.74</v>
      </c>
      <c r="F48" s="22" cm="1">
        <f t="array" ref="F48">SUM('flock performance sheet'!J437:J443+'flock performance sheet'!K437:K443)</f>
        <v>0</v>
      </c>
      <c r="G48" s="3">
        <f t="shared" si="2"/>
        <v>0</v>
      </c>
      <c r="H48" s="3">
        <f>F48/B4</f>
        <v>0</v>
      </c>
      <c r="I48" s="3">
        <f t="shared" si="4"/>
        <v>0.50593333333333335</v>
      </c>
    </row>
    <row r="49" spans="1:9" x14ac:dyDescent="0.8">
      <c r="A49" s="2">
        <v>64</v>
      </c>
      <c r="B49" s="2">
        <f t="shared" si="6"/>
        <v>29778</v>
      </c>
      <c r="C49" s="22" cm="1">
        <f t="array" ref="C49">SUM('flock performance sheet'!F444:F450+'flock performance sheet'!G444:G450)</f>
        <v>0</v>
      </c>
      <c r="D49" s="3">
        <f t="shared" si="5"/>
        <v>0</v>
      </c>
      <c r="E49" s="3">
        <f t="shared" si="3"/>
        <v>0.74</v>
      </c>
      <c r="F49" s="22" cm="1">
        <f t="array" ref="F49">SUM('flock performance sheet'!J444:J450+'flock performance sheet'!K444:K450)</f>
        <v>0</v>
      </c>
      <c r="G49" s="3">
        <f t="shared" si="2"/>
        <v>0</v>
      </c>
      <c r="H49" s="3">
        <f>F49/B4</f>
        <v>0</v>
      </c>
      <c r="I49" s="3">
        <f t="shared" si="4"/>
        <v>0.50593333333333335</v>
      </c>
    </row>
    <row r="50" spans="1:9" x14ac:dyDescent="0.8">
      <c r="A50" s="2">
        <v>65</v>
      </c>
      <c r="B50" s="2">
        <f t="shared" si="6"/>
        <v>29778</v>
      </c>
      <c r="C50" s="22" cm="1">
        <f t="array" ref="C50">SUM('flock performance sheet'!F451:F457+'flock performance sheet'!G451:G457)</f>
        <v>0</v>
      </c>
      <c r="D50" s="3">
        <f t="shared" si="5"/>
        <v>0</v>
      </c>
      <c r="E50" s="3">
        <f t="shared" si="3"/>
        <v>0.74</v>
      </c>
      <c r="F50" s="22" cm="1">
        <f t="array" ref="F50">SUM('flock performance sheet'!J451:J457+'flock performance sheet'!K451:K457)</f>
        <v>0</v>
      </c>
      <c r="G50" s="3">
        <f t="shared" si="2"/>
        <v>0</v>
      </c>
      <c r="H50" s="3">
        <f>F50/B4</f>
        <v>0</v>
      </c>
      <c r="I50" s="3">
        <f t="shared" si="4"/>
        <v>0.50593333333333335</v>
      </c>
    </row>
    <row r="51" spans="1:9" x14ac:dyDescent="0.8">
      <c r="A51" s="2">
        <v>66</v>
      </c>
      <c r="B51" s="2">
        <f t="shared" si="6"/>
        <v>29778</v>
      </c>
      <c r="C51" s="22" cm="1">
        <f t="array" ref="C51">SUM('flock performance sheet'!F458:F464+'flock performance sheet'!G458:G464)</f>
        <v>0</v>
      </c>
      <c r="D51" s="3">
        <f t="shared" si="5"/>
        <v>0</v>
      </c>
      <c r="E51" s="3">
        <f t="shared" si="3"/>
        <v>0.74</v>
      </c>
      <c r="F51" s="22" cm="1">
        <f t="array" ref="F51">SUM('flock performance sheet'!J458:J464+'flock performance sheet'!K458:K464)</f>
        <v>0</v>
      </c>
      <c r="G51" s="3">
        <f t="shared" si="2"/>
        <v>0</v>
      </c>
      <c r="H51" s="3">
        <f>F51/B4</f>
        <v>0</v>
      </c>
      <c r="I51" s="3">
        <f t="shared" si="4"/>
        <v>0.50593333333333335</v>
      </c>
    </row>
    <row r="52" spans="1:9" x14ac:dyDescent="0.8">
      <c r="A52" s="2">
        <v>67</v>
      </c>
      <c r="B52" s="2">
        <f t="shared" si="6"/>
        <v>29778</v>
      </c>
      <c r="C52" s="22" cm="1">
        <f t="array" ref="C52">SUM('flock performance sheet'!F465:F471+'flock performance sheet'!G465:G471)</f>
        <v>0</v>
      </c>
      <c r="D52" s="3">
        <f t="shared" si="5"/>
        <v>0</v>
      </c>
      <c r="E52" s="3">
        <f t="shared" si="3"/>
        <v>0.74</v>
      </c>
      <c r="F52" s="22" cm="1">
        <f t="array" ref="F52">SUM('flock performance sheet'!J465:J471+'flock performance sheet'!K465:K471)</f>
        <v>0</v>
      </c>
      <c r="G52" s="3">
        <f t="shared" si="2"/>
        <v>0</v>
      </c>
      <c r="H52" s="3">
        <f>F52/B4</f>
        <v>0</v>
      </c>
      <c r="I52" s="3">
        <f t="shared" si="4"/>
        <v>0.50593333333333335</v>
      </c>
    </row>
    <row r="53" spans="1:9" x14ac:dyDescent="0.8">
      <c r="A53" s="2">
        <v>68</v>
      </c>
      <c r="B53" s="2">
        <f t="shared" si="6"/>
        <v>29778</v>
      </c>
      <c r="C53" s="22" cm="1">
        <f t="array" ref="C53">SUM('flock performance sheet'!F472:F478+'flock performance sheet'!G472:G478)</f>
        <v>0</v>
      </c>
      <c r="D53" s="3">
        <f t="shared" si="5"/>
        <v>0</v>
      </c>
      <c r="E53" s="3">
        <f t="shared" si="3"/>
        <v>0.74</v>
      </c>
      <c r="F53" s="22" cm="1">
        <f t="array" ref="F53">SUM('flock performance sheet'!J472:J478+'flock performance sheet'!K472:K478)</f>
        <v>0</v>
      </c>
      <c r="G53" s="3">
        <f t="shared" si="2"/>
        <v>0</v>
      </c>
      <c r="H53" s="3">
        <f>F53/B4</f>
        <v>0</v>
      </c>
      <c r="I53" s="3">
        <f t="shared" si="4"/>
        <v>0.50593333333333335</v>
      </c>
    </row>
    <row r="54" spans="1:9" x14ac:dyDescent="0.8">
      <c r="A54" s="2">
        <v>69</v>
      </c>
      <c r="B54" s="2">
        <f t="shared" si="6"/>
        <v>29778</v>
      </c>
      <c r="C54" s="22" cm="1">
        <f t="array" ref="C54">SUM('flock performance sheet'!F479:F485+'flock performance sheet'!G479:G485)</f>
        <v>0</v>
      </c>
      <c r="D54" s="3">
        <f t="shared" si="5"/>
        <v>0</v>
      </c>
      <c r="E54" s="3">
        <f t="shared" si="3"/>
        <v>0.74</v>
      </c>
      <c r="F54" s="22" cm="1">
        <f t="array" ref="F54">SUM('flock performance sheet'!J479:J485+'flock performance sheet'!K479:K485)</f>
        <v>0</v>
      </c>
      <c r="G54" s="3">
        <f t="shared" si="2"/>
        <v>0</v>
      </c>
      <c r="H54" s="3">
        <f>F54/B4</f>
        <v>0</v>
      </c>
      <c r="I54" s="3">
        <f t="shared" si="4"/>
        <v>0.50593333333333335</v>
      </c>
    </row>
    <row r="55" spans="1:9" x14ac:dyDescent="0.8">
      <c r="A55" s="2">
        <v>70</v>
      </c>
      <c r="B55" s="2">
        <f t="shared" si="6"/>
        <v>29778</v>
      </c>
      <c r="C55" s="22" cm="1">
        <f t="array" ref="C55">SUM('flock performance sheet'!F486:F492+'flock performance sheet'!G486:G492)</f>
        <v>0</v>
      </c>
      <c r="D55" s="3">
        <f t="shared" si="5"/>
        <v>0</v>
      </c>
      <c r="E55" s="3">
        <f t="shared" si="3"/>
        <v>0.74</v>
      </c>
      <c r="F55" s="22" cm="1">
        <f t="array" ref="F55">SUM('flock performance sheet'!J486:J492+'flock performance sheet'!K486:K492)</f>
        <v>0</v>
      </c>
      <c r="G55" s="3">
        <f t="shared" si="2"/>
        <v>0</v>
      </c>
      <c r="H55" s="3">
        <f>F55/B4</f>
        <v>0</v>
      </c>
      <c r="I55" s="3">
        <f t="shared" si="4"/>
        <v>0.50593333333333335</v>
      </c>
    </row>
    <row r="56" spans="1:9" x14ac:dyDescent="0.8">
      <c r="A56" s="2">
        <v>71</v>
      </c>
      <c r="B56" s="2">
        <f t="shared" si="6"/>
        <v>29778</v>
      </c>
      <c r="C56" s="22" cm="1">
        <f t="array" ref="C56">SUM('flock performance sheet'!F493:F499+'flock performance sheet'!G493:G499)</f>
        <v>0</v>
      </c>
      <c r="D56" s="3">
        <f t="shared" si="5"/>
        <v>0</v>
      </c>
      <c r="E56" s="3">
        <f t="shared" si="3"/>
        <v>0.74</v>
      </c>
      <c r="F56" s="22" cm="1">
        <f t="array" ref="F56">SUM('flock performance sheet'!J493:J499+'flock performance sheet'!K493:K499)</f>
        <v>0</v>
      </c>
      <c r="G56" s="3">
        <f t="shared" si="2"/>
        <v>0</v>
      </c>
      <c r="H56" s="3">
        <f>F56/B4</f>
        <v>0</v>
      </c>
      <c r="I56" s="3">
        <f t="shared" si="4"/>
        <v>0.50593333333333335</v>
      </c>
    </row>
    <row r="57" spans="1:9" x14ac:dyDescent="0.8">
      <c r="A57" s="2">
        <v>72</v>
      </c>
      <c r="B57" s="2">
        <f t="shared" si="6"/>
        <v>29778</v>
      </c>
      <c r="C57" s="22" cm="1">
        <f t="array" ref="C57">SUM('flock performance sheet'!F500:F506+'flock performance sheet'!G500:G506)</f>
        <v>0</v>
      </c>
      <c r="D57" s="3">
        <f t="shared" si="5"/>
        <v>0</v>
      </c>
      <c r="E57" s="3">
        <f t="shared" si="3"/>
        <v>0.74</v>
      </c>
      <c r="F57" s="22" cm="1">
        <f t="array" ref="F57">SUM('flock performance sheet'!J500:J506+'flock performance sheet'!K500:K506)</f>
        <v>0</v>
      </c>
      <c r="G57" s="3">
        <f t="shared" si="2"/>
        <v>0</v>
      </c>
      <c r="H57" s="3">
        <f>F57/B4</f>
        <v>0</v>
      </c>
      <c r="I57" s="3">
        <f t="shared" si="4"/>
        <v>0.50593333333333335</v>
      </c>
    </row>
    <row r="58" spans="1:9" x14ac:dyDescent="0.8">
      <c r="A58" s="2">
        <v>73</v>
      </c>
      <c r="B58" s="2">
        <f t="shared" si="6"/>
        <v>29778</v>
      </c>
      <c r="C58" s="22" cm="1">
        <f t="array" ref="C58">SUM('flock performance sheet'!F507:F513+'flock performance sheet'!G507:G513)</f>
        <v>0</v>
      </c>
      <c r="D58" s="3">
        <f t="shared" si="5"/>
        <v>0</v>
      </c>
      <c r="E58" s="3">
        <f t="shared" si="3"/>
        <v>0.74</v>
      </c>
      <c r="F58" s="22" cm="1">
        <f t="array" ref="F58">SUM('flock performance sheet'!J507:J513+'flock performance sheet'!K507:K513)</f>
        <v>0</v>
      </c>
      <c r="G58" s="3">
        <f t="shared" si="2"/>
        <v>0</v>
      </c>
      <c r="H58" s="3">
        <f>F58/B4</f>
        <v>0</v>
      </c>
      <c r="I58" s="3">
        <f t="shared" si="4"/>
        <v>0.50593333333333335</v>
      </c>
    </row>
    <row r="59" spans="1:9" x14ac:dyDescent="0.8">
      <c r="A59" s="2">
        <v>74</v>
      </c>
      <c r="B59" s="2">
        <f t="shared" si="6"/>
        <v>29778</v>
      </c>
      <c r="C59" s="22" cm="1">
        <f t="array" ref="C59">SUM('flock performance sheet'!F514:F520+'flock performance sheet'!G514:G520)</f>
        <v>0</v>
      </c>
      <c r="D59" s="3">
        <f t="shared" si="5"/>
        <v>0</v>
      </c>
      <c r="E59" s="3">
        <f t="shared" si="3"/>
        <v>0.74</v>
      </c>
      <c r="F59" s="22" cm="1">
        <f t="array" ref="F59">SUM('flock performance sheet'!J514:J520+'flock performance sheet'!K514:K520)</f>
        <v>0</v>
      </c>
      <c r="G59" s="3">
        <f t="shared" si="2"/>
        <v>0</v>
      </c>
      <c r="H59" s="3">
        <f>F59/B4</f>
        <v>0</v>
      </c>
      <c r="I59" s="3">
        <f t="shared" si="4"/>
        <v>0.50593333333333335</v>
      </c>
    </row>
    <row r="60" spans="1:9" x14ac:dyDescent="0.8">
      <c r="A60" s="2">
        <v>75</v>
      </c>
      <c r="B60" s="2">
        <f t="shared" si="6"/>
        <v>29778</v>
      </c>
      <c r="C60" s="22" cm="1">
        <f t="array" ref="C60">SUM('flock performance sheet'!F521:F527+'flock performance sheet'!G521:G527)</f>
        <v>0</v>
      </c>
      <c r="D60" s="3">
        <f t="shared" si="5"/>
        <v>0</v>
      </c>
      <c r="E60" s="3">
        <f t="shared" si="3"/>
        <v>0.74</v>
      </c>
      <c r="F60" s="22" cm="1">
        <f t="array" ref="F60">SUM('flock performance sheet'!J521:J527+'flock performance sheet'!K521:K527)</f>
        <v>0</v>
      </c>
      <c r="G60" s="3">
        <f t="shared" si="2"/>
        <v>0</v>
      </c>
      <c r="H60" s="3">
        <f>F60/B4</f>
        <v>0</v>
      </c>
      <c r="I60" s="3">
        <f t="shared" si="4"/>
        <v>0.50593333333333335</v>
      </c>
    </row>
    <row r="61" spans="1:9" x14ac:dyDescent="0.8">
      <c r="A61" s="2">
        <v>76</v>
      </c>
      <c r="B61" s="2">
        <f t="shared" si="6"/>
        <v>29778</v>
      </c>
      <c r="C61" s="22" cm="1">
        <f t="array" ref="C61">SUM('flock performance sheet'!F528:F534+'flock performance sheet'!G528:G534)</f>
        <v>0</v>
      </c>
      <c r="D61" s="3">
        <f t="shared" si="5"/>
        <v>0</v>
      </c>
      <c r="E61" s="3">
        <f t="shared" si="3"/>
        <v>0.74</v>
      </c>
      <c r="F61" s="22" cm="1">
        <f t="array" ref="F61">SUM('flock performance sheet'!J528:J534+'flock performance sheet'!K528:K534)</f>
        <v>0</v>
      </c>
      <c r="G61" s="3">
        <f t="shared" si="2"/>
        <v>0</v>
      </c>
      <c r="H61" s="3">
        <f>F61/B4</f>
        <v>0</v>
      </c>
      <c r="I61" s="3">
        <f t="shared" si="4"/>
        <v>0.50593333333333335</v>
      </c>
    </row>
    <row r="62" spans="1:9" x14ac:dyDescent="0.8">
      <c r="A62" s="2">
        <v>77</v>
      </c>
      <c r="B62" s="2">
        <f t="shared" si="6"/>
        <v>29778</v>
      </c>
      <c r="C62" s="22" cm="1">
        <f t="array" ref="C62">SUM('flock performance sheet'!F535:F541+'flock performance sheet'!G535:G541)</f>
        <v>0</v>
      </c>
      <c r="D62" s="3">
        <f t="shared" si="5"/>
        <v>0</v>
      </c>
      <c r="E62" s="3">
        <f t="shared" si="3"/>
        <v>0.74</v>
      </c>
      <c r="F62" s="22" cm="1">
        <f t="array" ref="F62">SUM('flock performance sheet'!J535:J541+'flock performance sheet'!K535:K541)</f>
        <v>0</v>
      </c>
      <c r="G62" s="3">
        <f t="shared" si="2"/>
        <v>0</v>
      </c>
      <c r="H62" s="3">
        <f>F62/B4</f>
        <v>0</v>
      </c>
      <c r="I62" s="3">
        <f t="shared" si="4"/>
        <v>0.50593333333333335</v>
      </c>
    </row>
    <row r="63" spans="1:9" x14ac:dyDescent="0.8">
      <c r="A63" s="2">
        <v>78</v>
      </c>
      <c r="B63" s="2">
        <f t="shared" si="6"/>
        <v>29778</v>
      </c>
      <c r="C63" s="22" cm="1">
        <f t="array" ref="C63">SUM('flock performance sheet'!F542:F548+'flock performance sheet'!G542:G548)</f>
        <v>0</v>
      </c>
      <c r="D63" s="3">
        <f t="shared" si="5"/>
        <v>0</v>
      </c>
      <c r="E63" s="3">
        <f t="shared" si="3"/>
        <v>0.74</v>
      </c>
      <c r="F63" s="22" cm="1">
        <f t="array" ref="F63">SUM('flock performance sheet'!J542:J548+'flock performance sheet'!K542:K548)</f>
        <v>0</v>
      </c>
      <c r="G63" s="3">
        <f t="shared" si="2"/>
        <v>0</v>
      </c>
      <c r="H63" s="3">
        <f>F63/B4</f>
        <v>0</v>
      </c>
      <c r="I63" s="3">
        <f t="shared" si="4"/>
        <v>0.50593333333333335</v>
      </c>
    </row>
    <row r="64" spans="1:9" x14ac:dyDescent="0.8">
      <c r="A64" s="2">
        <v>79</v>
      </c>
      <c r="B64" s="2">
        <f t="shared" si="6"/>
        <v>29778</v>
      </c>
      <c r="C64" s="22" cm="1">
        <f t="array" ref="C64">SUM('flock performance sheet'!F549:F555+'flock performance sheet'!G549:G555)</f>
        <v>0</v>
      </c>
      <c r="D64" s="3">
        <f t="shared" si="5"/>
        <v>0</v>
      </c>
      <c r="E64" s="3">
        <f t="shared" si="3"/>
        <v>0.74</v>
      </c>
      <c r="F64" s="22" cm="1">
        <f t="array" ref="F64">SUM('flock performance sheet'!J549:J555+'flock performance sheet'!K549:K555)</f>
        <v>0</v>
      </c>
      <c r="G64" s="3">
        <f t="shared" si="2"/>
        <v>0</v>
      </c>
      <c r="H64" s="3">
        <f>F64/B4</f>
        <v>0</v>
      </c>
      <c r="I64" s="3">
        <f t="shared" si="4"/>
        <v>0.50593333333333335</v>
      </c>
    </row>
    <row r="65" spans="1:9" x14ac:dyDescent="0.8">
      <c r="A65" s="2">
        <v>80</v>
      </c>
      <c r="B65" s="2">
        <f t="shared" si="6"/>
        <v>29778</v>
      </c>
      <c r="C65" s="22" cm="1">
        <f t="array" ref="C65">SUM('flock performance sheet'!F556:F562+'flock performance sheet'!G556:G562)</f>
        <v>0</v>
      </c>
      <c r="D65" s="3">
        <f t="shared" si="5"/>
        <v>0</v>
      </c>
      <c r="E65" s="3">
        <f t="shared" si="3"/>
        <v>0.74</v>
      </c>
      <c r="F65" s="22" cm="1">
        <f t="array" ref="F65">SUM('flock performance sheet'!J556:J562+'flock performance sheet'!K556:K562)</f>
        <v>0</v>
      </c>
      <c r="G65" s="3">
        <f t="shared" si="2"/>
        <v>0</v>
      </c>
      <c r="H65" s="3">
        <f>F65/B4</f>
        <v>0</v>
      </c>
      <c r="I65" s="3">
        <f t="shared" si="4"/>
        <v>0.50593333333333335</v>
      </c>
    </row>
    <row r="66" spans="1:9" x14ac:dyDescent="0.8">
      <c r="A66" s="2">
        <v>81</v>
      </c>
      <c r="B66" s="2">
        <f t="shared" si="6"/>
        <v>29778</v>
      </c>
      <c r="C66" s="22" cm="1">
        <f t="array" ref="C66">SUM('flock performance sheet'!F563:F569+'flock performance sheet'!G563:G569)</f>
        <v>0</v>
      </c>
      <c r="D66" s="3">
        <f t="shared" si="5"/>
        <v>0</v>
      </c>
      <c r="E66" s="3">
        <f t="shared" si="3"/>
        <v>0.74</v>
      </c>
      <c r="F66" s="22" cm="1">
        <f t="array" ref="F66">SUM('flock performance sheet'!J563:J569+'flock performance sheet'!K563:K569)</f>
        <v>0</v>
      </c>
      <c r="G66" s="3">
        <f t="shared" si="2"/>
        <v>0</v>
      </c>
      <c r="H66" s="3">
        <f>F66/B4</f>
        <v>0</v>
      </c>
      <c r="I66" s="3">
        <f t="shared" si="4"/>
        <v>0.50593333333333335</v>
      </c>
    </row>
    <row r="67" spans="1:9" x14ac:dyDescent="0.8">
      <c r="A67" s="2">
        <v>82</v>
      </c>
      <c r="B67" s="2">
        <f t="shared" si="6"/>
        <v>29778</v>
      </c>
      <c r="C67" s="22" cm="1">
        <f t="array" ref="C67">SUM('flock performance sheet'!F570:F576+'flock performance sheet'!G570:G576)</f>
        <v>0</v>
      </c>
      <c r="D67" s="3">
        <f t="shared" si="5"/>
        <v>0</v>
      </c>
      <c r="E67" s="3">
        <f t="shared" si="3"/>
        <v>0.74</v>
      </c>
      <c r="F67" s="22" cm="1">
        <f t="array" ref="F67">SUM('flock performance sheet'!J570:J576+'flock performance sheet'!K570:K576)</f>
        <v>0</v>
      </c>
      <c r="G67" s="3">
        <f t="shared" si="2"/>
        <v>0</v>
      </c>
      <c r="H67" s="3">
        <f>F67/B4</f>
        <v>0</v>
      </c>
      <c r="I67" s="3">
        <f t="shared" si="4"/>
        <v>0.50593333333333335</v>
      </c>
    </row>
    <row r="68" spans="1:9" x14ac:dyDescent="0.8">
      <c r="A68" s="2">
        <v>83</v>
      </c>
      <c r="B68" s="2">
        <f t="shared" si="6"/>
        <v>29778</v>
      </c>
      <c r="C68" s="22" cm="1">
        <f t="array" ref="C68">SUM('flock performance sheet'!F577:F583+'flock performance sheet'!G577:G583)</f>
        <v>0</v>
      </c>
      <c r="D68" s="3">
        <f t="shared" si="5"/>
        <v>0</v>
      </c>
      <c r="E68" s="3">
        <f t="shared" si="3"/>
        <v>0.74</v>
      </c>
      <c r="F68" s="22" cm="1">
        <f t="array" ref="F68">SUM('flock performance sheet'!J577:J583+'flock performance sheet'!K577:K583)</f>
        <v>0</v>
      </c>
      <c r="G68" s="3">
        <f t="shared" si="2"/>
        <v>0</v>
      </c>
      <c r="H68" s="3">
        <f>F68/B4</f>
        <v>0</v>
      </c>
      <c r="I68" s="3">
        <f t="shared" si="4"/>
        <v>0.50593333333333335</v>
      </c>
    </row>
    <row r="69" spans="1:9" x14ac:dyDescent="0.8">
      <c r="A69" s="2">
        <v>84</v>
      </c>
      <c r="B69" s="2">
        <f t="shared" si="6"/>
        <v>29778</v>
      </c>
      <c r="C69" s="22" cm="1">
        <f t="array" ref="C69">SUM('flock performance sheet'!F584:F590+'flock performance sheet'!G584:G590)</f>
        <v>0</v>
      </c>
      <c r="D69" s="3">
        <f t="shared" ref="D69:D85" si="7">C69/B69%</f>
        <v>0</v>
      </c>
      <c r="E69" s="3">
        <f t="shared" si="3"/>
        <v>0.74</v>
      </c>
      <c r="F69" s="22" cm="1">
        <f t="array" ref="F69">SUM('flock performance sheet'!J584:J590+'flock performance sheet'!K584:K590)</f>
        <v>0</v>
      </c>
      <c r="G69" s="3">
        <f t="shared" ref="G69:G85" si="8">(F69/B69%)/7</f>
        <v>0</v>
      </c>
      <c r="H69" s="3">
        <f>F69/B4</f>
        <v>0</v>
      </c>
      <c r="I69" s="3">
        <f t="shared" si="4"/>
        <v>0.50593333333333335</v>
      </c>
    </row>
    <row r="70" spans="1:9" x14ac:dyDescent="0.8">
      <c r="A70" s="2">
        <v>85</v>
      </c>
      <c r="B70" s="2">
        <f t="shared" ref="B70:B85" si="9">B69-C69</f>
        <v>29778</v>
      </c>
      <c r="C70" s="22" cm="1">
        <f t="array" ref="C70">SUM('flock performance sheet'!F591:F597+'flock performance sheet'!G591:G597)</f>
        <v>0</v>
      </c>
      <c r="D70" s="3">
        <f t="shared" si="7"/>
        <v>0</v>
      </c>
      <c r="E70" s="3">
        <f t="shared" ref="E70:E85" si="10">E69+D70</f>
        <v>0.74</v>
      </c>
      <c r="F70" s="22" cm="1">
        <f t="array" ref="F70">SUM('flock performance sheet'!J591:J597+'flock performance sheet'!K591:K597)</f>
        <v>0</v>
      </c>
      <c r="G70" s="3">
        <f t="shared" si="8"/>
        <v>0</v>
      </c>
      <c r="H70" s="3">
        <f>F70/B4</f>
        <v>0</v>
      </c>
      <c r="I70" s="3">
        <f t="shared" ref="I70:I85" si="11">I69+H70</f>
        <v>0.50593333333333335</v>
      </c>
    </row>
    <row r="71" spans="1:9" x14ac:dyDescent="0.8">
      <c r="A71" s="2">
        <v>86</v>
      </c>
      <c r="B71" s="2">
        <f t="shared" si="9"/>
        <v>29778</v>
      </c>
      <c r="C71" s="22" cm="1">
        <f t="array" ref="C71">SUM('flock performance sheet'!F598:F604+'flock performance sheet'!G598:G604)</f>
        <v>0</v>
      </c>
      <c r="D71" s="3">
        <f t="shared" si="7"/>
        <v>0</v>
      </c>
      <c r="E71" s="3">
        <f t="shared" si="10"/>
        <v>0.74</v>
      </c>
      <c r="F71" s="22" cm="1">
        <f t="array" ref="F71">SUM('flock performance sheet'!J598:J604+'flock performance sheet'!K598:K604)</f>
        <v>0</v>
      </c>
      <c r="G71" s="3">
        <f t="shared" si="8"/>
        <v>0</v>
      </c>
      <c r="H71" s="3">
        <f>F71/B4</f>
        <v>0</v>
      </c>
      <c r="I71" s="3">
        <f t="shared" si="11"/>
        <v>0.50593333333333335</v>
      </c>
    </row>
    <row r="72" spans="1:9" x14ac:dyDescent="0.8">
      <c r="A72" s="2">
        <v>87</v>
      </c>
      <c r="B72" s="2">
        <f t="shared" si="9"/>
        <v>29778</v>
      </c>
      <c r="C72" s="22" cm="1">
        <f t="array" ref="C72">SUM('flock performance sheet'!F605:F611+'flock performance sheet'!G605:G611)</f>
        <v>0</v>
      </c>
      <c r="D72" s="3">
        <f t="shared" si="7"/>
        <v>0</v>
      </c>
      <c r="E72" s="3">
        <f t="shared" si="10"/>
        <v>0.74</v>
      </c>
      <c r="F72" s="22" cm="1">
        <f t="array" ref="F72">SUM('flock performance sheet'!J605:J611+'flock performance sheet'!K605:K611)</f>
        <v>0</v>
      </c>
      <c r="G72" s="3">
        <f t="shared" si="8"/>
        <v>0</v>
      </c>
      <c r="H72" s="3">
        <f>F72/B4</f>
        <v>0</v>
      </c>
      <c r="I72" s="3">
        <f t="shared" si="11"/>
        <v>0.50593333333333335</v>
      </c>
    </row>
    <row r="73" spans="1:9" x14ac:dyDescent="0.8">
      <c r="A73" s="2">
        <v>88</v>
      </c>
      <c r="B73" s="2">
        <f t="shared" si="9"/>
        <v>29778</v>
      </c>
      <c r="C73" s="22" cm="1">
        <f t="array" ref="C73">SUM('flock performance sheet'!F612:F618+'flock performance sheet'!G612:G618)</f>
        <v>0</v>
      </c>
      <c r="D73" s="3">
        <f t="shared" si="7"/>
        <v>0</v>
      </c>
      <c r="E73" s="3">
        <f t="shared" si="10"/>
        <v>0.74</v>
      </c>
      <c r="F73" s="22" cm="1">
        <f t="array" ref="F73">SUM('flock performance sheet'!J612:J618+'flock performance sheet'!K612:K618)</f>
        <v>0</v>
      </c>
      <c r="G73" s="3">
        <f t="shared" si="8"/>
        <v>0</v>
      </c>
      <c r="H73" s="3">
        <f>F73/B4</f>
        <v>0</v>
      </c>
      <c r="I73" s="3">
        <f t="shared" si="11"/>
        <v>0.50593333333333335</v>
      </c>
    </row>
    <row r="74" spans="1:9" x14ac:dyDescent="0.8">
      <c r="A74" s="2">
        <v>89</v>
      </c>
      <c r="B74" s="2">
        <f t="shared" si="9"/>
        <v>29778</v>
      </c>
      <c r="C74" s="22" cm="1">
        <f t="array" ref="C74">SUM('flock performance sheet'!F619:F625+'flock performance sheet'!G619:G625)</f>
        <v>0</v>
      </c>
      <c r="D74" s="3">
        <f t="shared" si="7"/>
        <v>0</v>
      </c>
      <c r="E74" s="3">
        <f t="shared" si="10"/>
        <v>0.74</v>
      </c>
      <c r="F74" s="22" cm="1">
        <f t="array" ref="F74">SUM('flock performance sheet'!J619:J625+'flock performance sheet'!K619:K625)</f>
        <v>0</v>
      </c>
      <c r="G74" s="3">
        <f t="shared" si="8"/>
        <v>0</v>
      </c>
      <c r="H74" s="3">
        <f>F74/B4</f>
        <v>0</v>
      </c>
      <c r="I74" s="3">
        <f t="shared" si="11"/>
        <v>0.50593333333333335</v>
      </c>
    </row>
    <row r="75" spans="1:9" x14ac:dyDescent="0.8">
      <c r="A75" s="2">
        <v>90</v>
      </c>
      <c r="B75" s="2">
        <f t="shared" si="9"/>
        <v>29778</v>
      </c>
      <c r="C75" s="22" cm="1">
        <f t="array" ref="C75">SUM('flock performance sheet'!F626:F632+'flock performance sheet'!G626:G632)</f>
        <v>0</v>
      </c>
      <c r="D75" s="3">
        <f t="shared" si="7"/>
        <v>0</v>
      </c>
      <c r="E75" s="3">
        <f t="shared" si="10"/>
        <v>0.74</v>
      </c>
      <c r="F75" s="22" cm="1">
        <f t="array" ref="F75">SUM('flock performance sheet'!J626:J632+'flock performance sheet'!K626:K632)</f>
        <v>0</v>
      </c>
      <c r="G75" s="3">
        <f t="shared" si="8"/>
        <v>0</v>
      </c>
      <c r="H75" s="3">
        <f>F75/B4</f>
        <v>0</v>
      </c>
      <c r="I75" s="3">
        <f t="shared" si="11"/>
        <v>0.50593333333333335</v>
      </c>
    </row>
    <row r="76" spans="1:9" x14ac:dyDescent="0.8">
      <c r="A76" s="2">
        <v>91</v>
      </c>
      <c r="B76" s="2">
        <f t="shared" si="9"/>
        <v>29778</v>
      </c>
      <c r="C76" s="22" cm="1">
        <f t="array" ref="C76">SUM('flock performance sheet'!F633:F639+'flock performance sheet'!G633:G639)</f>
        <v>0</v>
      </c>
      <c r="D76" s="3">
        <f t="shared" si="7"/>
        <v>0</v>
      </c>
      <c r="E76" s="3">
        <f t="shared" si="10"/>
        <v>0.74</v>
      </c>
      <c r="F76" s="22" cm="1">
        <f t="array" ref="F76">SUM('flock performance sheet'!J633:J639+'flock performance sheet'!K633:K639)</f>
        <v>0</v>
      </c>
      <c r="G76" s="3">
        <f t="shared" si="8"/>
        <v>0</v>
      </c>
      <c r="H76" s="3">
        <f>F76/B4</f>
        <v>0</v>
      </c>
      <c r="I76" s="3">
        <f t="shared" si="11"/>
        <v>0.50593333333333335</v>
      </c>
    </row>
    <row r="77" spans="1:9" x14ac:dyDescent="0.8">
      <c r="A77" s="2">
        <v>92</v>
      </c>
      <c r="B77" s="2">
        <f t="shared" si="9"/>
        <v>29778</v>
      </c>
      <c r="C77" s="22" cm="1">
        <f t="array" ref="C77">SUM('flock performance sheet'!F640:F646+'flock performance sheet'!G640:G646)</f>
        <v>0</v>
      </c>
      <c r="D77" s="3">
        <f t="shared" si="7"/>
        <v>0</v>
      </c>
      <c r="E77" s="3">
        <f t="shared" si="10"/>
        <v>0.74</v>
      </c>
      <c r="F77" s="22" cm="1">
        <f t="array" ref="F77">SUM('flock performance sheet'!J640:J646+'flock performance sheet'!K640:K646)</f>
        <v>0</v>
      </c>
      <c r="G77" s="3">
        <f t="shared" si="8"/>
        <v>0</v>
      </c>
      <c r="H77" s="3">
        <f>F77/B4</f>
        <v>0</v>
      </c>
      <c r="I77" s="3">
        <f t="shared" si="11"/>
        <v>0.50593333333333335</v>
      </c>
    </row>
    <row r="78" spans="1:9" x14ac:dyDescent="0.8">
      <c r="A78" s="2">
        <v>93</v>
      </c>
      <c r="B78" s="2">
        <f t="shared" si="9"/>
        <v>29778</v>
      </c>
      <c r="C78" s="22" cm="1">
        <f t="array" ref="C78">SUM('flock performance sheet'!F647:F653+'flock performance sheet'!G647:G653)</f>
        <v>0</v>
      </c>
      <c r="D78" s="3">
        <f t="shared" si="7"/>
        <v>0</v>
      </c>
      <c r="E78" s="3">
        <f t="shared" si="10"/>
        <v>0.74</v>
      </c>
      <c r="F78" s="22" cm="1">
        <f t="array" ref="F78">SUM('flock performance sheet'!J647:J653+'flock performance sheet'!K647:K653)</f>
        <v>0</v>
      </c>
      <c r="G78" s="3">
        <f t="shared" si="8"/>
        <v>0</v>
      </c>
      <c r="H78" s="3">
        <f>F78/B4</f>
        <v>0</v>
      </c>
      <c r="I78" s="3">
        <f t="shared" si="11"/>
        <v>0.50593333333333335</v>
      </c>
    </row>
    <row r="79" spans="1:9" x14ac:dyDescent="0.8">
      <c r="A79" s="2">
        <v>94</v>
      </c>
      <c r="B79" s="2">
        <f t="shared" si="9"/>
        <v>29778</v>
      </c>
      <c r="C79" s="22" cm="1">
        <f t="array" ref="C79">SUM('flock performance sheet'!F654:F660+'flock performance sheet'!G654:G660)</f>
        <v>0</v>
      </c>
      <c r="D79" s="3">
        <f t="shared" si="7"/>
        <v>0</v>
      </c>
      <c r="E79" s="3">
        <f t="shared" si="10"/>
        <v>0.74</v>
      </c>
      <c r="F79" s="22" cm="1">
        <f t="array" ref="F79">SUM('flock performance sheet'!J654:J660+'flock performance sheet'!K654:K660)</f>
        <v>0</v>
      </c>
      <c r="G79" s="3">
        <f t="shared" si="8"/>
        <v>0</v>
      </c>
      <c r="H79" s="3">
        <f>F79/B4</f>
        <v>0</v>
      </c>
      <c r="I79" s="3">
        <f t="shared" si="11"/>
        <v>0.50593333333333335</v>
      </c>
    </row>
    <row r="80" spans="1:9" x14ac:dyDescent="0.8">
      <c r="A80" s="2">
        <v>95</v>
      </c>
      <c r="B80" s="2">
        <f t="shared" si="9"/>
        <v>29778</v>
      </c>
      <c r="C80" s="22" cm="1">
        <f t="array" ref="C80">SUM('flock performance sheet'!F661:F667+'flock performance sheet'!G661:G667)</f>
        <v>0</v>
      </c>
      <c r="D80" s="3">
        <f t="shared" si="7"/>
        <v>0</v>
      </c>
      <c r="E80" s="3">
        <f t="shared" si="10"/>
        <v>0.74</v>
      </c>
      <c r="F80" s="22" cm="1">
        <f t="array" ref="F80">SUM('flock performance sheet'!J661:J667+'flock performance sheet'!K661:K667)</f>
        <v>0</v>
      </c>
      <c r="G80" s="3">
        <f t="shared" si="8"/>
        <v>0</v>
      </c>
      <c r="H80" s="3">
        <f>F80/B4</f>
        <v>0</v>
      </c>
      <c r="I80" s="3">
        <f t="shared" si="11"/>
        <v>0.50593333333333335</v>
      </c>
    </row>
    <row r="81" spans="1:9" x14ac:dyDescent="0.8">
      <c r="A81" s="2">
        <v>96</v>
      </c>
      <c r="B81" s="2">
        <f t="shared" si="9"/>
        <v>29778</v>
      </c>
      <c r="C81" s="22" cm="1">
        <f t="array" ref="C81">SUM('flock performance sheet'!F668:F674+'flock performance sheet'!G668:G674)</f>
        <v>0</v>
      </c>
      <c r="D81" s="3">
        <f t="shared" si="7"/>
        <v>0</v>
      </c>
      <c r="E81" s="3">
        <f t="shared" si="10"/>
        <v>0.74</v>
      </c>
      <c r="F81" s="22" cm="1">
        <f t="array" ref="F81">SUM('flock performance sheet'!J668:J674+'flock performance sheet'!K668:K674)</f>
        <v>0</v>
      </c>
      <c r="G81" s="3">
        <f t="shared" si="8"/>
        <v>0</v>
      </c>
      <c r="H81" s="3">
        <f>F81/B4</f>
        <v>0</v>
      </c>
      <c r="I81" s="3">
        <f t="shared" si="11"/>
        <v>0.50593333333333335</v>
      </c>
    </row>
    <row r="82" spans="1:9" x14ac:dyDescent="0.8">
      <c r="A82" s="2">
        <v>97</v>
      </c>
      <c r="B82" s="2">
        <f t="shared" si="9"/>
        <v>29778</v>
      </c>
      <c r="C82" s="22" cm="1">
        <f t="array" ref="C82">SUM('flock performance sheet'!F675:F681+'flock performance sheet'!G675:G681)</f>
        <v>0</v>
      </c>
      <c r="D82" s="3">
        <f t="shared" si="7"/>
        <v>0</v>
      </c>
      <c r="E82" s="3">
        <f t="shared" si="10"/>
        <v>0.74</v>
      </c>
      <c r="F82" s="22" cm="1">
        <f t="array" ref="F82">SUM('flock performance sheet'!J675:J681+'flock performance sheet'!K675:K681)</f>
        <v>0</v>
      </c>
      <c r="G82" s="3">
        <f t="shared" si="8"/>
        <v>0</v>
      </c>
      <c r="H82" s="3">
        <f>F82/B4</f>
        <v>0</v>
      </c>
      <c r="I82" s="3">
        <f t="shared" si="11"/>
        <v>0.50593333333333335</v>
      </c>
    </row>
    <row r="83" spans="1:9" x14ac:dyDescent="0.8">
      <c r="A83" s="2">
        <v>98</v>
      </c>
      <c r="B83" s="2">
        <f t="shared" si="9"/>
        <v>29778</v>
      </c>
      <c r="C83" s="22" cm="1">
        <f t="array" ref="C83">SUM('flock performance sheet'!F682:F688+'flock performance sheet'!G682:G688)</f>
        <v>0</v>
      </c>
      <c r="D83" s="3">
        <f t="shared" si="7"/>
        <v>0</v>
      </c>
      <c r="E83" s="3">
        <f t="shared" si="10"/>
        <v>0.74</v>
      </c>
      <c r="F83" s="22" cm="1">
        <f t="array" ref="F83">SUM('flock performance sheet'!J682:J688+'flock performance sheet'!K682:K688)</f>
        <v>0</v>
      </c>
      <c r="G83" s="3">
        <f t="shared" si="8"/>
        <v>0</v>
      </c>
      <c r="H83" s="3">
        <f>F83/B4</f>
        <v>0</v>
      </c>
      <c r="I83" s="3">
        <f t="shared" si="11"/>
        <v>0.50593333333333335</v>
      </c>
    </row>
    <row r="84" spans="1:9" x14ac:dyDescent="0.8">
      <c r="A84" s="2">
        <v>99</v>
      </c>
      <c r="B84" s="2">
        <f t="shared" si="9"/>
        <v>29778</v>
      </c>
      <c r="C84" s="22" cm="1">
        <f t="array" ref="C84">SUM('flock performance sheet'!F689:F695+'flock performance sheet'!G689:G695)</f>
        <v>0</v>
      </c>
      <c r="D84" s="3">
        <f t="shared" si="7"/>
        <v>0</v>
      </c>
      <c r="E84" s="3">
        <f t="shared" si="10"/>
        <v>0.74</v>
      </c>
      <c r="F84" s="22" cm="1">
        <f t="array" ref="F84">SUM('flock performance sheet'!J689:J695+'flock performance sheet'!K689:K695)</f>
        <v>0</v>
      </c>
      <c r="G84" s="3">
        <f t="shared" si="8"/>
        <v>0</v>
      </c>
      <c r="H84" s="3">
        <f>F84/B4</f>
        <v>0</v>
      </c>
      <c r="I84" s="3">
        <f t="shared" si="11"/>
        <v>0.50593333333333335</v>
      </c>
    </row>
    <row r="85" spans="1:9" x14ac:dyDescent="0.8">
      <c r="A85" s="2">
        <v>100</v>
      </c>
      <c r="B85" s="2">
        <f t="shared" si="9"/>
        <v>29778</v>
      </c>
      <c r="C85" s="22" cm="1">
        <f t="array" ref="C85">SUM('flock performance sheet'!F696:F702+'flock performance sheet'!G696:G702)</f>
        <v>0</v>
      </c>
      <c r="D85" s="3">
        <f t="shared" si="7"/>
        <v>0</v>
      </c>
      <c r="E85" s="3">
        <f t="shared" si="10"/>
        <v>0.74</v>
      </c>
      <c r="F85" s="22" cm="1">
        <f t="array" ref="F85">SUM('flock performance sheet'!J696:J702+'flock performance sheet'!K696:K702)</f>
        <v>0</v>
      </c>
      <c r="G85" s="3">
        <f t="shared" si="8"/>
        <v>0</v>
      </c>
      <c r="H85" s="3">
        <f>F85/B4</f>
        <v>0</v>
      </c>
      <c r="I85" s="3">
        <f t="shared" si="11"/>
        <v>0.50593333333333335</v>
      </c>
    </row>
    <row r="87" spans="1:9" x14ac:dyDescent="0.8">
      <c r="D87" s="6" t="s">
        <v>4</v>
      </c>
      <c r="E87" s="7">
        <f>I85</f>
        <v>0.50593333333333335</v>
      </c>
    </row>
    <row r="88" spans="1:9" x14ac:dyDescent="0.8">
      <c r="D88" s="6" t="s">
        <v>10</v>
      </c>
      <c r="E88" s="7">
        <f>E85</f>
        <v>0.74</v>
      </c>
    </row>
  </sheetData>
  <mergeCells count="2">
    <mergeCell ref="A2:D2"/>
    <mergeCell ref="E2:F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ABBC4-3238-40B4-822A-73EE9C6505B3}">
  <dimension ref="A1"/>
  <sheetViews>
    <sheetView zoomScale="61" workbookViewId="0">
      <selection activeCell="Q24" sqref="Q24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86B4D-70DC-4CF5-87EA-28DBFCBF3391}">
  <dimension ref="A1:F5032"/>
  <sheetViews>
    <sheetView workbookViewId="0">
      <selection activeCell="A6" sqref="A6"/>
    </sheetView>
  </sheetViews>
  <sheetFormatPr defaultRowHeight="14.5" x14ac:dyDescent="0.35"/>
  <cols>
    <col min="1" max="1" width="21.81640625" customWidth="1"/>
    <col min="2" max="2" width="11.81640625" customWidth="1"/>
    <col min="3" max="3" width="26.36328125" customWidth="1"/>
    <col min="4" max="4" width="43.6328125" customWidth="1"/>
    <col min="5" max="5" width="18.1796875" customWidth="1"/>
    <col min="6" max="6" width="32.7265625" customWidth="1"/>
  </cols>
  <sheetData>
    <row r="1" spans="1:6" ht="23.5" x14ac:dyDescent="0.55000000000000004">
      <c r="A1" s="23" t="s">
        <v>208</v>
      </c>
      <c r="B1" s="23"/>
      <c r="C1" s="23"/>
      <c r="D1" s="23"/>
      <c r="E1" s="23"/>
      <c r="F1" s="23"/>
    </row>
    <row r="2" spans="1:6" x14ac:dyDescent="0.35">
      <c r="A2" s="24" t="s">
        <v>209</v>
      </c>
      <c r="B2" s="24"/>
      <c r="C2" s="24"/>
      <c r="D2" s="24"/>
      <c r="E2" s="24"/>
      <c r="F2" s="24"/>
    </row>
    <row r="3" spans="1:6" x14ac:dyDescent="0.35">
      <c r="A3" s="25" t="s">
        <v>210</v>
      </c>
      <c r="B3" s="25" t="s">
        <v>211</v>
      </c>
      <c r="C3" s="25" t="s">
        <v>212</v>
      </c>
      <c r="D3" s="25" t="s">
        <v>213</v>
      </c>
      <c r="E3" s="25" t="s">
        <v>214</v>
      </c>
      <c r="F3" s="25" t="s">
        <v>215</v>
      </c>
    </row>
    <row r="4" spans="1:6" ht="43.5" x14ac:dyDescent="0.35">
      <c r="A4" s="26" t="s">
        <v>216</v>
      </c>
      <c r="B4" s="26" t="s">
        <v>217</v>
      </c>
      <c r="C4" s="26" t="s">
        <v>15</v>
      </c>
      <c r="D4" s="28" t="s">
        <v>218</v>
      </c>
      <c r="E4" s="26" t="s">
        <v>219</v>
      </c>
      <c r="F4" s="29" t="s">
        <v>220</v>
      </c>
    </row>
    <row r="5" spans="1:6" ht="29" x14ac:dyDescent="0.35">
      <c r="A5" s="26" t="s">
        <v>216</v>
      </c>
      <c r="B5" s="26" t="s">
        <v>221</v>
      </c>
      <c r="C5" s="26" t="s">
        <v>20</v>
      </c>
      <c r="D5" s="28" t="s">
        <v>222</v>
      </c>
      <c r="E5" s="26">
        <v>13668</v>
      </c>
      <c r="F5" s="29" t="s">
        <v>223</v>
      </c>
    </row>
    <row r="6" spans="1:6" ht="58" x14ac:dyDescent="0.35">
      <c r="A6" s="26" t="s">
        <v>216</v>
      </c>
      <c r="B6" s="26" t="s">
        <v>224</v>
      </c>
      <c r="C6" s="26" t="s">
        <v>25</v>
      </c>
      <c r="D6" s="28" t="s">
        <v>225</v>
      </c>
      <c r="E6" s="26">
        <v>91.308165059999993</v>
      </c>
      <c r="F6" s="29" t="s">
        <v>226</v>
      </c>
    </row>
    <row r="7" spans="1:6" ht="43.5" x14ac:dyDescent="0.35">
      <c r="A7" s="26" t="s">
        <v>216</v>
      </c>
      <c r="B7" s="26" t="s">
        <v>227</v>
      </c>
      <c r="C7" s="26" t="s">
        <v>27</v>
      </c>
      <c r="D7" s="28" t="s">
        <v>228</v>
      </c>
      <c r="E7" s="26">
        <v>-1.8918349430000001</v>
      </c>
      <c r="F7" s="29" t="s">
        <v>229</v>
      </c>
    </row>
    <row r="8" spans="1:6" ht="29" x14ac:dyDescent="0.35">
      <c r="A8" s="26" t="s">
        <v>216</v>
      </c>
      <c r="B8" s="26" t="s">
        <v>230</v>
      </c>
      <c r="C8" s="26" t="s">
        <v>24</v>
      </c>
      <c r="D8" s="28" t="s">
        <v>231</v>
      </c>
      <c r="E8" s="26">
        <v>118.5250219</v>
      </c>
      <c r="F8" s="29" t="s">
        <v>232</v>
      </c>
    </row>
    <row r="9" spans="1:6" ht="43.5" x14ac:dyDescent="0.35">
      <c r="A9" s="26" t="s">
        <v>216</v>
      </c>
      <c r="B9" s="26" t="s">
        <v>233</v>
      </c>
      <c r="C9" s="26" t="s">
        <v>15</v>
      </c>
      <c r="D9" s="28" t="s">
        <v>218</v>
      </c>
      <c r="E9" s="26" t="s">
        <v>234</v>
      </c>
      <c r="F9" s="29" t="s">
        <v>220</v>
      </c>
    </row>
    <row r="10" spans="1:6" ht="29" x14ac:dyDescent="0.35">
      <c r="A10" s="26" t="s">
        <v>216</v>
      </c>
      <c r="B10" s="26" t="s">
        <v>235</v>
      </c>
      <c r="C10" s="26" t="s">
        <v>20</v>
      </c>
      <c r="D10" s="28" t="s">
        <v>236</v>
      </c>
      <c r="E10" s="26">
        <v>13668</v>
      </c>
      <c r="F10" s="29" t="s">
        <v>223</v>
      </c>
    </row>
    <row r="11" spans="1:6" ht="58" x14ac:dyDescent="0.35">
      <c r="A11" s="26" t="s">
        <v>216</v>
      </c>
      <c r="B11" s="26" t="s">
        <v>237</v>
      </c>
      <c r="C11" s="26" t="s">
        <v>25</v>
      </c>
      <c r="D11" s="28" t="s">
        <v>238</v>
      </c>
      <c r="E11" s="26">
        <v>120.888206</v>
      </c>
      <c r="F11" s="29" t="s">
        <v>226</v>
      </c>
    </row>
    <row r="12" spans="1:6" ht="43.5" x14ac:dyDescent="0.35">
      <c r="A12" s="26" t="s">
        <v>216</v>
      </c>
      <c r="B12" s="26" t="s">
        <v>239</v>
      </c>
      <c r="C12" s="26" t="s">
        <v>27</v>
      </c>
      <c r="D12" s="28" t="s">
        <v>240</v>
      </c>
      <c r="E12" s="26">
        <v>27.68820603</v>
      </c>
      <c r="F12" s="29" t="s">
        <v>229</v>
      </c>
    </row>
    <row r="13" spans="1:6" ht="29" x14ac:dyDescent="0.35">
      <c r="A13" s="26" t="s">
        <v>216</v>
      </c>
      <c r="B13" s="26" t="s">
        <v>241</v>
      </c>
      <c r="C13" s="26" t="s">
        <v>24</v>
      </c>
      <c r="D13" s="28" t="s">
        <v>242</v>
      </c>
      <c r="E13" s="26">
        <v>82.089552240000003</v>
      </c>
      <c r="F13" s="29" t="s">
        <v>232</v>
      </c>
    </row>
    <row r="14" spans="1:6" ht="43.5" x14ac:dyDescent="0.35">
      <c r="A14" s="26" t="s">
        <v>216</v>
      </c>
      <c r="B14" s="26" t="s">
        <v>243</v>
      </c>
      <c r="C14" s="26" t="s">
        <v>15</v>
      </c>
      <c r="D14" s="28" t="s">
        <v>218</v>
      </c>
      <c r="E14" s="26" t="s">
        <v>244</v>
      </c>
      <c r="F14" s="29" t="s">
        <v>220</v>
      </c>
    </row>
    <row r="15" spans="1:6" ht="29" x14ac:dyDescent="0.35">
      <c r="A15" s="26" t="s">
        <v>216</v>
      </c>
      <c r="B15" s="26" t="s">
        <v>245</v>
      </c>
      <c r="C15" s="26" t="s">
        <v>17</v>
      </c>
      <c r="D15" s="28" t="s">
        <v>246</v>
      </c>
      <c r="E15" s="26">
        <v>13668</v>
      </c>
      <c r="F15" s="29" t="s">
        <v>247</v>
      </c>
    </row>
    <row r="16" spans="1:6" ht="29" x14ac:dyDescent="0.35">
      <c r="A16" s="26" t="s">
        <v>216</v>
      </c>
      <c r="B16" s="26" t="s">
        <v>248</v>
      </c>
      <c r="C16" s="26" t="s">
        <v>20</v>
      </c>
      <c r="D16" s="28" t="s">
        <v>249</v>
      </c>
      <c r="E16" s="26">
        <v>13658</v>
      </c>
      <c r="F16" s="29" t="s">
        <v>223</v>
      </c>
    </row>
    <row r="17" spans="1:6" ht="58" x14ac:dyDescent="0.35">
      <c r="A17" s="26" t="s">
        <v>216</v>
      </c>
      <c r="B17" s="26" t="s">
        <v>250</v>
      </c>
      <c r="C17" s="26" t="s">
        <v>25</v>
      </c>
      <c r="D17" s="28" t="s">
        <v>251</v>
      </c>
      <c r="E17" s="26">
        <v>98.879777419999996</v>
      </c>
      <c r="F17" s="29" t="s">
        <v>226</v>
      </c>
    </row>
    <row r="18" spans="1:6" ht="43.5" x14ac:dyDescent="0.35">
      <c r="A18" s="26" t="s">
        <v>216</v>
      </c>
      <c r="B18" s="26" t="s">
        <v>252</v>
      </c>
      <c r="C18" s="26" t="s">
        <v>27</v>
      </c>
      <c r="D18" s="28" t="s">
        <v>253</v>
      </c>
      <c r="E18" s="26">
        <v>5.6797774199999997</v>
      </c>
      <c r="F18" s="29" t="s">
        <v>229</v>
      </c>
    </row>
    <row r="19" spans="1:6" ht="29" x14ac:dyDescent="0.35">
      <c r="A19" s="26" t="s">
        <v>216</v>
      </c>
      <c r="B19" s="26" t="s">
        <v>254</v>
      </c>
      <c r="C19" s="26" t="s">
        <v>24</v>
      </c>
      <c r="D19" s="28" t="s">
        <v>255</v>
      </c>
      <c r="E19" s="26">
        <v>118.6118026</v>
      </c>
      <c r="F19" s="29" t="s">
        <v>232</v>
      </c>
    </row>
    <row r="20" spans="1:6" ht="43.5" x14ac:dyDescent="0.35">
      <c r="A20" s="26" t="s">
        <v>216</v>
      </c>
      <c r="B20" s="26" t="s">
        <v>256</v>
      </c>
      <c r="C20" s="26" t="s">
        <v>15</v>
      </c>
      <c r="D20" s="28" t="s">
        <v>218</v>
      </c>
      <c r="E20" s="26" t="s">
        <v>257</v>
      </c>
      <c r="F20" s="29" t="s">
        <v>220</v>
      </c>
    </row>
    <row r="21" spans="1:6" ht="29" x14ac:dyDescent="0.35">
      <c r="A21" s="26" t="s">
        <v>216</v>
      </c>
      <c r="B21" s="26" t="s">
        <v>258</v>
      </c>
      <c r="C21" s="26" t="s">
        <v>17</v>
      </c>
      <c r="D21" s="28" t="s">
        <v>259</v>
      </c>
      <c r="E21" s="26">
        <v>13658</v>
      </c>
      <c r="F21" s="29" t="s">
        <v>247</v>
      </c>
    </row>
    <row r="22" spans="1:6" ht="29" x14ac:dyDescent="0.35">
      <c r="A22" s="26" t="s">
        <v>216</v>
      </c>
      <c r="B22" s="26" t="s">
        <v>260</v>
      </c>
      <c r="C22" s="26" t="s">
        <v>20</v>
      </c>
      <c r="D22" s="28" t="s">
        <v>261</v>
      </c>
      <c r="E22" s="26">
        <v>13658</v>
      </c>
      <c r="F22" s="29" t="s">
        <v>223</v>
      </c>
    </row>
    <row r="23" spans="1:6" ht="58" x14ac:dyDescent="0.35">
      <c r="A23" s="26" t="s">
        <v>216</v>
      </c>
      <c r="B23" s="26" t="s">
        <v>262</v>
      </c>
      <c r="C23" s="26" t="s">
        <v>25</v>
      </c>
      <c r="D23" s="28" t="s">
        <v>263</v>
      </c>
      <c r="E23" s="26">
        <v>0</v>
      </c>
      <c r="F23" s="29" t="s">
        <v>226</v>
      </c>
    </row>
    <row r="24" spans="1:6" ht="43.5" x14ac:dyDescent="0.35">
      <c r="A24" s="26" t="s">
        <v>216</v>
      </c>
      <c r="B24" s="26" t="s">
        <v>264</v>
      </c>
      <c r="C24" s="26" t="s">
        <v>27</v>
      </c>
      <c r="D24" s="28" t="s">
        <v>265</v>
      </c>
      <c r="E24" s="26">
        <v>-93.2</v>
      </c>
      <c r="F24" s="29" t="s">
        <v>229</v>
      </c>
    </row>
    <row r="25" spans="1:6" ht="29" x14ac:dyDescent="0.35">
      <c r="A25" s="26" t="s">
        <v>216</v>
      </c>
      <c r="B25" s="26" t="s">
        <v>266</v>
      </c>
      <c r="C25" s="26" t="s">
        <v>24</v>
      </c>
      <c r="D25" s="28" t="s">
        <v>267</v>
      </c>
      <c r="E25" s="26">
        <v>0</v>
      </c>
      <c r="F25" s="29" t="s">
        <v>232</v>
      </c>
    </row>
    <row r="26" spans="1:6" ht="43.5" x14ac:dyDescent="0.35">
      <c r="A26" s="26" t="s">
        <v>216</v>
      </c>
      <c r="B26" s="26" t="s">
        <v>268</v>
      </c>
      <c r="C26" s="26" t="s">
        <v>15</v>
      </c>
      <c r="D26" s="28" t="s">
        <v>218</v>
      </c>
      <c r="E26" s="26" t="s">
        <v>269</v>
      </c>
      <c r="F26" s="29" t="s">
        <v>220</v>
      </c>
    </row>
    <row r="27" spans="1:6" ht="29" x14ac:dyDescent="0.35">
      <c r="A27" s="26" t="s">
        <v>216</v>
      </c>
      <c r="B27" s="26" t="s">
        <v>270</v>
      </c>
      <c r="C27" s="26" t="s">
        <v>17</v>
      </c>
      <c r="D27" s="28" t="s">
        <v>271</v>
      </c>
      <c r="E27" s="26">
        <v>13658</v>
      </c>
      <c r="F27" s="29" t="s">
        <v>247</v>
      </c>
    </row>
    <row r="28" spans="1:6" ht="29" x14ac:dyDescent="0.35">
      <c r="A28" s="26" t="s">
        <v>216</v>
      </c>
      <c r="B28" s="26" t="s">
        <v>272</v>
      </c>
      <c r="C28" s="26" t="s">
        <v>20</v>
      </c>
      <c r="D28" s="28" t="s">
        <v>273</v>
      </c>
      <c r="E28" s="26">
        <v>13658</v>
      </c>
      <c r="F28" s="29" t="s">
        <v>223</v>
      </c>
    </row>
    <row r="29" spans="1:6" ht="58" x14ac:dyDescent="0.35">
      <c r="A29" s="26" t="s">
        <v>216</v>
      </c>
      <c r="B29" s="26" t="s">
        <v>274</v>
      </c>
      <c r="C29" s="26" t="s">
        <v>25</v>
      </c>
      <c r="D29" s="28" t="s">
        <v>275</v>
      </c>
      <c r="E29" s="26">
        <v>0</v>
      </c>
      <c r="F29" s="29" t="s">
        <v>226</v>
      </c>
    </row>
    <row r="30" spans="1:6" ht="43.5" x14ac:dyDescent="0.35">
      <c r="A30" s="26" t="s">
        <v>216</v>
      </c>
      <c r="B30" s="26" t="s">
        <v>276</v>
      </c>
      <c r="C30" s="26" t="s">
        <v>27</v>
      </c>
      <c r="D30" s="28" t="s">
        <v>277</v>
      </c>
      <c r="E30" s="26">
        <v>-93.2</v>
      </c>
      <c r="F30" s="29" t="s">
        <v>229</v>
      </c>
    </row>
    <row r="31" spans="1:6" ht="29" x14ac:dyDescent="0.35">
      <c r="A31" s="26" t="s">
        <v>216</v>
      </c>
      <c r="B31" s="26" t="s">
        <v>278</v>
      </c>
      <c r="C31" s="26" t="s">
        <v>24</v>
      </c>
      <c r="D31" s="28" t="s">
        <v>279</v>
      </c>
      <c r="E31" s="26">
        <v>0</v>
      </c>
      <c r="F31" s="29" t="s">
        <v>232</v>
      </c>
    </row>
    <row r="32" spans="1:6" ht="43.5" x14ac:dyDescent="0.35">
      <c r="A32" s="26" t="s">
        <v>216</v>
      </c>
      <c r="B32" s="26" t="s">
        <v>280</v>
      </c>
      <c r="C32" s="26" t="s">
        <v>15</v>
      </c>
      <c r="D32" s="28" t="s">
        <v>218</v>
      </c>
      <c r="E32" s="26" t="s">
        <v>281</v>
      </c>
      <c r="F32" s="29" t="s">
        <v>220</v>
      </c>
    </row>
    <row r="33" spans="1:6" ht="29" x14ac:dyDescent="0.35">
      <c r="A33" s="26" t="s">
        <v>216</v>
      </c>
      <c r="B33" s="26" t="s">
        <v>282</v>
      </c>
      <c r="C33" s="26" t="s">
        <v>17</v>
      </c>
      <c r="D33" s="28" t="s">
        <v>283</v>
      </c>
      <c r="E33" s="26">
        <v>13658</v>
      </c>
      <c r="F33" s="29" t="s">
        <v>247</v>
      </c>
    </row>
    <row r="34" spans="1:6" ht="29" x14ac:dyDescent="0.35">
      <c r="A34" s="26" t="s">
        <v>216</v>
      </c>
      <c r="B34" s="26" t="s">
        <v>284</v>
      </c>
      <c r="C34" s="26" t="s">
        <v>20</v>
      </c>
      <c r="D34" s="28" t="s">
        <v>285</v>
      </c>
      <c r="E34" s="26">
        <v>13658</v>
      </c>
      <c r="F34" s="29" t="s">
        <v>223</v>
      </c>
    </row>
    <row r="35" spans="1:6" ht="58" x14ac:dyDescent="0.35">
      <c r="A35" s="26" t="s">
        <v>216</v>
      </c>
      <c r="B35" s="26" t="s">
        <v>286</v>
      </c>
      <c r="C35" s="26" t="s">
        <v>25</v>
      </c>
      <c r="D35" s="28" t="s">
        <v>287</v>
      </c>
      <c r="E35" s="26">
        <v>0</v>
      </c>
      <c r="F35" s="29" t="s">
        <v>226</v>
      </c>
    </row>
    <row r="36" spans="1:6" ht="43.5" x14ac:dyDescent="0.35">
      <c r="A36" s="26" t="s">
        <v>216</v>
      </c>
      <c r="B36" s="26" t="s">
        <v>288</v>
      </c>
      <c r="C36" s="26" t="s">
        <v>27</v>
      </c>
      <c r="D36" s="28" t="s">
        <v>289</v>
      </c>
      <c r="E36" s="26">
        <v>-93.2</v>
      </c>
      <c r="F36" s="29" t="s">
        <v>229</v>
      </c>
    </row>
    <row r="37" spans="1:6" ht="29" x14ac:dyDescent="0.35">
      <c r="A37" s="26" t="s">
        <v>216</v>
      </c>
      <c r="B37" s="26" t="s">
        <v>290</v>
      </c>
      <c r="C37" s="26" t="s">
        <v>24</v>
      </c>
      <c r="D37" s="28" t="s">
        <v>291</v>
      </c>
      <c r="E37" s="26">
        <v>0</v>
      </c>
      <c r="F37" s="29" t="s">
        <v>232</v>
      </c>
    </row>
    <row r="38" spans="1:6" ht="43.5" x14ac:dyDescent="0.35">
      <c r="A38" s="26" t="s">
        <v>216</v>
      </c>
      <c r="B38" s="26" t="s">
        <v>292</v>
      </c>
      <c r="C38" s="26" t="s">
        <v>15</v>
      </c>
      <c r="D38" s="28" t="s">
        <v>218</v>
      </c>
      <c r="E38" s="26" t="s">
        <v>293</v>
      </c>
      <c r="F38" s="29" t="s">
        <v>220</v>
      </c>
    </row>
    <row r="39" spans="1:6" ht="29" x14ac:dyDescent="0.35">
      <c r="A39" s="26" t="s">
        <v>216</v>
      </c>
      <c r="B39" s="26" t="s">
        <v>294</v>
      </c>
      <c r="C39" s="26" t="s">
        <v>17</v>
      </c>
      <c r="D39" s="28" t="s">
        <v>295</v>
      </c>
      <c r="E39" s="26">
        <v>13658</v>
      </c>
      <c r="F39" s="29" t="s">
        <v>247</v>
      </c>
    </row>
    <row r="40" spans="1:6" ht="29" x14ac:dyDescent="0.35">
      <c r="A40" s="26" t="s">
        <v>216</v>
      </c>
      <c r="B40" s="26" t="s">
        <v>296</v>
      </c>
      <c r="C40" s="26" t="s">
        <v>20</v>
      </c>
      <c r="D40" s="28" t="s">
        <v>297</v>
      </c>
      <c r="E40" s="26">
        <v>13658</v>
      </c>
      <c r="F40" s="29" t="s">
        <v>223</v>
      </c>
    </row>
    <row r="41" spans="1:6" ht="58" x14ac:dyDescent="0.35">
      <c r="A41" s="26" t="s">
        <v>216</v>
      </c>
      <c r="B41" s="26" t="s">
        <v>298</v>
      </c>
      <c r="C41" s="26" t="s">
        <v>25</v>
      </c>
      <c r="D41" s="28" t="s">
        <v>299</v>
      </c>
      <c r="E41" s="26">
        <v>0</v>
      </c>
      <c r="F41" s="29" t="s">
        <v>226</v>
      </c>
    </row>
    <row r="42" spans="1:6" ht="43.5" x14ac:dyDescent="0.35">
      <c r="A42" s="26" t="s">
        <v>216</v>
      </c>
      <c r="B42" s="26" t="s">
        <v>300</v>
      </c>
      <c r="C42" s="26" t="s">
        <v>27</v>
      </c>
      <c r="D42" s="28" t="s">
        <v>301</v>
      </c>
      <c r="E42" s="26">
        <v>-93.2</v>
      </c>
      <c r="F42" s="29" t="s">
        <v>229</v>
      </c>
    </row>
    <row r="43" spans="1:6" ht="29" x14ac:dyDescent="0.35">
      <c r="A43" s="26" t="s">
        <v>216</v>
      </c>
      <c r="B43" s="26" t="s">
        <v>302</v>
      </c>
      <c r="C43" s="26" t="s">
        <v>24</v>
      </c>
      <c r="D43" s="28" t="s">
        <v>303</v>
      </c>
      <c r="E43" s="26">
        <v>0</v>
      </c>
      <c r="F43" s="29" t="s">
        <v>232</v>
      </c>
    </row>
    <row r="44" spans="1:6" ht="43.5" x14ac:dyDescent="0.35">
      <c r="A44" s="26" t="s">
        <v>216</v>
      </c>
      <c r="B44" s="26" t="s">
        <v>304</v>
      </c>
      <c r="C44" s="26" t="s">
        <v>15</v>
      </c>
      <c r="D44" s="28" t="s">
        <v>218</v>
      </c>
      <c r="E44" s="26" t="s">
        <v>305</v>
      </c>
      <c r="F44" s="29" t="s">
        <v>220</v>
      </c>
    </row>
    <row r="45" spans="1:6" ht="29" x14ac:dyDescent="0.35">
      <c r="A45" s="26" t="s">
        <v>216</v>
      </c>
      <c r="B45" s="26" t="s">
        <v>306</v>
      </c>
      <c r="C45" s="26" t="s">
        <v>17</v>
      </c>
      <c r="D45" s="28" t="s">
        <v>307</v>
      </c>
      <c r="E45" s="26">
        <v>13658</v>
      </c>
      <c r="F45" s="29" t="s">
        <v>247</v>
      </c>
    </row>
    <row r="46" spans="1:6" ht="29" x14ac:dyDescent="0.35">
      <c r="A46" s="26" t="s">
        <v>216</v>
      </c>
      <c r="B46" s="26" t="s">
        <v>308</v>
      </c>
      <c r="C46" s="26" t="s">
        <v>20</v>
      </c>
      <c r="D46" s="28" t="s">
        <v>309</v>
      </c>
      <c r="E46" s="26">
        <v>13658</v>
      </c>
      <c r="F46" s="29" t="s">
        <v>223</v>
      </c>
    </row>
    <row r="47" spans="1:6" ht="58" x14ac:dyDescent="0.35">
      <c r="A47" s="26" t="s">
        <v>216</v>
      </c>
      <c r="B47" s="26" t="s">
        <v>310</v>
      </c>
      <c r="C47" s="26" t="s">
        <v>25</v>
      </c>
      <c r="D47" s="28" t="s">
        <v>311</v>
      </c>
      <c r="E47" s="26">
        <v>0</v>
      </c>
      <c r="F47" s="29" t="s">
        <v>226</v>
      </c>
    </row>
    <row r="48" spans="1:6" ht="43.5" x14ac:dyDescent="0.35">
      <c r="A48" s="26" t="s">
        <v>216</v>
      </c>
      <c r="B48" s="26" t="s">
        <v>312</v>
      </c>
      <c r="C48" s="26" t="s">
        <v>27</v>
      </c>
      <c r="D48" s="28" t="s">
        <v>313</v>
      </c>
      <c r="E48" s="26">
        <v>-93.2</v>
      </c>
      <c r="F48" s="29" t="s">
        <v>229</v>
      </c>
    </row>
    <row r="49" spans="1:6" ht="29" x14ac:dyDescent="0.35">
      <c r="A49" s="26" t="s">
        <v>216</v>
      </c>
      <c r="B49" s="26" t="s">
        <v>314</v>
      </c>
      <c r="C49" s="26" t="s">
        <v>24</v>
      </c>
      <c r="D49" s="28" t="s">
        <v>315</v>
      </c>
      <c r="E49" s="26">
        <v>0</v>
      </c>
      <c r="F49" s="29" t="s">
        <v>232</v>
      </c>
    </row>
    <row r="50" spans="1:6" ht="43.5" x14ac:dyDescent="0.35">
      <c r="A50" s="26" t="s">
        <v>216</v>
      </c>
      <c r="B50" s="26" t="s">
        <v>316</v>
      </c>
      <c r="C50" s="26" t="s">
        <v>15</v>
      </c>
      <c r="D50" s="28" t="s">
        <v>218</v>
      </c>
      <c r="E50" s="26" t="s">
        <v>317</v>
      </c>
      <c r="F50" s="29" t="s">
        <v>220</v>
      </c>
    </row>
    <row r="51" spans="1:6" ht="29" x14ac:dyDescent="0.35">
      <c r="A51" s="26" t="s">
        <v>216</v>
      </c>
      <c r="B51" s="26" t="s">
        <v>318</v>
      </c>
      <c r="C51" s="26" t="s">
        <v>17</v>
      </c>
      <c r="D51" s="28" t="s">
        <v>319</v>
      </c>
      <c r="E51" s="26">
        <v>13658</v>
      </c>
      <c r="F51" s="29" t="s">
        <v>247</v>
      </c>
    </row>
    <row r="52" spans="1:6" ht="29" x14ac:dyDescent="0.35">
      <c r="A52" s="26" t="s">
        <v>216</v>
      </c>
      <c r="B52" s="26" t="s">
        <v>320</v>
      </c>
      <c r="C52" s="26" t="s">
        <v>20</v>
      </c>
      <c r="D52" s="28" t="s">
        <v>321</v>
      </c>
      <c r="E52" s="26">
        <v>13658</v>
      </c>
      <c r="F52" s="29" t="s">
        <v>223</v>
      </c>
    </row>
    <row r="53" spans="1:6" ht="58" x14ac:dyDescent="0.35">
      <c r="A53" s="26" t="s">
        <v>216</v>
      </c>
      <c r="B53" s="26" t="s">
        <v>322</v>
      </c>
      <c r="C53" s="26" t="s">
        <v>25</v>
      </c>
      <c r="D53" s="28" t="s">
        <v>323</v>
      </c>
      <c r="E53" s="26">
        <v>0</v>
      </c>
      <c r="F53" s="29" t="s">
        <v>226</v>
      </c>
    </row>
    <row r="54" spans="1:6" ht="43.5" x14ac:dyDescent="0.35">
      <c r="A54" s="26" t="s">
        <v>216</v>
      </c>
      <c r="B54" s="26" t="s">
        <v>324</v>
      </c>
      <c r="C54" s="26" t="s">
        <v>27</v>
      </c>
      <c r="D54" s="28" t="s">
        <v>325</v>
      </c>
      <c r="E54" s="26">
        <v>-93.2</v>
      </c>
      <c r="F54" s="29" t="s">
        <v>229</v>
      </c>
    </row>
    <row r="55" spans="1:6" ht="29" x14ac:dyDescent="0.35">
      <c r="A55" s="26" t="s">
        <v>216</v>
      </c>
      <c r="B55" s="26" t="s">
        <v>326</v>
      </c>
      <c r="C55" s="26" t="s">
        <v>24</v>
      </c>
      <c r="D55" s="28" t="s">
        <v>327</v>
      </c>
      <c r="E55" s="26">
        <v>0</v>
      </c>
      <c r="F55" s="29" t="s">
        <v>232</v>
      </c>
    </row>
    <row r="56" spans="1:6" ht="43.5" x14ac:dyDescent="0.35">
      <c r="A56" s="26" t="s">
        <v>216</v>
      </c>
      <c r="B56" s="26" t="s">
        <v>328</v>
      </c>
      <c r="C56" s="26" t="s">
        <v>15</v>
      </c>
      <c r="D56" s="28" t="s">
        <v>218</v>
      </c>
      <c r="E56" s="26" t="s">
        <v>329</v>
      </c>
      <c r="F56" s="29" t="s">
        <v>220</v>
      </c>
    </row>
    <row r="57" spans="1:6" ht="29" x14ac:dyDescent="0.35">
      <c r="A57" s="26" t="s">
        <v>216</v>
      </c>
      <c r="B57" s="26" t="s">
        <v>330</v>
      </c>
      <c r="C57" s="26" t="s">
        <v>17</v>
      </c>
      <c r="D57" s="28" t="s">
        <v>331</v>
      </c>
      <c r="E57" s="26">
        <v>13658</v>
      </c>
      <c r="F57" s="29" t="s">
        <v>247</v>
      </c>
    </row>
    <row r="58" spans="1:6" ht="29" x14ac:dyDescent="0.35">
      <c r="A58" s="26" t="s">
        <v>216</v>
      </c>
      <c r="B58" s="26" t="s">
        <v>332</v>
      </c>
      <c r="C58" s="26" t="s">
        <v>20</v>
      </c>
      <c r="D58" s="28" t="s">
        <v>333</v>
      </c>
      <c r="E58" s="26">
        <v>13658</v>
      </c>
      <c r="F58" s="29" t="s">
        <v>223</v>
      </c>
    </row>
    <row r="59" spans="1:6" ht="58" x14ac:dyDescent="0.35">
      <c r="A59" s="26" t="s">
        <v>216</v>
      </c>
      <c r="B59" s="26" t="s">
        <v>334</v>
      </c>
      <c r="C59" s="26" t="s">
        <v>25</v>
      </c>
      <c r="D59" s="28" t="s">
        <v>335</v>
      </c>
      <c r="E59" s="26">
        <v>0</v>
      </c>
      <c r="F59" s="29" t="s">
        <v>226</v>
      </c>
    </row>
    <row r="60" spans="1:6" ht="43.5" x14ac:dyDescent="0.35">
      <c r="A60" s="26" t="s">
        <v>216</v>
      </c>
      <c r="B60" s="26" t="s">
        <v>336</v>
      </c>
      <c r="C60" s="26" t="s">
        <v>27</v>
      </c>
      <c r="D60" s="28" t="s">
        <v>337</v>
      </c>
      <c r="E60" s="26">
        <v>-93.2</v>
      </c>
      <c r="F60" s="29" t="s">
        <v>229</v>
      </c>
    </row>
    <row r="61" spans="1:6" ht="29" x14ac:dyDescent="0.35">
      <c r="A61" s="26" t="s">
        <v>216</v>
      </c>
      <c r="B61" s="26" t="s">
        <v>338</v>
      </c>
      <c r="C61" s="26" t="s">
        <v>24</v>
      </c>
      <c r="D61" s="28" t="s">
        <v>339</v>
      </c>
      <c r="E61" s="26">
        <v>0</v>
      </c>
      <c r="F61" s="29" t="s">
        <v>232</v>
      </c>
    </row>
    <row r="62" spans="1:6" ht="43.5" x14ac:dyDescent="0.35">
      <c r="A62" s="26" t="s">
        <v>216</v>
      </c>
      <c r="B62" s="26" t="s">
        <v>340</v>
      </c>
      <c r="C62" s="26" t="s">
        <v>15</v>
      </c>
      <c r="D62" s="28" t="s">
        <v>218</v>
      </c>
      <c r="E62" s="26" t="s">
        <v>341</v>
      </c>
      <c r="F62" s="29" t="s">
        <v>220</v>
      </c>
    </row>
    <row r="63" spans="1:6" ht="29" x14ac:dyDescent="0.35">
      <c r="A63" s="26" t="s">
        <v>216</v>
      </c>
      <c r="B63" s="26" t="s">
        <v>342</v>
      </c>
      <c r="C63" s="26" t="s">
        <v>17</v>
      </c>
      <c r="D63" s="28" t="s">
        <v>343</v>
      </c>
      <c r="E63" s="26">
        <v>13658</v>
      </c>
      <c r="F63" s="29" t="s">
        <v>247</v>
      </c>
    </row>
    <row r="64" spans="1:6" ht="29" x14ac:dyDescent="0.35">
      <c r="A64" s="26" t="s">
        <v>216</v>
      </c>
      <c r="B64" s="26" t="s">
        <v>344</v>
      </c>
      <c r="C64" s="26" t="s">
        <v>20</v>
      </c>
      <c r="D64" s="28" t="s">
        <v>345</v>
      </c>
      <c r="E64" s="26">
        <v>13658</v>
      </c>
      <c r="F64" s="29" t="s">
        <v>223</v>
      </c>
    </row>
    <row r="65" spans="1:6" ht="58" x14ac:dyDescent="0.35">
      <c r="A65" s="26" t="s">
        <v>216</v>
      </c>
      <c r="B65" s="26" t="s">
        <v>346</v>
      </c>
      <c r="C65" s="26" t="s">
        <v>25</v>
      </c>
      <c r="D65" s="28" t="s">
        <v>347</v>
      </c>
      <c r="E65" s="26">
        <v>0</v>
      </c>
      <c r="F65" s="29" t="s">
        <v>226</v>
      </c>
    </row>
    <row r="66" spans="1:6" ht="43.5" x14ac:dyDescent="0.35">
      <c r="A66" s="26" t="s">
        <v>216</v>
      </c>
      <c r="B66" s="26" t="s">
        <v>348</v>
      </c>
      <c r="C66" s="26" t="s">
        <v>27</v>
      </c>
      <c r="D66" s="28" t="s">
        <v>349</v>
      </c>
      <c r="E66" s="26">
        <v>-93.2</v>
      </c>
      <c r="F66" s="29" t="s">
        <v>229</v>
      </c>
    </row>
    <row r="67" spans="1:6" ht="29" x14ac:dyDescent="0.35">
      <c r="A67" s="26" t="s">
        <v>216</v>
      </c>
      <c r="B67" s="26" t="s">
        <v>350</v>
      </c>
      <c r="C67" s="26" t="s">
        <v>24</v>
      </c>
      <c r="D67" s="28" t="s">
        <v>351</v>
      </c>
      <c r="E67" s="26">
        <v>0</v>
      </c>
      <c r="F67" s="29" t="s">
        <v>232</v>
      </c>
    </row>
    <row r="68" spans="1:6" ht="43.5" x14ac:dyDescent="0.35">
      <c r="A68" s="26" t="s">
        <v>216</v>
      </c>
      <c r="B68" s="26" t="s">
        <v>352</v>
      </c>
      <c r="C68" s="26" t="s">
        <v>15</v>
      </c>
      <c r="D68" s="28" t="s">
        <v>218</v>
      </c>
      <c r="E68" s="26" t="s">
        <v>353</v>
      </c>
      <c r="F68" s="29" t="s">
        <v>220</v>
      </c>
    </row>
    <row r="69" spans="1:6" ht="29" x14ac:dyDescent="0.35">
      <c r="A69" s="26" t="s">
        <v>216</v>
      </c>
      <c r="B69" s="26" t="s">
        <v>354</v>
      </c>
      <c r="C69" s="26" t="s">
        <v>17</v>
      </c>
      <c r="D69" s="28" t="s">
        <v>355</v>
      </c>
      <c r="E69" s="26">
        <v>13658</v>
      </c>
      <c r="F69" s="29" t="s">
        <v>247</v>
      </c>
    </row>
    <row r="70" spans="1:6" ht="29" x14ac:dyDescent="0.35">
      <c r="A70" s="26" t="s">
        <v>216</v>
      </c>
      <c r="B70" s="26" t="s">
        <v>356</v>
      </c>
      <c r="C70" s="26" t="s">
        <v>20</v>
      </c>
      <c r="D70" s="28" t="s">
        <v>357</v>
      </c>
      <c r="E70" s="26">
        <v>13658</v>
      </c>
      <c r="F70" s="29" t="s">
        <v>223</v>
      </c>
    </row>
    <row r="71" spans="1:6" ht="58" x14ac:dyDescent="0.35">
      <c r="A71" s="26" t="s">
        <v>216</v>
      </c>
      <c r="B71" s="26" t="s">
        <v>358</v>
      </c>
      <c r="C71" s="26" t="s">
        <v>25</v>
      </c>
      <c r="D71" s="28" t="s">
        <v>359</v>
      </c>
      <c r="E71" s="26">
        <v>0</v>
      </c>
      <c r="F71" s="29" t="s">
        <v>226</v>
      </c>
    </row>
    <row r="72" spans="1:6" ht="43.5" x14ac:dyDescent="0.35">
      <c r="A72" s="26" t="s">
        <v>216</v>
      </c>
      <c r="B72" s="26" t="s">
        <v>360</v>
      </c>
      <c r="C72" s="26" t="s">
        <v>27</v>
      </c>
      <c r="D72" s="28" t="s">
        <v>361</v>
      </c>
      <c r="E72" s="26">
        <v>-93.2</v>
      </c>
      <c r="F72" s="29" t="s">
        <v>229</v>
      </c>
    </row>
    <row r="73" spans="1:6" ht="29" x14ac:dyDescent="0.35">
      <c r="A73" s="26" t="s">
        <v>216</v>
      </c>
      <c r="B73" s="26" t="s">
        <v>362</v>
      </c>
      <c r="C73" s="26" t="s">
        <v>24</v>
      </c>
      <c r="D73" s="28" t="s">
        <v>363</v>
      </c>
      <c r="E73" s="26">
        <v>0</v>
      </c>
      <c r="F73" s="29" t="s">
        <v>232</v>
      </c>
    </row>
    <row r="74" spans="1:6" ht="43.5" x14ac:dyDescent="0.35">
      <c r="A74" s="26" t="s">
        <v>216</v>
      </c>
      <c r="B74" s="26" t="s">
        <v>364</v>
      </c>
      <c r="C74" s="26" t="s">
        <v>15</v>
      </c>
      <c r="D74" s="28" t="s">
        <v>218</v>
      </c>
      <c r="E74" s="26" t="s">
        <v>365</v>
      </c>
      <c r="F74" s="29" t="s">
        <v>220</v>
      </c>
    </row>
    <row r="75" spans="1:6" ht="29" x14ac:dyDescent="0.35">
      <c r="A75" s="26" t="s">
        <v>216</v>
      </c>
      <c r="B75" s="26" t="s">
        <v>366</v>
      </c>
      <c r="C75" s="26" t="s">
        <v>17</v>
      </c>
      <c r="D75" s="28" t="s">
        <v>367</v>
      </c>
      <c r="E75" s="26">
        <v>13658</v>
      </c>
      <c r="F75" s="29" t="s">
        <v>247</v>
      </c>
    </row>
    <row r="76" spans="1:6" ht="29" x14ac:dyDescent="0.35">
      <c r="A76" s="26" t="s">
        <v>216</v>
      </c>
      <c r="B76" s="26" t="s">
        <v>368</v>
      </c>
      <c r="C76" s="26" t="s">
        <v>20</v>
      </c>
      <c r="D76" s="28" t="s">
        <v>369</v>
      </c>
      <c r="E76" s="26">
        <v>13658</v>
      </c>
      <c r="F76" s="29" t="s">
        <v>223</v>
      </c>
    </row>
    <row r="77" spans="1:6" ht="58" x14ac:dyDescent="0.35">
      <c r="A77" s="26" t="s">
        <v>216</v>
      </c>
      <c r="B77" s="26" t="s">
        <v>370</v>
      </c>
      <c r="C77" s="26" t="s">
        <v>25</v>
      </c>
      <c r="D77" s="28" t="s">
        <v>371</v>
      </c>
      <c r="E77" s="26">
        <v>0</v>
      </c>
      <c r="F77" s="29" t="s">
        <v>226</v>
      </c>
    </row>
    <row r="78" spans="1:6" ht="43.5" x14ac:dyDescent="0.35">
      <c r="A78" s="26" t="s">
        <v>216</v>
      </c>
      <c r="B78" s="26" t="s">
        <v>372</v>
      </c>
      <c r="C78" s="26" t="s">
        <v>27</v>
      </c>
      <c r="D78" s="28" t="s">
        <v>373</v>
      </c>
      <c r="E78" s="26">
        <v>-93.2</v>
      </c>
      <c r="F78" s="29" t="s">
        <v>229</v>
      </c>
    </row>
    <row r="79" spans="1:6" ht="29" x14ac:dyDescent="0.35">
      <c r="A79" s="26" t="s">
        <v>216</v>
      </c>
      <c r="B79" s="26" t="s">
        <v>374</v>
      </c>
      <c r="C79" s="26" t="s">
        <v>24</v>
      </c>
      <c r="D79" s="28" t="s">
        <v>375</v>
      </c>
      <c r="E79" s="26">
        <v>0</v>
      </c>
      <c r="F79" s="29" t="s">
        <v>232</v>
      </c>
    </row>
    <row r="80" spans="1:6" ht="43.5" x14ac:dyDescent="0.35">
      <c r="A80" s="26" t="s">
        <v>216</v>
      </c>
      <c r="B80" s="26" t="s">
        <v>376</v>
      </c>
      <c r="C80" s="26" t="s">
        <v>15</v>
      </c>
      <c r="D80" s="28" t="s">
        <v>218</v>
      </c>
      <c r="E80" s="26" t="s">
        <v>377</v>
      </c>
      <c r="F80" s="29" t="s">
        <v>220</v>
      </c>
    </row>
    <row r="81" spans="1:6" ht="29" x14ac:dyDescent="0.35">
      <c r="A81" s="26" t="s">
        <v>216</v>
      </c>
      <c r="B81" s="26" t="s">
        <v>378</v>
      </c>
      <c r="C81" s="26" t="s">
        <v>17</v>
      </c>
      <c r="D81" s="28" t="s">
        <v>379</v>
      </c>
      <c r="E81" s="26">
        <v>13658</v>
      </c>
      <c r="F81" s="29" t="s">
        <v>247</v>
      </c>
    </row>
    <row r="82" spans="1:6" ht="29" x14ac:dyDescent="0.35">
      <c r="A82" s="26" t="s">
        <v>216</v>
      </c>
      <c r="B82" s="26" t="s">
        <v>380</v>
      </c>
      <c r="C82" s="26" t="s">
        <v>20</v>
      </c>
      <c r="D82" s="28" t="s">
        <v>381</v>
      </c>
      <c r="E82" s="26">
        <v>13658</v>
      </c>
      <c r="F82" s="29" t="s">
        <v>223</v>
      </c>
    </row>
    <row r="83" spans="1:6" ht="58" x14ac:dyDescent="0.35">
      <c r="A83" s="26" t="s">
        <v>216</v>
      </c>
      <c r="B83" s="26" t="s">
        <v>382</v>
      </c>
      <c r="C83" s="26" t="s">
        <v>25</v>
      </c>
      <c r="D83" s="28" t="s">
        <v>383</v>
      </c>
      <c r="E83" s="26">
        <v>0</v>
      </c>
      <c r="F83" s="29" t="s">
        <v>226</v>
      </c>
    </row>
    <row r="84" spans="1:6" ht="43.5" x14ac:dyDescent="0.35">
      <c r="A84" s="26" t="s">
        <v>216</v>
      </c>
      <c r="B84" s="26" t="s">
        <v>384</v>
      </c>
      <c r="C84" s="26" t="s">
        <v>27</v>
      </c>
      <c r="D84" s="28" t="s">
        <v>385</v>
      </c>
      <c r="E84" s="26">
        <v>-93.2</v>
      </c>
      <c r="F84" s="29" t="s">
        <v>229</v>
      </c>
    </row>
    <row r="85" spans="1:6" ht="29" x14ac:dyDescent="0.35">
      <c r="A85" s="26" t="s">
        <v>216</v>
      </c>
      <c r="B85" s="26" t="s">
        <v>386</v>
      </c>
      <c r="C85" s="26" t="s">
        <v>24</v>
      </c>
      <c r="D85" s="28" t="s">
        <v>387</v>
      </c>
      <c r="E85" s="26">
        <v>0</v>
      </c>
      <c r="F85" s="29" t="s">
        <v>232</v>
      </c>
    </row>
    <row r="86" spans="1:6" ht="43.5" x14ac:dyDescent="0.35">
      <c r="A86" s="26" t="s">
        <v>216</v>
      </c>
      <c r="B86" s="26" t="s">
        <v>388</v>
      </c>
      <c r="C86" s="26" t="s">
        <v>15</v>
      </c>
      <c r="D86" s="28" t="s">
        <v>218</v>
      </c>
      <c r="E86" s="26" t="s">
        <v>389</v>
      </c>
      <c r="F86" s="29" t="s">
        <v>220</v>
      </c>
    </row>
    <row r="87" spans="1:6" ht="29" x14ac:dyDescent="0.35">
      <c r="A87" s="26" t="s">
        <v>216</v>
      </c>
      <c r="B87" s="26" t="s">
        <v>390</v>
      </c>
      <c r="C87" s="26" t="s">
        <v>17</v>
      </c>
      <c r="D87" s="28" t="s">
        <v>391</v>
      </c>
      <c r="E87" s="26">
        <v>13658</v>
      </c>
      <c r="F87" s="29" t="s">
        <v>247</v>
      </c>
    </row>
    <row r="88" spans="1:6" ht="29" x14ac:dyDescent="0.35">
      <c r="A88" s="26" t="s">
        <v>216</v>
      </c>
      <c r="B88" s="26" t="s">
        <v>392</v>
      </c>
      <c r="C88" s="26" t="s">
        <v>20</v>
      </c>
      <c r="D88" s="28" t="s">
        <v>393</v>
      </c>
      <c r="E88" s="26">
        <v>13658</v>
      </c>
      <c r="F88" s="29" t="s">
        <v>223</v>
      </c>
    </row>
    <row r="89" spans="1:6" ht="58" x14ac:dyDescent="0.35">
      <c r="A89" s="26" t="s">
        <v>216</v>
      </c>
      <c r="B89" s="26" t="s">
        <v>394</v>
      </c>
      <c r="C89" s="26" t="s">
        <v>25</v>
      </c>
      <c r="D89" s="28" t="s">
        <v>395</v>
      </c>
      <c r="E89" s="26">
        <v>0</v>
      </c>
      <c r="F89" s="29" t="s">
        <v>226</v>
      </c>
    </row>
    <row r="90" spans="1:6" ht="43.5" x14ac:dyDescent="0.35">
      <c r="A90" s="26" t="s">
        <v>216</v>
      </c>
      <c r="B90" s="26" t="s">
        <v>396</v>
      </c>
      <c r="C90" s="26" t="s">
        <v>27</v>
      </c>
      <c r="D90" s="28" t="s">
        <v>397</v>
      </c>
      <c r="E90" s="26">
        <v>-93.2</v>
      </c>
      <c r="F90" s="29" t="s">
        <v>229</v>
      </c>
    </row>
    <row r="91" spans="1:6" ht="29" x14ac:dyDescent="0.35">
      <c r="A91" s="26" t="s">
        <v>216</v>
      </c>
      <c r="B91" s="26" t="s">
        <v>398</v>
      </c>
      <c r="C91" s="26" t="s">
        <v>24</v>
      </c>
      <c r="D91" s="28" t="s">
        <v>399</v>
      </c>
      <c r="E91" s="26">
        <v>0</v>
      </c>
      <c r="F91" s="29" t="s">
        <v>232</v>
      </c>
    </row>
    <row r="92" spans="1:6" ht="43.5" x14ac:dyDescent="0.35">
      <c r="A92" s="26" t="s">
        <v>216</v>
      </c>
      <c r="B92" s="26" t="s">
        <v>400</v>
      </c>
      <c r="C92" s="26" t="s">
        <v>15</v>
      </c>
      <c r="D92" s="28" t="s">
        <v>218</v>
      </c>
      <c r="E92" s="26" t="s">
        <v>401</v>
      </c>
      <c r="F92" s="29" t="s">
        <v>220</v>
      </c>
    </row>
    <row r="93" spans="1:6" ht="29" x14ac:dyDescent="0.35">
      <c r="A93" s="26" t="s">
        <v>216</v>
      </c>
      <c r="B93" s="26" t="s">
        <v>402</v>
      </c>
      <c r="C93" s="26" t="s">
        <v>17</v>
      </c>
      <c r="D93" s="28" t="s">
        <v>403</v>
      </c>
      <c r="E93" s="26">
        <v>13658</v>
      </c>
      <c r="F93" s="29" t="s">
        <v>247</v>
      </c>
    </row>
    <row r="94" spans="1:6" ht="29" x14ac:dyDescent="0.35">
      <c r="A94" s="26" t="s">
        <v>216</v>
      </c>
      <c r="B94" s="26" t="s">
        <v>404</v>
      </c>
      <c r="C94" s="26" t="s">
        <v>20</v>
      </c>
      <c r="D94" s="28" t="s">
        <v>405</v>
      </c>
      <c r="E94" s="26">
        <v>13658</v>
      </c>
      <c r="F94" s="29" t="s">
        <v>223</v>
      </c>
    </row>
    <row r="95" spans="1:6" ht="58" x14ac:dyDescent="0.35">
      <c r="A95" s="26" t="s">
        <v>216</v>
      </c>
      <c r="B95" s="26" t="s">
        <v>406</v>
      </c>
      <c r="C95" s="26" t="s">
        <v>25</v>
      </c>
      <c r="D95" s="28" t="s">
        <v>407</v>
      </c>
      <c r="E95" s="26">
        <v>0</v>
      </c>
      <c r="F95" s="29" t="s">
        <v>226</v>
      </c>
    </row>
    <row r="96" spans="1:6" ht="43.5" x14ac:dyDescent="0.35">
      <c r="A96" s="26" t="s">
        <v>216</v>
      </c>
      <c r="B96" s="26" t="s">
        <v>408</v>
      </c>
      <c r="C96" s="26" t="s">
        <v>27</v>
      </c>
      <c r="D96" s="28" t="s">
        <v>409</v>
      </c>
      <c r="E96" s="26">
        <v>-93.2</v>
      </c>
      <c r="F96" s="29" t="s">
        <v>229</v>
      </c>
    </row>
    <row r="97" spans="1:6" ht="29" x14ac:dyDescent="0.35">
      <c r="A97" s="26" t="s">
        <v>216</v>
      </c>
      <c r="B97" s="26" t="s">
        <v>410</v>
      </c>
      <c r="C97" s="26" t="s">
        <v>24</v>
      </c>
      <c r="D97" s="28" t="s">
        <v>411</v>
      </c>
      <c r="E97" s="26">
        <v>0</v>
      </c>
      <c r="F97" s="29" t="s">
        <v>232</v>
      </c>
    </row>
    <row r="98" spans="1:6" ht="43.5" x14ac:dyDescent="0.35">
      <c r="A98" s="26" t="s">
        <v>216</v>
      </c>
      <c r="B98" s="26" t="s">
        <v>412</v>
      </c>
      <c r="C98" s="26" t="s">
        <v>15</v>
      </c>
      <c r="D98" s="28" t="s">
        <v>218</v>
      </c>
      <c r="E98" s="26" t="s">
        <v>413</v>
      </c>
      <c r="F98" s="29" t="s">
        <v>220</v>
      </c>
    </row>
    <row r="99" spans="1:6" ht="29" x14ac:dyDescent="0.35">
      <c r="A99" s="26" t="s">
        <v>216</v>
      </c>
      <c r="B99" s="26" t="s">
        <v>414</v>
      </c>
      <c r="C99" s="26" t="s">
        <v>17</v>
      </c>
      <c r="D99" s="28" t="s">
        <v>415</v>
      </c>
      <c r="E99" s="26">
        <v>13658</v>
      </c>
      <c r="F99" s="29" t="s">
        <v>247</v>
      </c>
    </row>
    <row r="100" spans="1:6" ht="29" x14ac:dyDescent="0.35">
      <c r="A100" s="26" t="s">
        <v>216</v>
      </c>
      <c r="B100" s="26" t="s">
        <v>416</v>
      </c>
      <c r="C100" s="26" t="s">
        <v>20</v>
      </c>
      <c r="D100" s="28" t="s">
        <v>417</v>
      </c>
      <c r="E100" s="26">
        <v>13658</v>
      </c>
      <c r="F100" s="29" t="s">
        <v>223</v>
      </c>
    </row>
    <row r="101" spans="1:6" ht="58" x14ac:dyDescent="0.35">
      <c r="A101" s="26" t="s">
        <v>216</v>
      </c>
      <c r="B101" s="26" t="s">
        <v>418</v>
      </c>
      <c r="C101" s="26" t="s">
        <v>25</v>
      </c>
      <c r="D101" s="28" t="s">
        <v>419</v>
      </c>
      <c r="E101" s="26">
        <v>0</v>
      </c>
      <c r="F101" s="29" t="s">
        <v>226</v>
      </c>
    </row>
    <row r="102" spans="1:6" ht="43.5" x14ac:dyDescent="0.35">
      <c r="A102" s="26" t="s">
        <v>216</v>
      </c>
      <c r="B102" s="26" t="s">
        <v>420</v>
      </c>
      <c r="C102" s="26" t="s">
        <v>27</v>
      </c>
      <c r="D102" s="28" t="s">
        <v>421</v>
      </c>
      <c r="E102" s="26">
        <v>-93.2</v>
      </c>
      <c r="F102" s="29" t="s">
        <v>229</v>
      </c>
    </row>
    <row r="103" spans="1:6" ht="29" x14ac:dyDescent="0.35">
      <c r="A103" s="26" t="s">
        <v>216</v>
      </c>
      <c r="B103" s="26" t="s">
        <v>422</v>
      </c>
      <c r="C103" s="26" t="s">
        <v>24</v>
      </c>
      <c r="D103" s="28" t="s">
        <v>423</v>
      </c>
      <c r="E103" s="26">
        <v>0</v>
      </c>
      <c r="F103" s="29" t="s">
        <v>232</v>
      </c>
    </row>
    <row r="104" spans="1:6" ht="43.5" x14ac:dyDescent="0.35">
      <c r="A104" s="26" t="s">
        <v>216</v>
      </c>
      <c r="B104" s="26" t="s">
        <v>424</v>
      </c>
      <c r="C104" s="26" t="s">
        <v>15</v>
      </c>
      <c r="D104" s="28" t="s">
        <v>218</v>
      </c>
      <c r="E104" s="26" t="s">
        <v>425</v>
      </c>
      <c r="F104" s="29" t="s">
        <v>220</v>
      </c>
    </row>
    <row r="105" spans="1:6" ht="29" x14ac:dyDescent="0.35">
      <c r="A105" s="26" t="s">
        <v>216</v>
      </c>
      <c r="B105" s="26" t="s">
        <v>426</v>
      </c>
      <c r="C105" s="26" t="s">
        <v>17</v>
      </c>
      <c r="D105" s="28" t="s">
        <v>427</v>
      </c>
      <c r="E105" s="26">
        <v>13658</v>
      </c>
      <c r="F105" s="29" t="s">
        <v>247</v>
      </c>
    </row>
    <row r="106" spans="1:6" ht="29" x14ac:dyDescent="0.35">
      <c r="A106" s="26" t="s">
        <v>216</v>
      </c>
      <c r="B106" s="26" t="s">
        <v>428</v>
      </c>
      <c r="C106" s="26" t="s">
        <v>20</v>
      </c>
      <c r="D106" s="28" t="s">
        <v>429</v>
      </c>
      <c r="E106" s="26">
        <v>13658</v>
      </c>
      <c r="F106" s="29" t="s">
        <v>223</v>
      </c>
    </row>
    <row r="107" spans="1:6" ht="58" x14ac:dyDescent="0.35">
      <c r="A107" s="26" t="s">
        <v>216</v>
      </c>
      <c r="B107" s="26" t="s">
        <v>430</v>
      </c>
      <c r="C107" s="26" t="s">
        <v>25</v>
      </c>
      <c r="D107" s="28" t="s">
        <v>431</v>
      </c>
      <c r="E107" s="26">
        <v>0</v>
      </c>
      <c r="F107" s="29" t="s">
        <v>226</v>
      </c>
    </row>
    <row r="108" spans="1:6" ht="43.5" x14ac:dyDescent="0.35">
      <c r="A108" s="26" t="s">
        <v>216</v>
      </c>
      <c r="B108" s="26" t="s">
        <v>432</v>
      </c>
      <c r="C108" s="26" t="s">
        <v>27</v>
      </c>
      <c r="D108" s="28" t="s">
        <v>433</v>
      </c>
      <c r="E108" s="26">
        <v>-93.2</v>
      </c>
      <c r="F108" s="29" t="s">
        <v>229</v>
      </c>
    </row>
    <row r="109" spans="1:6" ht="29" x14ac:dyDescent="0.35">
      <c r="A109" s="26" t="s">
        <v>216</v>
      </c>
      <c r="B109" s="26" t="s">
        <v>434</v>
      </c>
      <c r="C109" s="26" t="s">
        <v>24</v>
      </c>
      <c r="D109" s="28" t="s">
        <v>435</v>
      </c>
      <c r="E109" s="26">
        <v>0</v>
      </c>
      <c r="F109" s="29" t="s">
        <v>232</v>
      </c>
    </row>
    <row r="110" spans="1:6" ht="43.5" x14ac:dyDescent="0.35">
      <c r="A110" s="26" t="s">
        <v>216</v>
      </c>
      <c r="B110" s="26" t="s">
        <v>436</v>
      </c>
      <c r="C110" s="26" t="s">
        <v>15</v>
      </c>
      <c r="D110" s="28" t="s">
        <v>218</v>
      </c>
      <c r="E110" s="26" t="s">
        <v>437</v>
      </c>
      <c r="F110" s="29" t="s">
        <v>220</v>
      </c>
    </row>
    <row r="111" spans="1:6" ht="29" x14ac:dyDescent="0.35">
      <c r="A111" s="26" t="s">
        <v>216</v>
      </c>
      <c r="B111" s="26" t="s">
        <v>438</v>
      </c>
      <c r="C111" s="26" t="s">
        <v>17</v>
      </c>
      <c r="D111" s="28" t="s">
        <v>439</v>
      </c>
      <c r="E111" s="26">
        <v>13658</v>
      </c>
      <c r="F111" s="29" t="s">
        <v>247</v>
      </c>
    </row>
    <row r="112" spans="1:6" ht="29" x14ac:dyDescent="0.35">
      <c r="A112" s="26" t="s">
        <v>216</v>
      </c>
      <c r="B112" s="26" t="s">
        <v>440</v>
      </c>
      <c r="C112" s="26" t="s">
        <v>20</v>
      </c>
      <c r="D112" s="28" t="s">
        <v>441</v>
      </c>
      <c r="E112" s="26">
        <v>13658</v>
      </c>
      <c r="F112" s="29" t="s">
        <v>223</v>
      </c>
    </row>
    <row r="113" spans="1:6" ht="58" x14ac:dyDescent="0.35">
      <c r="A113" s="26" t="s">
        <v>216</v>
      </c>
      <c r="B113" s="26" t="s">
        <v>442</v>
      </c>
      <c r="C113" s="26" t="s">
        <v>25</v>
      </c>
      <c r="D113" s="28" t="s">
        <v>443</v>
      </c>
      <c r="E113" s="26">
        <v>0</v>
      </c>
      <c r="F113" s="29" t="s">
        <v>226</v>
      </c>
    </row>
    <row r="114" spans="1:6" ht="43.5" x14ac:dyDescent="0.35">
      <c r="A114" s="26" t="s">
        <v>216</v>
      </c>
      <c r="B114" s="26" t="s">
        <v>444</v>
      </c>
      <c r="C114" s="26" t="s">
        <v>27</v>
      </c>
      <c r="D114" s="28" t="s">
        <v>445</v>
      </c>
      <c r="E114" s="26">
        <v>0</v>
      </c>
      <c r="F114" s="29" t="s">
        <v>229</v>
      </c>
    </row>
    <row r="115" spans="1:6" ht="29" x14ac:dyDescent="0.35">
      <c r="A115" s="26" t="s">
        <v>216</v>
      </c>
      <c r="B115" s="26" t="s">
        <v>446</v>
      </c>
      <c r="C115" s="26" t="s">
        <v>24</v>
      </c>
      <c r="D115" s="28" t="s">
        <v>447</v>
      </c>
      <c r="E115" s="26">
        <v>0</v>
      </c>
      <c r="F115" s="29" t="s">
        <v>232</v>
      </c>
    </row>
    <row r="116" spans="1:6" ht="43.5" x14ac:dyDescent="0.35">
      <c r="A116" s="26" t="s">
        <v>216</v>
      </c>
      <c r="B116" s="26" t="s">
        <v>448</v>
      </c>
      <c r="C116" s="26" t="s">
        <v>15</v>
      </c>
      <c r="D116" s="28" t="s">
        <v>218</v>
      </c>
      <c r="E116" s="26" t="s">
        <v>449</v>
      </c>
      <c r="F116" s="29" t="s">
        <v>220</v>
      </c>
    </row>
    <row r="117" spans="1:6" ht="29" x14ac:dyDescent="0.35">
      <c r="A117" s="26" t="s">
        <v>216</v>
      </c>
      <c r="B117" s="26" t="s">
        <v>450</v>
      </c>
      <c r="C117" s="26" t="s">
        <v>17</v>
      </c>
      <c r="D117" s="28" t="s">
        <v>451</v>
      </c>
      <c r="E117" s="26">
        <v>13658</v>
      </c>
      <c r="F117" s="29" t="s">
        <v>247</v>
      </c>
    </row>
    <row r="118" spans="1:6" ht="29" x14ac:dyDescent="0.35">
      <c r="A118" s="26" t="s">
        <v>216</v>
      </c>
      <c r="B118" s="26" t="s">
        <v>452</v>
      </c>
      <c r="C118" s="26" t="s">
        <v>20</v>
      </c>
      <c r="D118" s="28" t="s">
        <v>453</v>
      </c>
      <c r="E118" s="26">
        <v>13658</v>
      </c>
      <c r="F118" s="29" t="s">
        <v>223</v>
      </c>
    </row>
    <row r="119" spans="1:6" ht="58" x14ac:dyDescent="0.35">
      <c r="A119" s="26" t="s">
        <v>216</v>
      </c>
      <c r="B119" s="26" t="s">
        <v>454</v>
      </c>
      <c r="C119" s="26" t="s">
        <v>25</v>
      </c>
      <c r="D119" s="28" t="s">
        <v>455</v>
      </c>
      <c r="E119" s="26">
        <v>0</v>
      </c>
      <c r="F119" s="29" t="s">
        <v>226</v>
      </c>
    </row>
    <row r="120" spans="1:6" ht="43.5" x14ac:dyDescent="0.35">
      <c r="A120" s="26" t="s">
        <v>216</v>
      </c>
      <c r="B120" s="26" t="s">
        <v>456</v>
      </c>
      <c r="C120" s="26" t="s">
        <v>27</v>
      </c>
      <c r="D120" s="28" t="s">
        <v>457</v>
      </c>
      <c r="E120" s="26">
        <v>0</v>
      </c>
      <c r="F120" s="29" t="s">
        <v>229</v>
      </c>
    </row>
    <row r="121" spans="1:6" ht="29" x14ac:dyDescent="0.35">
      <c r="A121" s="26" t="s">
        <v>216</v>
      </c>
      <c r="B121" s="26" t="s">
        <v>458</v>
      </c>
      <c r="C121" s="26" t="s">
        <v>24</v>
      </c>
      <c r="D121" s="28" t="s">
        <v>459</v>
      </c>
      <c r="E121" s="26">
        <v>0</v>
      </c>
      <c r="F121" s="29" t="s">
        <v>232</v>
      </c>
    </row>
    <row r="122" spans="1:6" ht="43.5" x14ac:dyDescent="0.35">
      <c r="A122" s="26" t="s">
        <v>216</v>
      </c>
      <c r="B122" s="26" t="s">
        <v>460</v>
      </c>
      <c r="C122" s="26" t="s">
        <v>15</v>
      </c>
      <c r="D122" s="28" t="s">
        <v>218</v>
      </c>
      <c r="E122" s="26" t="s">
        <v>461</v>
      </c>
      <c r="F122" s="29" t="s">
        <v>220</v>
      </c>
    </row>
    <row r="123" spans="1:6" ht="29" x14ac:dyDescent="0.35">
      <c r="A123" s="26" t="s">
        <v>216</v>
      </c>
      <c r="B123" s="26" t="s">
        <v>462</v>
      </c>
      <c r="C123" s="26" t="s">
        <v>17</v>
      </c>
      <c r="D123" s="28" t="s">
        <v>463</v>
      </c>
      <c r="E123" s="26">
        <v>13658</v>
      </c>
      <c r="F123" s="29" t="s">
        <v>247</v>
      </c>
    </row>
    <row r="124" spans="1:6" ht="29" x14ac:dyDescent="0.35">
      <c r="A124" s="26" t="s">
        <v>216</v>
      </c>
      <c r="B124" s="26" t="s">
        <v>464</v>
      </c>
      <c r="C124" s="26" t="s">
        <v>20</v>
      </c>
      <c r="D124" s="28" t="s">
        <v>465</v>
      </c>
      <c r="E124" s="26">
        <v>13658</v>
      </c>
      <c r="F124" s="29" t="s">
        <v>223</v>
      </c>
    </row>
    <row r="125" spans="1:6" ht="58" x14ac:dyDescent="0.35">
      <c r="A125" s="26" t="s">
        <v>216</v>
      </c>
      <c r="B125" s="26" t="s">
        <v>466</v>
      </c>
      <c r="C125" s="26" t="s">
        <v>25</v>
      </c>
      <c r="D125" s="28" t="s">
        <v>467</v>
      </c>
      <c r="E125" s="26">
        <v>0</v>
      </c>
      <c r="F125" s="29" t="s">
        <v>226</v>
      </c>
    </row>
    <row r="126" spans="1:6" ht="43.5" x14ac:dyDescent="0.35">
      <c r="A126" s="26" t="s">
        <v>216</v>
      </c>
      <c r="B126" s="26" t="s">
        <v>468</v>
      </c>
      <c r="C126" s="26" t="s">
        <v>27</v>
      </c>
      <c r="D126" s="28" t="s">
        <v>469</v>
      </c>
      <c r="E126" s="26">
        <v>0</v>
      </c>
      <c r="F126" s="29" t="s">
        <v>229</v>
      </c>
    </row>
    <row r="127" spans="1:6" ht="29" x14ac:dyDescent="0.35">
      <c r="A127" s="26" t="s">
        <v>216</v>
      </c>
      <c r="B127" s="26" t="s">
        <v>470</v>
      </c>
      <c r="C127" s="26" t="s">
        <v>24</v>
      </c>
      <c r="D127" s="28" t="s">
        <v>471</v>
      </c>
      <c r="E127" s="26">
        <v>0</v>
      </c>
      <c r="F127" s="29" t="s">
        <v>232</v>
      </c>
    </row>
    <row r="128" spans="1:6" ht="43.5" x14ac:dyDescent="0.35">
      <c r="A128" s="26" t="s">
        <v>216</v>
      </c>
      <c r="B128" s="26" t="s">
        <v>472</v>
      </c>
      <c r="C128" s="26" t="s">
        <v>15</v>
      </c>
      <c r="D128" s="28" t="s">
        <v>218</v>
      </c>
      <c r="E128" s="26" t="s">
        <v>473</v>
      </c>
      <c r="F128" s="29" t="s">
        <v>220</v>
      </c>
    </row>
    <row r="129" spans="1:6" ht="29" x14ac:dyDescent="0.35">
      <c r="A129" s="26" t="s">
        <v>216</v>
      </c>
      <c r="B129" s="26" t="s">
        <v>474</v>
      </c>
      <c r="C129" s="26" t="s">
        <v>17</v>
      </c>
      <c r="D129" s="28" t="s">
        <v>475</v>
      </c>
      <c r="E129" s="26">
        <v>13658</v>
      </c>
      <c r="F129" s="29" t="s">
        <v>247</v>
      </c>
    </row>
    <row r="130" spans="1:6" ht="29" x14ac:dyDescent="0.35">
      <c r="A130" s="26" t="s">
        <v>216</v>
      </c>
      <c r="B130" s="26" t="s">
        <v>476</v>
      </c>
      <c r="C130" s="26" t="s">
        <v>20</v>
      </c>
      <c r="D130" s="28" t="s">
        <v>477</v>
      </c>
      <c r="E130" s="26">
        <v>13658</v>
      </c>
      <c r="F130" s="29" t="s">
        <v>223</v>
      </c>
    </row>
    <row r="131" spans="1:6" ht="58" x14ac:dyDescent="0.35">
      <c r="A131" s="26" t="s">
        <v>216</v>
      </c>
      <c r="B131" s="26" t="s">
        <v>478</v>
      </c>
      <c r="C131" s="26" t="s">
        <v>25</v>
      </c>
      <c r="D131" s="28" t="s">
        <v>479</v>
      </c>
      <c r="E131" s="26">
        <v>0</v>
      </c>
      <c r="F131" s="29" t="s">
        <v>226</v>
      </c>
    </row>
    <row r="132" spans="1:6" ht="43.5" x14ac:dyDescent="0.35">
      <c r="A132" s="26" t="s">
        <v>216</v>
      </c>
      <c r="B132" s="26" t="s">
        <v>480</v>
      </c>
      <c r="C132" s="26" t="s">
        <v>27</v>
      </c>
      <c r="D132" s="28" t="s">
        <v>481</v>
      </c>
      <c r="E132" s="26">
        <v>0</v>
      </c>
      <c r="F132" s="29" t="s">
        <v>229</v>
      </c>
    </row>
    <row r="133" spans="1:6" ht="29" x14ac:dyDescent="0.35">
      <c r="A133" s="26" t="s">
        <v>216</v>
      </c>
      <c r="B133" s="26" t="s">
        <v>482</v>
      </c>
      <c r="C133" s="26" t="s">
        <v>24</v>
      </c>
      <c r="D133" s="28" t="s">
        <v>483</v>
      </c>
      <c r="E133" s="26">
        <v>0</v>
      </c>
      <c r="F133" s="29" t="s">
        <v>232</v>
      </c>
    </row>
    <row r="134" spans="1:6" ht="43.5" x14ac:dyDescent="0.35">
      <c r="A134" s="26" t="s">
        <v>216</v>
      </c>
      <c r="B134" s="26" t="s">
        <v>484</v>
      </c>
      <c r="C134" s="26" t="s">
        <v>15</v>
      </c>
      <c r="D134" s="28" t="s">
        <v>218</v>
      </c>
      <c r="E134" s="26" t="s">
        <v>485</v>
      </c>
      <c r="F134" s="29" t="s">
        <v>220</v>
      </c>
    </row>
    <row r="135" spans="1:6" ht="29" x14ac:dyDescent="0.35">
      <c r="A135" s="26" t="s">
        <v>216</v>
      </c>
      <c r="B135" s="26" t="s">
        <v>486</v>
      </c>
      <c r="C135" s="26" t="s">
        <v>17</v>
      </c>
      <c r="D135" s="28" t="s">
        <v>487</v>
      </c>
      <c r="E135" s="26">
        <v>13658</v>
      </c>
      <c r="F135" s="29" t="s">
        <v>247</v>
      </c>
    </row>
    <row r="136" spans="1:6" ht="29" x14ac:dyDescent="0.35">
      <c r="A136" s="26" t="s">
        <v>216</v>
      </c>
      <c r="B136" s="26" t="s">
        <v>488</v>
      </c>
      <c r="C136" s="26" t="s">
        <v>20</v>
      </c>
      <c r="D136" s="28" t="s">
        <v>489</v>
      </c>
      <c r="E136" s="26">
        <v>13658</v>
      </c>
      <c r="F136" s="29" t="s">
        <v>223</v>
      </c>
    </row>
    <row r="137" spans="1:6" ht="58" x14ac:dyDescent="0.35">
      <c r="A137" s="26" t="s">
        <v>216</v>
      </c>
      <c r="B137" s="26" t="s">
        <v>490</v>
      </c>
      <c r="C137" s="26" t="s">
        <v>25</v>
      </c>
      <c r="D137" s="28" t="s">
        <v>491</v>
      </c>
      <c r="E137" s="26">
        <v>0</v>
      </c>
      <c r="F137" s="29" t="s">
        <v>226</v>
      </c>
    </row>
    <row r="138" spans="1:6" ht="43.5" x14ac:dyDescent="0.35">
      <c r="A138" s="26" t="s">
        <v>216</v>
      </c>
      <c r="B138" s="26" t="s">
        <v>492</v>
      </c>
      <c r="C138" s="26" t="s">
        <v>27</v>
      </c>
      <c r="D138" s="28" t="s">
        <v>493</v>
      </c>
      <c r="E138" s="26">
        <v>0</v>
      </c>
      <c r="F138" s="29" t="s">
        <v>229</v>
      </c>
    </row>
    <row r="139" spans="1:6" ht="29" x14ac:dyDescent="0.35">
      <c r="A139" s="26" t="s">
        <v>216</v>
      </c>
      <c r="B139" s="26" t="s">
        <v>494</v>
      </c>
      <c r="C139" s="26" t="s">
        <v>24</v>
      </c>
      <c r="D139" s="28" t="s">
        <v>495</v>
      </c>
      <c r="E139" s="26">
        <v>0</v>
      </c>
      <c r="F139" s="29" t="s">
        <v>232</v>
      </c>
    </row>
    <row r="140" spans="1:6" ht="43.5" x14ac:dyDescent="0.35">
      <c r="A140" s="26" t="s">
        <v>216</v>
      </c>
      <c r="B140" s="26" t="s">
        <v>496</v>
      </c>
      <c r="C140" s="26" t="s">
        <v>15</v>
      </c>
      <c r="D140" s="28" t="s">
        <v>218</v>
      </c>
      <c r="E140" s="26" t="s">
        <v>497</v>
      </c>
      <c r="F140" s="29" t="s">
        <v>220</v>
      </c>
    </row>
    <row r="141" spans="1:6" ht="29" x14ac:dyDescent="0.35">
      <c r="A141" s="26" t="s">
        <v>216</v>
      </c>
      <c r="B141" s="26" t="s">
        <v>498</v>
      </c>
      <c r="C141" s="26" t="s">
        <v>17</v>
      </c>
      <c r="D141" s="28" t="s">
        <v>499</v>
      </c>
      <c r="E141" s="26">
        <v>13658</v>
      </c>
      <c r="F141" s="29" t="s">
        <v>247</v>
      </c>
    </row>
    <row r="142" spans="1:6" ht="29" x14ac:dyDescent="0.35">
      <c r="A142" s="26" t="s">
        <v>216</v>
      </c>
      <c r="B142" s="26" t="s">
        <v>500</v>
      </c>
      <c r="C142" s="26" t="s">
        <v>20</v>
      </c>
      <c r="D142" s="28" t="s">
        <v>501</v>
      </c>
      <c r="E142" s="26">
        <v>13658</v>
      </c>
      <c r="F142" s="29" t="s">
        <v>223</v>
      </c>
    </row>
    <row r="143" spans="1:6" ht="58" x14ac:dyDescent="0.35">
      <c r="A143" s="26" t="s">
        <v>216</v>
      </c>
      <c r="B143" s="26" t="s">
        <v>502</v>
      </c>
      <c r="C143" s="26" t="s">
        <v>25</v>
      </c>
      <c r="D143" s="28" t="s">
        <v>503</v>
      </c>
      <c r="E143" s="26">
        <v>0</v>
      </c>
      <c r="F143" s="29" t="s">
        <v>226</v>
      </c>
    </row>
    <row r="144" spans="1:6" ht="43.5" x14ac:dyDescent="0.35">
      <c r="A144" s="26" t="s">
        <v>216</v>
      </c>
      <c r="B144" s="26" t="s">
        <v>504</v>
      </c>
      <c r="C144" s="26" t="s">
        <v>27</v>
      </c>
      <c r="D144" s="28" t="s">
        <v>505</v>
      </c>
      <c r="E144" s="26">
        <v>0</v>
      </c>
      <c r="F144" s="29" t="s">
        <v>229</v>
      </c>
    </row>
    <row r="145" spans="1:6" ht="29" x14ac:dyDescent="0.35">
      <c r="A145" s="26" t="s">
        <v>216</v>
      </c>
      <c r="B145" s="26" t="s">
        <v>506</v>
      </c>
      <c r="C145" s="26" t="s">
        <v>24</v>
      </c>
      <c r="D145" s="28" t="s">
        <v>507</v>
      </c>
      <c r="E145" s="26">
        <v>0</v>
      </c>
      <c r="F145" s="29" t="s">
        <v>232</v>
      </c>
    </row>
    <row r="146" spans="1:6" ht="43.5" x14ac:dyDescent="0.35">
      <c r="A146" s="26" t="s">
        <v>216</v>
      </c>
      <c r="B146" s="26" t="s">
        <v>508</v>
      </c>
      <c r="C146" s="26" t="s">
        <v>15</v>
      </c>
      <c r="D146" s="28" t="s">
        <v>218</v>
      </c>
      <c r="E146" s="26" t="s">
        <v>509</v>
      </c>
      <c r="F146" s="29" t="s">
        <v>220</v>
      </c>
    </row>
    <row r="147" spans="1:6" ht="29" x14ac:dyDescent="0.35">
      <c r="A147" s="26" t="s">
        <v>216</v>
      </c>
      <c r="B147" s="26" t="s">
        <v>510</v>
      </c>
      <c r="C147" s="26" t="s">
        <v>17</v>
      </c>
      <c r="D147" s="28" t="s">
        <v>511</v>
      </c>
      <c r="E147" s="26">
        <v>13658</v>
      </c>
      <c r="F147" s="29" t="s">
        <v>247</v>
      </c>
    </row>
    <row r="148" spans="1:6" ht="29" x14ac:dyDescent="0.35">
      <c r="A148" s="26" t="s">
        <v>216</v>
      </c>
      <c r="B148" s="26" t="s">
        <v>512</v>
      </c>
      <c r="C148" s="26" t="s">
        <v>20</v>
      </c>
      <c r="D148" s="28" t="s">
        <v>513</v>
      </c>
      <c r="E148" s="26">
        <v>13658</v>
      </c>
      <c r="F148" s="29" t="s">
        <v>223</v>
      </c>
    </row>
    <row r="149" spans="1:6" ht="58" x14ac:dyDescent="0.35">
      <c r="A149" s="26" t="s">
        <v>216</v>
      </c>
      <c r="B149" s="26" t="s">
        <v>514</v>
      </c>
      <c r="C149" s="26" t="s">
        <v>25</v>
      </c>
      <c r="D149" s="28" t="s">
        <v>515</v>
      </c>
      <c r="E149" s="26">
        <v>0</v>
      </c>
      <c r="F149" s="29" t="s">
        <v>226</v>
      </c>
    </row>
    <row r="150" spans="1:6" ht="43.5" x14ac:dyDescent="0.35">
      <c r="A150" s="26" t="s">
        <v>216</v>
      </c>
      <c r="B150" s="26" t="s">
        <v>516</v>
      </c>
      <c r="C150" s="26" t="s">
        <v>27</v>
      </c>
      <c r="D150" s="28" t="s">
        <v>517</v>
      </c>
      <c r="E150" s="26">
        <v>0</v>
      </c>
      <c r="F150" s="29" t="s">
        <v>229</v>
      </c>
    </row>
    <row r="151" spans="1:6" ht="29" x14ac:dyDescent="0.35">
      <c r="A151" s="26" t="s">
        <v>216</v>
      </c>
      <c r="B151" s="26" t="s">
        <v>518</v>
      </c>
      <c r="C151" s="26" t="s">
        <v>24</v>
      </c>
      <c r="D151" s="28" t="s">
        <v>519</v>
      </c>
      <c r="E151" s="26">
        <v>0</v>
      </c>
      <c r="F151" s="29" t="s">
        <v>232</v>
      </c>
    </row>
    <row r="152" spans="1:6" ht="43.5" x14ac:dyDescent="0.35">
      <c r="A152" s="26" t="s">
        <v>216</v>
      </c>
      <c r="B152" s="26" t="s">
        <v>520</v>
      </c>
      <c r="C152" s="26" t="s">
        <v>15</v>
      </c>
      <c r="D152" s="28" t="s">
        <v>218</v>
      </c>
      <c r="E152" s="26" t="s">
        <v>521</v>
      </c>
      <c r="F152" s="29" t="s">
        <v>220</v>
      </c>
    </row>
    <row r="153" spans="1:6" ht="29" x14ac:dyDescent="0.35">
      <c r="A153" s="26" t="s">
        <v>216</v>
      </c>
      <c r="B153" s="26" t="s">
        <v>522</v>
      </c>
      <c r="C153" s="26" t="s">
        <v>17</v>
      </c>
      <c r="D153" s="28" t="s">
        <v>523</v>
      </c>
      <c r="E153" s="26">
        <v>13658</v>
      </c>
      <c r="F153" s="29" t="s">
        <v>247</v>
      </c>
    </row>
    <row r="154" spans="1:6" ht="29" x14ac:dyDescent="0.35">
      <c r="A154" s="26" t="s">
        <v>216</v>
      </c>
      <c r="B154" s="26" t="s">
        <v>524</v>
      </c>
      <c r="C154" s="26" t="s">
        <v>20</v>
      </c>
      <c r="D154" s="28" t="s">
        <v>525</v>
      </c>
      <c r="E154" s="26">
        <v>13658</v>
      </c>
      <c r="F154" s="29" t="s">
        <v>223</v>
      </c>
    </row>
    <row r="155" spans="1:6" ht="58" x14ac:dyDescent="0.35">
      <c r="A155" s="26" t="s">
        <v>216</v>
      </c>
      <c r="B155" s="26" t="s">
        <v>526</v>
      </c>
      <c r="C155" s="26" t="s">
        <v>25</v>
      </c>
      <c r="D155" s="28" t="s">
        <v>527</v>
      </c>
      <c r="E155" s="26">
        <v>0</v>
      </c>
      <c r="F155" s="29" t="s">
        <v>226</v>
      </c>
    </row>
    <row r="156" spans="1:6" ht="43.5" x14ac:dyDescent="0.35">
      <c r="A156" s="26" t="s">
        <v>216</v>
      </c>
      <c r="B156" s="26" t="s">
        <v>528</v>
      </c>
      <c r="C156" s="26" t="s">
        <v>27</v>
      </c>
      <c r="D156" s="28" t="s">
        <v>529</v>
      </c>
      <c r="E156" s="26">
        <v>0</v>
      </c>
      <c r="F156" s="29" t="s">
        <v>229</v>
      </c>
    </row>
    <row r="157" spans="1:6" ht="29" x14ac:dyDescent="0.35">
      <c r="A157" s="26" t="s">
        <v>216</v>
      </c>
      <c r="B157" s="26" t="s">
        <v>530</v>
      </c>
      <c r="C157" s="26" t="s">
        <v>24</v>
      </c>
      <c r="D157" s="28" t="s">
        <v>531</v>
      </c>
      <c r="E157" s="26">
        <v>0</v>
      </c>
      <c r="F157" s="29" t="s">
        <v>232</v>
      </c>
    </row>
    <row r="158" spans="1:6" ht="43.5" x14ac:dyDescent="0.35">
      <c r="A158" s="26" t="s">
        <v>216</v>
      </c>
      <c r="B158" s="26" t="s">
        <v>532</v>
      </c>
      <c r="C158" s="26" t="s">
        <v>15</v>
      </c>
      <c r="D158" s="28" t="s">
        <v>218</v>
      </c>
      <c r="E158" s="26" t="s">
        <v>533</v>
      </c>
      <c r="F158" s="29" t="s">
        <v>220</v>
      </c>
    </row>
    <row r="159" spans="1:6" ht="29" x14ac:dyDescent="0.35">
      <c r="A159" s="26" t="s">
        <v>216</v>
      </c>
      <c r="B159" s="26" t="s">
        <v>534</v>
      </c>
      <c r="C159" s="26" t="s">
        <v>17</v>
      </c>
      <c r="D159" s="28" t="s">
        <v>535</v>
      </c>
      <c r="E159" s="26">
        <v>13658</v>
      </c>
      <c r="F159" s="29" t="s">
        <v>247</v>
      </c>
    </row>
    <row r="160" spans="1:6" ht="29" x14ac:dyDescent="0.35">
      <c r="A160" s="26" t="s">
        <v>216</v>
      </c>
      <c r="B160" s="26" t="s">
        <v>536</v>
      </c>
      <c r="C160" s="26" t="s">
        <v>20</v>
      </c>
      <c r="D160" s="28" t="s">
        <v>537</v>
      </c>
      <c r="E160" s="26">
        <v>13658</v>
      </c>
      <c r="F160" s="29" t="s">
        <v>223</v>
      </c>
    </row>
    <row r="161" spans="1:6" ht="58" x14ac:dyDescent="0.35">
      <c r="A161" s="26" t="s">
        <v>216</v>
      </c>
      <c r="B161" s="26" t="s">
        <v>538</v>
      </c>
      <c r="C161" s="26" t="s">
        <v>25</v>
      </c>
      <c r="D161" s="28" t="s">
        <v>539</v>
      </c>
      <c r="E161" s="26">
        <v>0</v>
      </c>
      <c r="F161" s="29" t="s">
        <v>226</v>
      </c>
    </row>
    <row r="162" spans="1:6" ht="43.5" x14ac:dyDescent="0.35">
      <c r="A162" s="26" t="s">
        <v>216</v>
      </c>
      <c r="B162" s="26" t="s">
        <v>540</v>
      </c>
      <c r="C162" s="26" t="s">
        <v>27</v>
      </c>
      <c r="D162" s="28" t="s">
        <v>541</v>
      </c>
      <c r="E162" s="26">
        <v>0</v>
      </c>
      <c r="F162" s="29" t="s">
        <v>229</v>
      </c>
    </row>
    <row r="163" spans="1:6" ht="29" x14ac:dyDescent="0.35">
      <c r="A163" s="26" t="s">
        <v>216</v>
      </c>
      <c r="B163" s="26" t="s">
        <v>542</v>
      </c>
      <c r="C163" s="26" t="s">
        <v>24</v>
      </c>
      <c r="D163" s="28" t="s">
        <v>543</v>
      </c>
      <c r="E163" s="26">
        <v>0</v>
      </c>
      <c r="F163" s="29" t="s">
        <v>232</v>
      </c>
    </row>
    <row r="164" spans="1:6" ht="43.5" x14ac:dyDescent="0.35">
      <c r="A164" s="26" t="s">
        <v>216</v>
      </c>
      <c r="B164" s="26" t="s">
        <v>544</v>
      </c>
      <c r="C164" s="26" t="s">
        <v>15</v>
      </c>
      <c r="D164" s="28" t="s">
        <v>218</v>
      </c>
      <c r="E164" s="26" t="s">
        <v>545</v>
      </c>
      <c r="F164" s="29" t="s">
        <v>220</v>
      </c>
    </row>
    <row r="165" spans="1:6" ht="29" x14ac:dyDescent="0.35">
      <c r="A165" s="26" t="s">
        <v>216</v>
      </c>
      <c r="B165" s="26" t="s">
        <v>546</v>
      </c>
      <c r="C165" s="26" t="s">
        <v>17</v>
      </c>
      <c r="D165" s="28" t="s">
        <v>547</v>
      </c>
      <c r="E165" s="26">
        <v>13658</v>
      </c>
      <c r="F165" s="29" t="s">
        <v>247</v>
      </c>
    </row>
    <row r="166" spans="1:6" ht="29" x14ac:dyDescent="0.35">
      <c r="A166" s="26" t="s">
        <v>216</v>
      </c>
      <c r="B166" s="26" t="s">
        <v>548</v>
      </c>
      <c r="C166" s="26" t="s">
        <v>20</v>
      </c>
      <c r="D166" s="28" t="s">
        <v>549</v>
      </c>
      <c r="E166" s="26">
        <v>13658</v>
      </c>
      <c r="F166" s="29" t="s">
        <v>223</v>
      </c>
    </row>
    <row r="167" spans="1:6" ht="58" x14ac:dyDescent="0.35">
      <c r="A167" s="26" t="s">
        <v>216</v>
      </c>
      <c r="B167" s="26" t="s">
        <v>550</v>
      </c>
      <c r="C167" s="26" t="s">
        <v>25</v>
      </c>
      <c r="D167" s="28" t="s">
        <v>551</v>
      </c>
      <c r="E167" s="26">
        <v>0</v>
      </c>
      <c r="F167" s="29" t="s">
        <v>226</v>
      </c>
    </row>
    <row r="168" spans="1:6" ht="43.5" x14ac:dyDescent="0.35">
      <c r="A168" s="26" t="s">
        <v>216</v>
      </c>
      <c r="B168" s="26" t="s">
        <v>552</v>
      </c>
      <c r="C168" s="26" t="s">
        <v>27</v>
      </c>
      <c r="D168" s="28" t="s">
        <v>553</v>
      </c>
      <c r="E168" s="26">
        <v>0</v>
      </c>
      <c r="F168" s="29" t="s">
        <v>229</v>
      </c>
    </row>
    <row r="169" spans="1:6" ht="29" x14ac:dyDescent="0.35">
      <c r="A169" s="26" t="s">
        <v>216</v>
      </c>
      <c r="B169" s="26" t="s">
        <v>554</v>
      </c>
      <c r="C169" s="26" t="s">
        <v>24</v>
      </c>
      <c r="D169" s="28" t="s">
        <v>555</v>
      </c>
      <c r="E169" s="26">
        <v>0</v>
      </c>
      <c r="F169" s="29" t="s">
        <v>232</v>
      </c>
    </row>
    <row r="170" spans="1:6" ht="43.5" x14ac:dyDescent="0.35">
      <c r="A170" s="26" t="s">
        <v>216</v>
      </c>
      <c r="B170" s="26" t="s">
        <v>556</v>
      </c>
      <c r="C170" s="26" t="s">
        <v>15</v>
      </c>
      <c r="D170" s="28" t="s">
        <v>218</v>
      </c>
      <c r="E170" s="26" t="s">
        <v>557</v>
      </c>
      <c r="F170" s="29" t="s">
        <v>220</v>
      </c>
    </row>
    <row r="171" spans="1:6" ht="29" x14ac:dyDescent="0.35">
      <c r="A171" s="26" t="s">
        <v>216</v>
      </c>
      <c r="B171" s="26" t="s">
        <v>558</v>
      </c>
      <c r="C171" s="26" t="s">
        <v>17</v>
      </c>
      <c r="D171" s="28" t="s">
        <v>559</v>
      </c>
      <c r="E171" s="26">
        <v>13658</v>
      </c>
      <c r="F171" s="29" t="s">
        <v>247</v>
      </c>
    </row>
    <row r="172" spans="1:6" ht="29" x14ac:dyDescent="0.35">
      <c r="A172" s="26" t="s">
        <v>216</v>
      </c>
      <c r="B172" s="26" t="s">
        <v>560</v>
      </c>
      <c r="C172" s="26" t="s">
        <v>20</v>
      </c>
      <c r="D172" s="28" t="s">
        <v>561</v>
      </c>
      <c r="E172" s="26">
        <v>13658</v>
      </c>
      <c r="F172" s="29" t="s">
        <v>223</v>
      </c>
    </row>
    <row r="173" spans="1:6" ht="58" x14ac:dyDescent="0.35">
      <c r="A173" s="26" t="s">
        <v>216</v>
      </c>
      <c r="B173" s="26" t="s">
        <v>562</v>
      </c>
      <c r="C173" s="26" t="s">
        <v>25</v>
      </c>
      <c r="D173" s="28" t="s">
        <v>563</v>
      </c>
      <c r="E173" s="26">
        <v>0</v>
      </c>
      <c r="F173" s="29" t="s">
        <v>226</v>
      </c>
    </row>
    <row r="174" spans="1:6" ht="43.5" x14ac:dyDescent="0.35">
      <c r="A174" s="26" t="s">
        <v>216</v>
      </c>
      <c r="B174" s="26" t="s">
        <v>564</v>
      </c>
      <c r="C174" s="26" t="s">
        <v>27</v>
      </c>
      <c r="D174" s="28" t="s">
        <v>565</v>
      </c>
      <c r="E174" s="26">
        <v>0</v>
      </c>
      <c r="F174" s="29" t="s">
        <v>229</v>
      </c>
    </row>
    <row r="175" spans="1:6" ht="29" x14ac:dyDescent="0.35">
      <c r="A175" s="26" t="s">
        <v>216</v>
      </c>
      <c r="B175" s="26" t="s">
        <v>566</v>
      </c>
      <c r="C175" s="26" t="s">
        <v>24</v>
      </c>
      <c r="D175" s="28" t="s">
        <v>567</v>
      </c>
      <c r="E175" s="26">
        <v>0</v>
      </c>
      <c r="F175" s="29" t="s">
        <v>232</v>
      </c>
    </row>
    <row r="176" spans="1:6" ht="43.5" x14ac:dyDescent="0.35">
      <c r="A176" s="26" t="s">
        <v>216</v>
      </c>
      <c r="B176" s="26" t="s">
        <v>568</v>
      </c>
      <c r="C176" s="26" t="s">
        <v>15</v>
      </c>
      <c r="D176" s="28" t="s">
        <v>218</v>
      </c>
      <c r="E176" s="26" t="s">
        <v>569</v>
      </c>
      <c r="F176" s="29" t="s">
        <v>220</v>
      </c>
    </row>
    <row r="177" spans="1:6" ht="29" x14ac:dyDescent="0.35">
      <c r="A177" s="26" t="s">
        <v>216</v>
      </c>
      <c r="B177" s="26" t="s">
        <v>570</v>
      </c>
      <c r="C177" s="26" t="s">
        <v>17</v>
      </c>
      <c r="D177" s="28" t="s">
        <v>571</v>
      </c>
      <c r="E177" s="26">
        <v>13658</v>
      </c>
      <c r="F177" s="29" t="s">
        <v>247</v>
      </c>
    </row>
    <row r="178" spans="1:6" ht="29" x14ac:dyDescent="0.35">
      <c r="A178" s="26" t="s">
        <v>216</v>
      </c>
      <c r="B178" s="26" t="s">
        <v>572</v>
      </c>
      <c r="C178" s="26" t="s">
        <v>20</v>
      </c>
      <c r="D178" s="28" t="s">
        <v>573</v>
      </c>
      <c r="E178" s="26">
        <v>13658</v>
      </c>
      <c r="F178" s="29" t="s">
        <v>223</v>
      </c>
    </row>
    <row r="179" spans="1:6" ht="58" x14ac:dyDescent="0.35">
      <c r="A179" s="26" t="s">
        <v>216</v>
      </c>
      <c r="B179" s="26" t="s">
        <v>574</v>
      </c>
      <c r="C179" s="26" t="s">
        <v>25</v>
      </c>
      <c r="D179" s="28" t="s">
        <v>575</v>
      </c>
      <c r="E179" s="26">
        <v>0</v>
      </c>
      <c r="F179" s="29" t="s">
        <v>226</v>
      </c>
    </row>
    <row r="180" spans="1:6" ht="43.5" x14ac:dyDescent="0.35">
      <c r="A180" s="26" t="s">
        <v>216</v>
      </c>
      <c r="B180" s="26" t="s">
        <v>576</v>
      </c>
      <c r="C180" s="26" t="s">
        <v>27</v>
      </c>
      <c r="D180" s="28" t="s">
        <v>577</v>
      </c>
      <c r="E180" s="26">
        <v>0</v>
      </c>
      <c r="F180" s="29" t="s">
        <v>229</v>
      </c>
    </row>
    <row r="181" spans="1:6" ht="29" x14ac:dyDescent="0.35">
      <c r="A181" s="26" t="s">
        <v>216</v>
      </c>
      <c r="B181" s="26" t="s">
        <v>578</v>
      </c>
      <c r="C181" s="26" t="s">
        <v>24</v>
      </c>
      <c r="D181" s="28" t="s">
        <v>579</v>
      </c>
      <c r="E181" s="26">
        <v>0</v>
      </c>
      <c r="F181" s="29" t="s">
        <v>232</v>
      </c>
    </row>
    <row r="182" spans="1:6" ht="43.5" x14ac:dyDescent="0.35">
      <c r="A182" s="26" t="s">
        <v>216</v>
      </c>
      <c r="B182" s="26" t="s">
        <v>580</v>
      </c>
      <c r="C182" s="26" t="s">
        <v>15</v>
      </c>
      <c r="D182" s="28" t="s">
        <v>218</v>
      </c>
      <c r="E182" s="26" t="s">
        <v>581</v>
      </c>
      <c r="F182" s="29" t="s">
        <v>220</v>
      </c>
    </row>
    <row r="183" spans="1:6" ht="29" x14ac:dyDescent="0.35">
      <c r="A183" s="26" t="s">
        <v>216</v>
      </c>
      <c r="B183" s="26" t="s">
        <v>582</v>
      </c>
      <c r="C183" s="26" t="s">
        <v>17</v>
      </c>
      <c r="D183" s="28" t="s">
        <v>583</v>
      </c>
      <c r="E183" s="26">
        <v>13658</v>
      </c>
      <c r="F183" s="29" t="s">
        <v>247</v>
      </c>
    </row>
    <row r="184" spans="1:6" ht="29" x14ac:dyDescent="0.35">
      <c r="A184" s="26" t="s">
        <v>216</v>
      </c>
      <c r="B184" s="26" t="s">
        <v>584</v>
      </c>
      <c r="C184" s="26" t="s">
        <v>20</v>
      </c>
      <c r="D184" s="28" t="s">
        <v>585</v>
      </c>
      <c r="E184" s="26">
        <v>13658</v>
      </c>
      <c r="F184" s="29" t="s">
        <v>223</v>
      </c>
    </row>
    <row r="185" spans="1:6" ht="58" x14ac:dyDescent="0.35">
      <c r="A185" s="26" t="s">
        <v>216</v>
      </c>
      <c r="B185" s="26" t="s">
        <v>586</v>
      </c>
      <c r="C185" s="26" t="s">
        <v>25</v>
      </c>
      <c r="D185" s="28" t="s">
        <v>587</v>
      </c>
      <c r="E185" s="26">
        <v>0</v>
      </c>
      <c r="F185" s="29" t="s">
        <v>226</v>
      </c>
    </row>
    <row r="186" spans="1:6" ht="43.5" x14ac:dyDescent="0.35">
      <c r="A186" s="26" t="s">
        <v>216</v>
      </c>
      <c r="B186" s="26" t="s">
        <v>588</v>
      </c>
      <c r="C186" s="26" t="s">
        <v>27</v>
      </c>
      <c r="D186" s="28" t="s">
        <v>589</v>
      </c>
      <c r="E186" s="26">
        <v>0</v>
      </c>
      <c r="F186" s="29" t="s">
        <v>229</v>
      </c>
    </row>
    <row r="187" spans="1:6" ht="29" x14ac:dyDescent="0.35">
      <c r="A187" s="26" t="s">
        <v>216</v>
      </c>
      <c r="B187" s="26" t="s">
        <v>590</v>
      </c>
      <c r="C187" s="26" t="s">
        <v>24</v>
      </c>
      <c r="D187" s="28" t="s">
        <v>591</v>
      </c>
      <c r="E187" s="26">
        <v>0</v>
      </c>
      <c r="F187" s="29" t="s">
        <v>232</v>
      </c>
    </row>
    <row r="188" spans="1:6" ht="43.5" x14ac:dyDescent="0.35">
      <c r="A188" s="26" t="s">
        <v>216</v>
      </c>
      <c r="B188" s="26" t="s">
        <v>592</v>
      </c>
      <c r="C188" s="26" t="s">
        <v>15</v>
      </c>
      <c r="D188" s="28" t="s">
        <v>218</v>
      </c>
      <c r="E188" s="26" t="s">
        <v>593</v>
      </c>
      <c r="F188" s="29" t="s">
        <v>220</v>
      </c>
    </row>
    <row r="189" spans="1:6" ht="29" x14ac:dyDescent="0.35">
      <c r="A189" s="26" t="s">
        <v>216</v>
      </c>
      <c r="B189" s="26" t="s">
        <v>594</v>
      </c>
      <c r="C189" s="26" t="s">
        <v>17</v>
      </c>
      <c r="D189" s="28" t="s">
        <v>595</v>
      </c>
      <c r="E189" s="26">
        <v>13658</v>
      </c>
      <c r="F189" s="29" t="s">
        <v>247</v>
      </c>
    </row>
    <row r="190" spans="1:6" ht="29" x14ac:dyDescent="0.35">
      <c r="A190" s="26" t="s">
        <v>216</v>
      </c>
      <c r="B190" s="26" t="s">
        <v>596</v>
      </c>
      <c r="C190" s="26" t="s">
        <v>20</v>
      </c>
      <c r="D190" s="28" t="s">
        <v>597</v>
      </c>
      <c r="E190" s="26">
        <v>13658</v>
      </c>
      <c r="F190" s="29" t="s">
        <v>223</v>
      </c>
    </row>
    <row r="191" spans="1:6" ht="58" x14ac:dyDescent="0.35">
      <c r="A191" s="26" t="s">
        <v>216</v>
      </c>
      <c r="B191" s="26" t="s">
        <v>598</v>
      </c>
      <c r="C191" s="26" t="s">
        <v>25</v>
      </c>
      <c r="D191" s="28" t="s">
        <v>599</v>
      </c>
      <c r="E191" s="26">
        <v>0</v>
      </c>
      <c r="F191" s="29" t="s">
        <v>226</v>
      </c>
    </row>
    <row r="192" spans="1:6" ht="43.5" x14ac:dyDescent="0.35">
      <c r="A192" s="26" t="s">
        <v>216</v>
      </c>
      <c r="B192" s="26" t="s">
        <v>600</v>
      </c>
      <c r="C192" s="26" t="s">
        <v>27</v>
      </c>
      <c r="D192" s="28" t="s">
        <v>601</v>
      </c>
      <c r="E192" s="26">
        <v>0</v>
      </c>
      <c r="F192" s="29" t="s">
        <v>229</v>
      </c>
    </row>
    <row r="193" spans="1:6" ht="29" x14ac:dyDescent="0.35">
      <c r="A193" s="26" t="s">
        <v>216</v>
      </c>
      <c r="B193" s="26" t="s">
        <v>602</v>
      </c>
      <c r="C193" s="26" t="s">
        <v>24</v>
      </c>
      <c r="D193" s="28" t="s">
        <v>603</v>
      </c>
      <c r="E193" s="26">
        <v>0</v>
      </c>
      <c r="F193" s="29" t="s">
        <v>232</v>
      </c>
    </row>
    <row r="194" spans="1:6" ht="43.5" x14ac:dyDescent="0.35">
      <c r="A194" s="26" t="s">
        <v>216</v>
      </c>
      <c r="B194" s="26" t="s">
        <v>604</v>
      </c>
      <c r="C194" s="26" t="s">
        <v>15</v>
      </c>
      <c r="D194" s="28" t="s">
        <v>218</v>
      </c>
      <c r="E194" s="26" t="s">
        <v>605</v>
      </c>
      <c r="F194" s="29" t="s">
        <v>220</v>
      </c>
    </row>
    <row r="195" spans="1:6" ht="29" x14ac:dyDescent="0.35">
      <c r="A195" s="26" t="s">
        <v>216</v>
      </c>
      <c r="B195" s="26" t="s">
        <v>606</v>
      </c>
      <c r="C195" s="26" t="s">
        <v>17</v>
      </c>
      <c r="D195" s="28" t="s">
        <v>607</v>
      </c>
      <c r="E195" s="26">
        <v>13658</v>
      </c>
      <c r="F195" s="29" t="s">
        <v>247</v>
      </c>
    </row>
    <row r="196" spans="1:6" ht="29" x14ac:dyDescent="0.35">
      <c r="A196" s="26" t="s">
        <v>216</v>
      </c>
      <c r="B196" s="26" t="s">
        <v>608</v>
      </c>
      <c r="C196" s="26" t="s">
        <v>20</v>
      </c>
      <c r="D196" s="28" t="s">
        <v>609</v>
      </c>
      <c r="E196" s="26">
        <v>13658</v>
      </c>
      <c r="F196" s="29" t="s">
        <v>223</v>
      </c>
    </row>
    <row r="197" spans="1:6" ht="58" x14ac:dyDescent="0.35">
      <c r="A197" s="26" t="s">
        <v>216</v>
      </c>
      <c r="B197" s="26" t="s">
        <v>610</v>
      </c>
      <c r="C197" s="26" t="s">
        <v>25</v>
      </c>
      <c r="D197" s="28" t="s">
        <v>611</v>
      </c>
      <c r="E197" s="26">
        <v>0</v>
      </c>
      <c r="F197" s="29" t="s">
        <v>226</v>
      </c>
    </row>
    <row r="198" spans="1:6" ht="43.5" x14ac:dyDescent="0.35">
      <c r="A198" s="26" t="s">
        <v>216</v>
      </c>
      <c r="B198" s="26" t="s">
        <v>612</v>
      </c>
      <c r="C198" s="26" t="s">
        <v>27</v>
      </c>
      <c r="D198" s="28" t="s">
        <v>613</v>
      </c>
      <c r="E198" s="26">
        <v>0</v>
      </c>
      <c r="F198" s="29" t="s">
        <v>229</v>
      </c>
    </row>
    <row r="199" spans="1:6" ht="29" x14ac:dyDescent="0.35">
      <c r="A199" s="26" t="s">
        <v>216</v>
      </c>
      <c r="B199" s="26" t="s">
        <v>614</v>
      </c>
      <c r="C199" s="26" t="s">
        <v>24</v>
      </c>
      <c r="D199" s="28" t="s">
        <v>615</v>
      </c>
      <c r="E199" s="26">
        <v>0</v>
      </c>
      <c r="F199" s="29" t="s">
        <v>232</v>
      </c>
    </row>
    <row r="200" spans="1:6" ht="43.5" x14ac:dyDescent="0.35">
      <c r="A200" s="26" t="s">
        <v>216</v>
      </c>
      <c r="B200" s="26" t="s">
        <v>616</v>
      </c>
      <c r="C200" s="26" t="s">
        <v>15</v>
      </c>
      <c r="D200" s="28" t="s">
        <v>218</v>
      </c>
      <c r="E200" s="26" t="s">
        <v>617</v>
      </c>
      <c r="F200" s="29" t="s">
        <v>220</v>
      </c>
    </row>
    <row r="201" spans="1:6" ht="29" x14ac:dyDescent="0.35">
      <c r="A201" s="26" t="s">
        <v>216</v>
      </c>
      <c r="B201" s="26" t="s">
        <v>618</v>
      </c>
      <c r="C201" s="26" t="s">
        <v>17</v>
      </c>
      <c r="D201" s="28" t="s">
        <v>619</v>
      </c>
      <c r="E201" s="26">
        <v>13658</v>
      </c>
      <c r="F201" s="29" t="s">
        <v>247</v>
      </c>
    </row>
    <row r="202" spans="1:6" ht="29" x14ac:dyDescent="0.35">
      <c r="A202" s="26" t="s">
        <v>216</v>
      </c>
      <c r="B202" s="26" t="s">
        <v>620</v>
      </c>
      <c r="C202" s="26" t="s">
        <v>20</v>
      </c>
      <c r="D202" s="28" t="s">
        <v>621</v>
      </c>
      <c r="E202" s="26">
        <v>13658</v>
      </c>
      <c r="F202" s="29" t="s">
        <v>223</v>
      </c>
    </row>
    <row r="203" spans="1:6" ht="58" x14ac:dyDescent="0.35">
      <c r="A203" s="26" t="s">
        <v>216</v>
      </c>
      <c r="B203" s="26" t="s">
        <v>622</v>
      </c>
      <c r="C203" s="26" t="s">
        <v>25</v>
      </c>
      <c r="D203" s="28" t="s">
        <v>623</v>
      </c>
      <c r="E203" s="26">
        <v>0</v>
      </c>
      <c r="F203" s="29" t="s">
        <v>226</v>
      </c>
    </row>
    <row r="204" spans="1:6" ht="43.5" x14ac:dyDescent="0.35">
      <c r="A204" s="26" t="s">
        <v>216</v>
      </c>
      <c r="B204" s="26" t="s">
        <v>624</v>
      </c>
      <c r="C204" s="26" t="s">
        <v>27</v>
      </c>
      <c r="D204" s="28" t="s">
        <v>625</v>
      </c>
      <c r="E204" s="26">
        <v>0</v>
      </c>
      <c r="F204" s="29" t="s">
        <v>229</v>
      </c>
    </row>
    <row r="205" spans="1:6" ht="29" x14ac:dyDescent="0.35">
      <c r="A205" s="26" t="s">
        <v>216</v>
      </c>
      <c r="B205" s="26" t="s">
        <v>626</v>
      </c>
      <c r="C205" s="26" t="s">
        <v>24</v>
      </c>
      <c r="D205" s="28" t="s">
        <v>627</v>
      </c>
      <c r="E205" s="26">
        <v>0</v>
      </c>
      <c r="F205" s="29" t="s">
        <v>232</v>
      </c>
    </row>
    <row r="206" spans="1:6" ht="43.5" x14ac:dyDescent="0.35">
      <c r="A206" s="26" t="s">
        <v>216</v>
      </c>
      <c r="B206" s="26" t="s">
        <v>628</v>
      </c>
      <c r="C206" s="26" t="s">
        <v>15</v>
      </c>
      <c r="D206" s="28" t="s">
        <v>218</v>
      </c>
      <c r="E206" s="26" t="s">
        <v>629</v>
      </c>
      <c r="F206" s="29" t="s">
        <v>220</v>
      </c>
    </row>
    <row r="207" spans="1:6" ht="29" x14ac:dyDescent="0.35">
      <c r="A207" s="26" t="s">
        <v>216</v>
      </c>
      <c r="B207" s="26" t="s">
        <v>630</v>
      </c>
      <c r="C207" s="26" t="s">
        <v>17</v>
      </c>
      <c r="D207" s="28" t="s">
        <v>631</v>
      </c>
      <c r="E207" s="26">
        <v>13658</v>
      </c>
      <c r="F207" s="29" t="s">
        <v>247</v>
      </c>
    </row>
    <row r="208" spans="1:6" ht="29" x14ac:dyDescent="0.35">
      <c r="A208" s="26" t="s">
        <v>216</v>
      </c>
      <c r="B208" s="26" t="s">
        <v>632</v>
      </c>
      <c r="C208" s="26" t="s">
        <v>20</v>
      </c>
      <c r="D208" s="28" t="s">
        <v>633</v>
      </c>
      <c r="E208" s="26">
        <v>13658</v>
      </c>
      <c r="F208" s="29" t="s">
        <v>223</v>
      </c>
    </row>
    <row r="209" spans="1:6" ht="58" x14ac:dyDescent="0.35">
      <c r="A209" s="26" t="s">
        <v>216</v>
      </c>
      <c r="B209" s="26" t="s">
        <v>634</v>
      </c>
      <c r="C209" s="26" t="s">
        <v>25</v>
      </c>
      <c r="D209" s="28" t="s">
        <v>635</v>
      </c>
      <c r="E209" s="26">
        <v>0</v>
      </c>
      <c r="F209" s="29" t="s">
        <v>226</v>
      </c>
    </row>
    <row r="210" spans="1:6" ht="43.5" x14ac:dyDescent="0.35">
      <c r="A210" s="26" t="s">
        <v>216</v>
      </c>
      <c r="B210" s="26" t="s">
        <v>636</v>
      </c>
      <c r="C210" s="26" t="s">
        <v>27</v>
      </c>
      <c r="D210" s="28" t="s">
        <v>637</v>
      </c>
      <c r="E210" s="26">
        <v>0</v>
      </c>
      <c r="F210" s="29" t="s">
        <v>229</v>
      </c>
    </row>
    <row r="211" spans="1:6" ht="29" x14ac:dyDescent="0.35">
      <c r="A211" s="26" t="s">
        <v>216</v>
      </c>
      <c r="B211" s="26" t="s">
        <v>638</v>
      </c>
      <c r="C211" s="26" t="s">
        <v>24</v>
      </c>
      <c r="D211" s="28" t="s">
        <v>639</v>
      </c>
      <c r="E211" s="26">
        <v>0</v>
      </c>
      <c r="F211" s="29" t="s">
        <v>232</v>
      </c>
    </row>
    <row r="212" spans="1:6" ht="43.5" x14ac:dyDescent="0.35">
      <c r="A212" s="26" t="s">
        <v>216</v>
      </c>
      <c r="B212" s="26" t="s">
        <v>640</v>
      </c>
      <c r="C212" s="26" t="s">
        <v>15</v>
      </c>
      <c r="D212" s="28" t="s">
        <v>218</v>
      </c>
      <c r="E212" s="26" t="s">
        <v>641</v>
      </c>
      <c r="F212" s="29" t="s">
        <v>220</v>
      </c>
    </row>
    <row r="213" spans="1:6" ht="29" x14ac:dyDescent="0.35">
      <c r="A213" s="26" t="s">
        <v>216</v>
      </c>
      <c r="B213" s="26" t="s">
        <v>642</v>
      </c>
      <c r="C213" s="26" t="s">
        <v>17</v>
      </c>
      <c r="D213" s="28" t="s">
        <v>643</v>
      </c>
      <c r="E213" s="26">
        <v>13658</v>
      </c>
      <c r="F213" s="29" t="s">
        <v>247</v>
      </c>
    </row>
    <row r="214" spans="1:6" ht="29" x14ac:dyDescent="0.35">
      <c r="A214" s="26" t="s">
        <v>216</v>
      </c>
      <c r="B214" s="26" t="s">
        <v>644</v>
      </c>
      <c r="C214" s="26" t="s">
        <v>20</v>
      </c>
      <c r="D214" s="28" t="s">
        <v>645</v>
      </c>
      <c r="E214" s="26">
        <v>13658</v>
      </c>
      <c r="F214" s="29" t="s">
        <v>223</v>
      </c>
    </row>
    <row r="215" spans="1:6" ht="58" x14ac:dyDescent="0.35">
      <c r="A215" s="26" t="s">
        <v>216</v>
      </c>
      <c r="B215" s="26" t="s">
        <v>646</v>
      </c>
      <c r="C215" s="26" t="s">
        <v>25</v>
      </c>
      <c r="D215" s="28" t="s">
        <v>647</v>
      </c>
      <c r="E215" s="26">
        <v>0</v>
      </c>
      <c r="F215" s="29" t="s">
        <v>226</v>
      </c>
    </row>
    <row r="216" spans="1:6" ht="43.5" x14ac:dyDescent="0.35">
      <c r="A216" s="26" t="s">
        <v>216</v>
      </c>
      <c r="B216" s="26" t="s">
        <v>648</v>
      </c>
      <c r="C216" s="26" t="s">
        <v>27</v>
      </c>
      <c r="D216" s="28" t="s">
        <v>649</v>
      </c>
      <c r="E216" s="26">
        <v>0</v>
      </c>
      <c r="F216" s="29" t="s">
        <v>229</v>
      </c>
    </row>
    <row r="217" spans="1:6" ht="29" x14ac:dyDescent="0.35">
      <c r="A217" s="26" t="s">
        <v>216</v>
      </c>
      <c r="B217" s="26" t="s">
        <v>650</v>
      </c>
      <c r="C217" s="26" t="s">
        <v>24</v>
      </c>
      <c r="D217" s="28" t="s">
        <v>651</v>
      </c>
      <c r="E217" s="26">
        <v>0</v>
      </c>
      <c r="F217" s="29" t="s">
        <v>232</v>
      </c>
    </row>
    <row r="218" spans="1:6" ht="43.5" x14ac:dyDescent="0.35">
      <c r="A218" s="26" t="s">
        <v>216</v>
      </c>
      <c r="B218" s="26" t="s">
        <v>652</v>
      </c>
      <c r="C218" s="26" t="s">
        <v>15</v>
      </c>
      <c r="D218" s="28" t="s">
        <v>218</v>
      </c>
      <c r="E218" s="26" t="s">
        <v>653</v>
      </c>
      <c r="F218" s="29" t="s">
        <v>220</v>
      </c>
    </row>
    <row r="219" spans="1:6" ht="29" x14ac:dyDescent="0.35">
      <c r="A219" s="26" t="s">
        <v>216</v>
      </c>
      <c r="B219" s="26" t="s">
        <v>654</v>
      </c>
      <c r="C219" s="26" t="s">
        <v>17</v>
      </c>
      <c r="D219" s="28" t="s">
        <v>655</v>
      </c>
      <c r="E219" s="26">
        <v>13658</v>
      </c>
      <c r="F219" s="29" t="s">
        <v>247</v>
      </c>
    </row>
    <row r="220" spans="1:6" ht="29" x14ac:dyDescent="0.35">
      <c r="A220" s="26" t="s">
        <v>216</v>
      </c>
      <c r="B220" s="26" t="s">
        <v>656</v>
      </c>
      <c r="C220" s="26" t="s">
        <v>20</v>
      </c>
      <c r="D220" s="28" t="s">
        <v>657</v>
      </c>
      <c r="E220" s="26">
        <v>13658</v>
      </c>
      <c r="F220" s="29" t="s">
        <v>223</v>
      </c>
    </row>
    <row r="221" spans="1:6" ht="58" x14ac:dyDescent="0.35">
      <c r="A221" s="26" t="s">
        <v>216</v>
      </c>
      <c r="B221" s="26" t="s">
        <v>658</v>
      </c>
      <c r="C221" s="26" t="s">
        <v>25</v>
      </c>
      <c r="D221" s="28" t="s">
        <v>659</v>
      </c>
      <c r="E221" s="26">
        <v>0</v>
      </c>
      <c r="F221" s="29" t="s">
        <v>226</v>
      </c>
    </row>
    <row r="222" spans="1:6" ht="43.5" x14ac:dyDescent="0.35">
      <c r="A222" s="26" t="s">
        <v>216</v>
      </c>
      <c r="B222" s="26" t="s">
        <v>660</v>
      </c>
      <c r="C222" s="26" t="s">
        <v>27</v>
      </c>
      <c r="D222" s="28" t="s">
        <v>661</v>
      </c>
      <c r="E222" s="26">
        <v>0</v>
      </c>
      <c r="F222" s="29" t="s">
        <v>229</v>
      </c>
    </row>
    <row r="223" spans="1:6" ht="29" x14ac:dyDescent="0.35">
      <c r="A223" s="26" t="s">
        <v>216</v>
      </c>
      <c r="B223" s="26" t="s">
        <v>662</v>
      </c>
      <c r="C223" s="26" t="s">
        <v>24</v>
      </c>
      <c r="D223" s="28" t="s">
        <v>663</v>
      </c>
      <c r="E223" s="26">
        <v>0</v>
      </c>
      <c r="F223" s="29" t="s">
        <v>232</v>
      </c>
    </row>
    <row r="224" spans="1:6" ht="43.5" x14ac:dyDescent="0.35">
      <c r="A224" s="26" t="s">
        <v>216</v>
      </c>
      <c r="B224" s="26" t="s">
        <v>664</v>
      </c>
      <c r="C224" s="26" t="s">
        <v>15</v>
      </c>
      <c r="D224" s="28" t="s">
        <v>218</v>
      </c>
      <c r="E224" s="26" t="s">
        <v>665</v>
      </c>
      <c r="F224" s="29" t="s">
        <v>220</v>
      </c>
    </row>
    <row r="225" spans="1:6" ht="29" x14ac:dyDescent="0.35">
      <c r="A225" s="26" t="s">
        <v>216</v>
      </c>
      <c r="B225" s="26" t="s">
        <v>666</v>
      </c>
      <c r="C225" s="26" t="s">
        <v>17</v>
      </c>
      <c r="D225" s="28" t="s">
        <v>667</v>
      </c>
      <c r="E225" s="26">
        <v>13658</v>
      </c>
      <c r="F225" s="29" t="s">
        <v>247</v>
      </c>
    </row>
    <row r="226" spans="1:6" ht="29" x14ac:dyDescent="0.35">
      <c r="A226" s="26" t="s">
        <v>216</v>
      </c>
      <c r="B226" s="26" t="s">
        <v>668</v>
      </c>
      <c r="C226" s="26" t="s">
        <v>20</v>
      </c>
      <c r="D226" s="28" t="s">
        <v>669</v>
      </c>
      <c r="E226" s="26">
        <v>13658</v>
      </c>
      <c r="F226" s="29" t="s">
        <v>223</v>
      </c>
    </row>
    <row r="227" spans="1:6" ht="58" x14ac:dyDescent="0.35">
      <c r="A227" s="26" t="s">
        <v>216</v>
      </c>
      <c r="B227" s="26" t="s">
        <v>670</v>
      </c>
      <c r="C227" s="26" t="s">
        <v>25</v>
      </c>
      <c r="D227" s="28" t="s">
        <v>671</v>
      </c>
      <c r="E227" s="26">
        <v>0</v>
      </c>
      <c r="F227" s="29" t="s">
        <v>226</v>
      </c>
    </row>
    <row r="228" spans="1:6" ht="43.5" x14ac:dyDescent="0.35">
      <c r="A228" s="26" t="s">
        <v>216</v>
      </c>
      <c r="B228" s="26" t="s">
        <v>672</v>
      </c>
      <c r="C228" s="26" t="s">
        <v>27</v>
      </c>
      <c r="D228" s="28" t="s">
        <v>673</v>
      </c>
      <c r="E228" s="26">
        <v>0</v>
      </c>
      <c r="F228" s="29" t="s">
        <v>229</v>
      </c>
    </row>
    <row r="229" spans="1:6" ht="29" x14ac:dyDescent="0.35">
      <c r="A229" s="26" t="s">
        <v>216</v>
      </c>
      <c r="B229" s="26" t="s">
        <v>674</v>
      </c>
      <c r="C229" s="26" t="s">
        <v>24</v>
      </c>
      <c r="D229" s="28" t="s">
        <v>675</v>
      </c>
      <c r="E229" s="26">
        <v>0</v>
      </c>
      <c r="F229" s="29" t="s">
        <v>232</v>
      </c>
    </row>
    <row r="230" spans="1:6" ht="43.5" x14ac:dyDescent="0.35">
      <c r="A230" s="26" t="s">
        <v>216</v>
      </c>
      <c r="B230" s="26" t="s">
        <v>676</v>
      </c>
      <c r="C230" s="26" t="s">
        <v>15</v>
      </c>
      <c r="D230" s="28" t="s">
        <v>218</v>
      </c>
      <c r="E230" s="26" t="s">
        <v>677</v>
      </c>
      <c r="F230" s="29" t="s">
        <v>220</v>
      </c>
    </row>
    <row r="231" spans="1:6" ht="29" x14ac:dyDescent="0.35">
      <c r="A231" s="26" t="s">
        <v>216</v>
      </c>
      <c r="B231" s="26" t="s">
        <v>678</v>
      </c>
      <c r="C231" s="26" t="s">
        <v>17</v>
      </c>
      <c r="D231" s="28" t="s">
        <v>679</v>
      </c>
      <c r="E231" s="26">
        <v>13658</v>
      </c>
      <c r="F231" s="29" t="s">
        <v>247</v>
      </c>
    </row>
    <row r="232" spans="1:6" ht="29" x14ac:dyDescent="0.35">
      <c r="A232" s="26" t="s">
        <v>216</v>
      </c>
      <c r="B232" s="26" t="s">
        <v>680</v>
      </c>
      <c r="C232" s="26" t="s">
        <v>20</v>
      </c>
      <c r="D232" s="28" t="s">
        <v>681</v>
      </c>
      <c r="E232" s="26">
        <v>13658</v>
      </c>
      <c r="F232" s="29" t="s">
        <v>223</v>
      </c>
    </row>
    <row r="233" spans="1:6" ht="58" x14ac:dyDescent="0.35">
      <c r="A233" s="26" t="s">
        <v>216</v>
      </c>
      <c r="B233" s="26" t="s">
        <v>682</v>
      </c>
      <c r="C233" s="26" t="s">
        <v>25</v>
      </c>
      <c r="D233" s="28" t="s">
        <v>683</v>
      </c>
      <c r="E233" s="26">
        <v>0</v>
      </c>
      <c r="F233" s="29" t="s">
        <v>226</v>
      </c>
    </row>
    <row r="234" spans="1:6" ht="43.5" x14ac:dyDescent="0.35">
      <c r="A234" s="26" t="s">
        <v>216</v>
      </c>
      <c r="B234" s="26" t="s">
        <v>684</v>
      </c>
      <c r="C234" s="26" t="s">
        <v>27</v>
      </c>
      <c r="D234" s="28" t="s">
        <v>685</v>
      </c>
      <c r="E234" s="26">
        <v>0</v>
      </c>
      <c r="F234" s="29" t="s">
        <v>229</v>
      </c>
    </row>
    <row r="235" spans="1:6" ht="29" x14ac:dyDescent="0.35">
      <c r="A235" s="26" t="s">
        <v>216</v>
      </c>
      <c r="B235" s="26" t="s">
        <v>686</v>
      </c>
      <c r="C235" s="26" t="s">
        <v>24</v>
      </c>
      <c r="D235" s="28" t="s">
        <v>687</v>
      </c>
      <c r="E235" s="26">
        <v>0</v>
      </c>
      <c r="F235" s="29" t="s">
        <v>232</v>
      </c>
    </row>
    <row r="236" spans="1:6" ht="43.5" x14ac:dyDescent="0.35">
      <c r="A236" s="26" t="s">
        <v>216</v>
      </c>
      <c r="B236" s="26" t="s">
        <v>688</v>
      </c>
      <c r="C236" s="26" t="s">
        <v>15</v>
      </c>
      <c r="D236" s="28" t="s">
        <v>218</v>
      </c>
      <c r="E236" s="26" t="s">
        <v>689</v>
      </c>
      <c r="F236" s="29" t="s">
        <v>220</v>
      </c>
    </row>
    <row r="237" spans="1:6" ht="29" x14ac:dyDescent="0.35">
      <c r="A237" s="26" t="s">
        <v>216</v>
      </c>
      <c r="B237" s="26" t="s">
        <v>690</v>
      </c>
      <c r="C237" s="26" t="s">
        <v>17</v>
      </c>
      <c r="D237" s="28" t="s">
        <v>691</v>
      </c>
      <c r="E237" s="26">
        <v>13658</v>
      </c>
      <c r="F237" s="29" t="s">
        <v>247</v>
      </c>
    </row>
    <row r="238" spans="1:6" ht="29" x14ac:dyDescent="0.35">
      <c r="A238" s="26" t="s">
        <v>216</v>
      </c>
      <c r="B238" s="26" t="s">
        <v>692</v>
      </c>
      <c r="C238" s="26" t="s">
        <v>20</v>
      </c>
      <c r="D238" s="28" t="s">
        <v>693</v>
      </c>
      <c r="E238" s="26">
        <v>13658</v>
      </c>
      <c r="F238" s="29" t="s">
        <v>223</v>
      </c>
    </row>
    <row r="239" spans="1:6" ht="58" x14ac:dyDescent="0.35">
      <c r="A239" s="26" t="s">
        <v>216</v>
      </c>
      <c r="B239" s="26" t="s">
        <v>694</v>
      </c>
      <c r="C239" s="26" t="s">
        <v>25</v>
      </c>
      <c r="D239" s="28" t="s">
        <v>695</v>
      </c>
      <c r="E239" s="26">
        <v>0</v>
      </c>
      <c r="F239" s="29" t="s">
        <v>226</v>
      </c>
    </row>
    <row r="240" spans="1:6" ht="43.5" x14ac:dyDescent="0.35">
      <c r="A240" s="26" t="s">
        <v>216</v>
      </c>
      <c r="B240" s="26" t="s">
        <v>696</v>
      </c>
      <c r="C240" s="26" t="s">
        <v>27</v>
      </c>
      <c r="D240" s="28" t="s">
        <v>697</v>
      </c>
      <c r="E240" s="26">
        <v>0</v>
      </c>
      <c r="F240" s="29" t="s">
        <v>229</v>
      </c>
    </row>
    <row r="241" spans="1:6" ht="29" x14ac:dyDescent="0.35">
      <c r="A241" s="26" t="s">
        <v>216</v>
      </c>
      <c r="B241" s="26" t="s">
        <v>698</v>
      </c>
      <c r="C241" s="26" t="s">
        <v>24</v>
      </c>
      <c r="D241" s="28" t="s">
        <v>699</v>
      </c>
      <c r="E241" s="26">
        <v>0</v>
      </c>
      <c r="F241" s="29" t="s">
        <v>232</v>
      </c>
    </row>
    <row r="242" spans="1:6" ht="43.5" x14ac:dyDescent="0.35">
      <c r="A242" s="26" t="s">
        <v>216</v>
      </c>
      <c r="B242" s="26" t="s">
        <v>700</v>
      </c>
      <c r="C242" s="26" t="s">
        <v>15</v>
      </c>
      <c r="D242" s="28" t="s">
        <v>218</v>
      </c>
      <c r="E242" s="26" t="s">
        <v>701</v>
      </c>
      <c r="F242" s="29" t="s">
        <v>220</v>
      </c>
    </row>
    <row r="243" spans="1:6" ht="29" x14ac:dyDescent="0.35">
      <c r="A243" s="26" t="s">
        <v>216</v>
      </c>
      <c r="B243" s="26" t="s">
        <v>702</v>
      </c>
      <c r="C243" s="26" t="s">
        <v>17</v>
      </c>
      <c r="D243" s="28" t="s">
        <v>703</v>
      </c>
      <c r="E243" s="26">
        <v>13658</v>
      </c>
      <c r="F243" s="29" t="s">
        <v>247</v>
      </c>
    </row>
    <row r="244" spans="1:6" ht="29" x14ac:dyDescent="0.35">
      <c r="A244" s="26" t="s">
        <v>216</v>
      </c>
      <c r="B244" s="26" t="s">
        <v>704</v>
      </c>
      <c r="C244" s="26" t="s">
        <v>20</v>
      </c>
      <c r="D244" s="28" t="s">
        <v>705</v>
      </c>
      <c r="E244" s="26">
        <v>13658</v>
      </c>
      <c r="F244" s="29" t="s">
        <v>223</v>
      </c>
    </row>
    <row r="245" spans="1:6" ht="58" x14ac:dyDescent="0.35">
      <c r="A245" s="26" t="s">
        <v>216</v>
      </c>
      <c r="B245" s="26" t="s">
        <v>706</v>
      </c>
      <c r="C245" s="26" t="s">
        <v>25</v>
      </c>
      <c r="D245" s="28" t="s">
        <v>707</v>
      </c>
      <c r="E245" s="26">
        <v>0</v>
      </c>
      <c r="F245" s="29" t="s">
        <v>226</v>
      </c>
    </row>
    <row r="246" spans="1:6" ht="43.5" x14ac:dyDescent="0.35">
      <c r="A246" s="26" t="s">
        <v>216</v>
      </c>
      <c r="B246" s="26" t="s">
        <v>708</v>
      </c>
      <c r="C246" s="26" t="s">
        <v>27</v>
      </c>
      <c r="D246" s="28" t="s">
        <v>709</v>
      </c>
      <c r="E246" s="26">
        <v>0</v>
      </c>
      <c r="F246" s="29" t="s">
        <v>229</v>
      </c>
    </row>
    <row r="247" spans="1:6" ht="29" x14ac:dyDescent="0.35">
      <c r="A247" s="26" t="s">
        <v>216</v>
      </c>
      <c r="B247" s="26" t="s">
        <v>710</v>
      </c>
      <c r="C247" s="26" t="s">
        <v>24</v>
      </c>
      <c r="D247" s="28" t="s">
        <v>711</v>
      </c>
      <c r="E247" s="26">
        <v>0</v>
      </c>
      <c r="F247" s="29" t="s">
        <v>232</v>
      </c>
    </row>
    <row r="248" spans="1:6" ht="43.5" x14ac:dyDescent="0.35">
      <c r="A248" s="26" t="s">
        <v>216</v>
      </c>
      <c r="B248" s="26" t="s">
        <v>712</v>
      </c>
      <c r="C248" s="26" t="s">
        <v>15</v>
      </c>
      <c r="D248" s="28" t="s">
        <v>218</v>
      </c>
      <c r="E248" s="26" t="s">
        <v>713</v>
      </c>
      <c r="F248" s="29" t="s">
        <v>220</v>
      </c>
    </row>
    <row r="249" spans="1:6" ht="29" x14ac:dyDescent="0.35">
      <c r="A249" s="26" t="s">
        <v>216</v>
      </c>
      <c r="B249" s="26" t="s">
        <v>714</v>
      </c>
      <c r="C249" s="26" t="s">
        <v>17</v>
      </c>
      <c r="D249" s="28" t="s">
        <v>715</v>
      </c>
      <c r="E249" s="26">
        <v>13658</v>
      </c>
      <c r="F249" s="29" t="s">
        <v>247</v>
      </c>
    </row>
    <row r="250" spans="1:6" ht="29" x14ac:dyDescent="0.35">
      <c r="A250" s="26" t="s">
        <v>216</v>
      </c>
      <c r="B250" s="26" t="s">
        <v>716</v>
      </c>
      <c r="C250" s="26" t="s">
        <v>20</v>
      </c>
      <c r="D250" s="28" t="s">
        <v>717</v>
      </c>
      <c r="E250" s="26">
        <v>13658</v>
      </c>
      <c r="F250" s="29" t="s">
        <v>223</v>
      </c>
    </row>
    <row r="251" spans="1:6" ht="58" x14ac:dyDescent="0.35">
      <c r="A251" s="26" t="s">
        <v>216</v>
      </c>
      <c r="B251" s="26" t="s">
        <v>718</v>
      </c>
      <c r="C251" s="26" t="s">
        <v>25</v>
      </c>
      <c r="D251" s="28" t="s">
        <v>719</v>
      </c>
      <c r="E251" s="26">
        <v>0</v>
      </c>
      <c r="F251" s="29" t="s">
        <v>226</v>
      </c>
    </row>
    <row r="252" spans="1:6" ht="43.5" x14ac:dyDescent="0.35">
      <c r="A252" s="26" t="s">
        <v>216</v>
      </c>
      <c r="B252" s="26" t="s">
        <v>720</v>
      </c>
      <c r="C252" s="26" t="s">
        <v>27</v>
      </c>
      <c r="D252" s="28" t="s">
        <v>721</v>
      </c>
      <c r="E252" s="26">
        <v>0</v>
      </c>
      <c r="F252" s="29" t="s">
        <v>229</v>
      </c>
    </row>
    <row r="253" spans="1:6" ht="29" x14ac:dyDescent="0.35">
      <c r="A253" s="26" t="s">
        <v>216</v>
      </c>
      <c r="B253" s="26" t="s">
        <v>722</v>
      </c>
      <c r="C253" s="26" t="s">
        <v>24</v>
      </c>
      <c r="D253" s="28" t="s">
        <v>723</v>
      </c>
      <c r="E253" s="26">
        <v>0</v>
      </c>
      <c r="F253" s="29" t="s">
        <v>232</v>
      </c>
    </row>
    <row r="254" spans="1:6" ht="43.5" x14ac:dyDescent="0.35">
      <c r="A254" s="26" t="s">
        <v>216</v>
      </c>
      <c r="B254" s="26" t="s">
        <v>724</v>
      </c>
      <c r="C254" s="26" t="s">
        <v>15</v>
      </c>
      <c r="D254" s="28" t="s">
        <v>218</v>
      </c>
      <c r="E254" s="26" t="s">
        <v>725</v>
      </c>
      <c r="F254" s="29" t="s">
        <v>220</v>
      </c>
    </row>
    <row r="255" spans="1:6" ht="29" x14ac:dyDescent="0.35">
      <c r="A255" s="26" t="s">
        <v>216</v>
      </c>
      <c r="B255" s="26" t="s">
        <v>726</v>
      </c>
      <c r="C255" s="26" t="s">
        <v>17</v>
      </c>
      <c r="D255" s="28" t="s">
        <v>727</v>
      </c>
      <c r="E255" s="26">
        <v>13658</v>
      </c>
      <c r="F255" s="29" t="s">
        <v>247</v>
      </c>
    </row>
    <row r="256" spans="1:6" ht="29" x14ac:dyDescent="0.35">
      <c r="A256" s="26" t="s">
        <v>216</v>
      </c>
      <c r="B256" s="26" t="s">
        <v>728</v>
      </c>
      <c r="C256" s="26" t="s">
        <v>20</v>
      </c>
      <c r="D256" s="28" t="s">
        <v>729</v>
      </c>
      <c r="E256" s="26">
        <v>13658</v>
      </c>
      <c r="F256" s="29" t="s">
        <v>223</v>
      </c>
    </row>
    <row r="257" spans="1:6" ht="58" x14ac:dyDescent="0.35">
      <c r="A257" s="26" t="s">
        <v>216</v>
      </c>
      <c r="B257" s="26" t="s">
        <v>730</v>
      </c>
      <c r="C257" s="26" t="s">
        <v>25</v>
      </c>
      <c r="D257" s="28" t="s">
        <v>731</v>
      </c>
      <c r="E257" s="26">
        <v>0</v>
      </c>
      <c r="F257" s="29" t="s">
        <v>226</v>
      </c>
    </row>
    <row r="258" spans="1:6" ht="43.5" x14ac:dyDescent="0.35">
      <c r="A258" s="26" t="s">
        <v>216</v>
      </c>
      <c r="B258" s="26" t="s">
        <v>732</v>
      </c>
      <c r="C258" s="26" t="s">
        <v>27</v>
      </c>
      <c r="D258" s="28" t="s">
        <v>733</v>
      </c>
      <c r="E258" s="26">
        <v>0</v>
      </c>
      <c r="F258" s="29" t="s">
        <v>229</v>
      </c>
    </row>
    <row r="259" spans="1:6" ht="29" x14ac:dyDescent="0.35">
      <c r="A259" s="26" t="s">
        <v>216</v>
      </c>
      <c r="B259" s="26" t="s">
        <v>734</v>
      </c>
      <c r="C259" s="26" t="s">
        <v>24</v>
      </c>
      <c r="D259" s="28" t="s">
        <v>735</v>
      </c>
      <c r="E259" s="26">
        <v>0</v>
      </c>
      <c r="F259" s="29" t="s">
        <v>232</v>
      </c>
    </row>
    <row r="260" spans="1:6" ht="43.5" x14ac:dyDescent="0.35">
      <c r="A260" s="26" t="s">
        <v>216</v>
      </c>
      <c r="B260" s="26" t="s">
        <v>736</v>
      </c>
      <c r="C260" s="26" t="s">
        <v>15</v>
      </c>
      <c r="D260" s="28" t="s">
        <v>218</v>
      </c>
      <c r="E260" s="26" t="s">
        <v>737</v>
      </c>
      <c r="F260" s="29" t="s">
        <v>220</v>
      </c>
    </row>
    <row r="261" spans="1:6" ht="29" x14ac:dyDescent="0.35">
      <c r="A261" s="26" t="s">
        <v>216</v>
      </c>
      <c r="B261" s="26" t="s">
        <v>738</v>
      </c>
      <c r="C261" s="26" t="s">
        <v>17</v>
      </c>
      <c r="D261" s="28" t="s">
        <v>739</v>
      </c>
      <c r="E261" s="26">
        <v>13658</v>
      </c>
      <c r="F261" s="29" t="s">
        <v>247</v>
      </c>
    </row>
    <row r="262" spans="1:6" ht="29" x14ac:dyDescent="0.35">
      <c r="A262" s="26" t="s">
        <v>216</v>
      </c>
      <c r="B262" s="26" t="s">
        <v>740</v>
      </c>
      <c r="C262" s="26" t="s">
        <v>20</v>
      </c>
      <c r="D262" s="28" t="s">
        <v>741</v>
      </c>
      <c r="E262" s="26">
        <v>13658</v>
      </c>
      <c r="F262" s="29" t="s">
        <v>223</v>
      </c>
    </row>
    <row r="263" spans="1:6" ht="58" x14ac:dyDescent="0.35">
      <c r="A263" s="26" t="s">
        <v>216</v>
      </c>
      <c r="B263" s="26" t="s">
        <v>742</v>
      </c>
      <c r="C263" s="26" t="s">
        <v>25</v>
      </c>
      <c r="D263" s="28" t="s">
        <v>743</v>
      </c>
      <c r="E263" s="26">
        <v>0</v>
      </c>
      <c r="F263" s="29" t="s">
        <v>226</v>
      </c>
    </row>
    <row r="264" spans="1:6" ht="43.5" x14ac:dyDescent="0.35">
      <c r="A264" s="26" t="s">
        <v>216</v>
      </c>
      <c r="B264" s="26" t="s">
        <v>744</v>
      </c>
      <c r="C264" s="26" t="s">
        <v>27</v>
      </c>
      <c r="D264" s="28" t="s">
        <v>745</v>
      </c>
      <c r="E264" s="26">
        <v>0</v>
      </c>
      <c r="F264" s="29" t="s">
        <v>229</v>
      </c>
    </row>
    <row r="265" spans="1:6" ht="29" x14ac:dyDescent="0.35">
      <c r="A265" s="26" t="s">
        <v>216</v>
      </c>
      <c r="B265" s="26" t="s">
        <v>746</v>
      </c>
      <c r="C265" s="26" t="s">
        <v>24</v>
      </c>
      <c r="D265" s="28" t="s">
        <v>747</v>
      </c>
      <c r="E265" s="26">
        <v>0</v>
      </c>
      <c r="F265" s="29" t="s">
        <v>232</v>
      </c>
    </row>
    <row r="266" spans="1:6" ht="43.5" x14ac:dyDescent="0.35">
      <c r="A266" s="26" t="s">
        <v>216</v>
      </c>
      <c r="B266" s="26" t="s">
        <v>748</v>
      </c>
      <c r="C266" s="26" t="s">
        <v>15</v>
      </c>
      <c r="D266" s="28" t="s">
        <v>218</v>
      </c>
      <c r="E266" s="26" t="s">
        <v>749</v>
      </c>
      <c r="F266" s="29" t="s">
        <v>220</v>
      </c>
    </row>
    <row r="267" spans="1:6" ht="29" x14ac:dyDescent="0.35">
      <c r="A267" s="26" t="s">
        <v>216</v>
      </c>
      <c r="B267" s="26" t="s">
        <v>750</v>
      </c>
      <c r="C267" s="26" t="s">
        <v>17</v>
      </c>
      <c r="D267" s="28" t="s">
        <v>751</v>
      </c>
      <c r="E267" s="26">
        <v>13658</v>
      </c>
      <c r="F267" s="29" t="s">
        <v>247</v>
      </c>
    </row>
    <row r="268" spans="1:6" ht="29" x14ac:dyDescent="0.35">
      <c r="A268" s="26" t="s">
        <v>216</v>
      </c>
      <c r="B268" s="26" t="s">
        <v>752</v>
      </c>
      <c r="C268" s="26" t="s">
        <v>20</v>
      </c>
      <c r="D268" s="28" t="s">
        <v>753</v>
      </c>
      <c r="E268" s="26">
        <v>13658</v>
      </c>
      <c r="F268" s="29" t="s">
        <v>223</v>
      </c>
    </row>
    <row r="269" spans="1:6" ht="58" x14ac:dyDescent="0.35">
      <c r="A269" s="26" t="s">
        <v>216</v>
      </c>
      <c r="B269" s="26" t="s">
        <v>754</v>
      </c>
      <c r="C269" s="26" t="s">
        <v>25</v>
      </c>
      <c r="D269" s="28" t="s">
        <v>755</v>
      </c>
      <c r="E269" s="26">
        <v>0</v>
      </c>
      <c r="F269" s="29" t="s">
        <v>226</v>
      </c>
    </row>
    <row r="270" spans="1:6" ht="43.5" x14ac:dyDescent="0.35">
      <c r="A270" s="26" t="s">
        <v>216</v>
      </c>
      <c r="B270" s="26" t="s">
        <v>756</v>
      </c>
      <c r="C270" s="26" t="s">
        <v>27</v>
      </c>
      <c r="D270" s="28" t="s">
        <v>757</v>
      </c>
      <c r="E270" s="26">
        <v>0</v>
      </c>
      <c r="F270" s="29" t="s">
        <v>229</v>
      </c>
    </row>
    <row r="271" spans="1:6" ht="29" x14ac:dyDescent="0.35">
      <c r="A271" s="26" t="s">
        <v>216</v>
      </c>
      <c r="B271" s="26" t="s">
        <v>758</v>
      </c>
      <c r="C271" s="26" t="s">
        <v>24</v>
      </c>
      <c r="D271" s="28" t="s">
        <v>759</v>
      </c>
      <c r="E271" s="26">
        <v>0</v>
      </c>
      <c r="F271" s="29" t="s">
        <v>232</v>
      </c>
    </row>
    <row r="272" spans="1:6" ht="43.5" x14ac:dyDescent="0.35">
      <c r="A272" s="26" t="s">
        <v>216</v>
      </c>
      <c r="B272" s="26" t="s">
        <v>760</v>
      </c>
      <c r="C272" s="26" t="s">
        <v>15</v>
      </c>
      <c r="D272" s="28" t="s">
        <v>218</v>
      </c>
      <c r="E272" s="26" t="s">
        <v>761</v>
      </c>
      <c r="F272" s="29" t="s">
        <v>220</v>
      </c>
    </row>
    <row r="273" spans="1:6" ht="29" x14ac:dyDescent="0.35">
      <c r="A273" s="26" t="s">
        <v>216</v>
      </c>
      <c r="B273" s="26" t="s">
        <v>762</v>
      </c>
      <c r="C273" s="26" t="s">
        <v>17</v>
      </c>
      <c r="D273" s="28" t="s">
        <v>763</v>
      </c>
      <c r="E273" s="26">
        <v>13658</v>
      </c>
      <c r="F273" s="29" t="s">
        <v>247</v>
      </c>
    </row>
    <row r="274" spans="1:6" ht="29" x14ac:dyDescent="0.35">
      <c r="A274" s="26" t="s">
        <v>216</v>
      </c>
      <c r="B274" s="26" t="s">
        <v>764</v>
      </c>
      <c r="C274" s="26" t="s">
        <v>20</v>
      </c>
      <c r="D274" s="28" t="s">
        <v>765</v>
      </c>
      <c r="E274" s="26">
        <v>13658</v>
      </c>
      <c r="F274" s="29" t="s">
        <v>223</v>
      </c>
    </row>
    <row r="275" spans="1:6" ht="58" x14ac:dyDescent="0.35">
      <c r="A275" s="26" t="s">
        <v>216</v>
      </c>
      <c r="B275" s="26" t="s">
        <v>766</v>
      </c>
      <c r="C275" s="26" t="s">
        <v>25</v>
      </c>
      <c r="D275" s="28" t="s">
        <v>767</v>
      </c>
      <c r="E275" s="26">
        <v>0</v>
      </c>
      <c r="F275" s="29" t="s">
        <v>226</v>
      </c>
    </row>
    <row r="276" spans="1:6" ht="43.5" x14ac:dyDescent="0.35">
      <c r="A276" s="26" t="s">
        <v>216</v>
      </c>
      <c r="B276" s="26" t="s">
        <v>768</v>
      </c>
      <c r="C276" s="26" t="s">
        <v>27</v>
      </c>
      <c r="D276" s="28" t="s">
        <v>769</v>
      </c>
      <c r="E276" s="26">
        <v>0</v>
      </c>
      <c r="F276" s="29" t="s">
        <v>229</v>
      </c>
    </row>
    <row r="277" spans="1:6" ht="29" x14ac:dyDescent="0.35">
      <c r="A277" s="26" t="s">
        <v>216</v>
      </c>
      <c r="B277" s="26" t="s">
        <v>770</v>
      </c>
      <c r="C277" s="26" t="s">
        <v>24</v>
      </c>
      <c r="D277" s="28" t="s">
        <v>771</v>
      </c>
      <c r="E277" s="26">
        <v>0</v>
      </c>
      <c r="F277" s="29" t="s">
        <v>232</v>
      </c>
    </row>
    <row r="278" spans="1:6" ht="43.5" x14ac:dyDescent="0.35">
      <c r="A278" s="26" t="s">
        <v>216</v>
      </c>
      <c r="B278" s="26" t="s">
        <v>772</v>
      </c>
      <c r="C278" s="26" t="s">
        <v>15</v>
      </c>
      <c r="D278" s="28" t="s">
        <v>218</v>
      </c>
      <c r="E278" s="26" t="s">
        <v>773</v>
      </c>
      <c r="F278" s="29" t="s">
        <v>220</v>
      </c>
    </row>
    <row r="279" spans="1:6" ht="29" x14ac:dyDescent="0.35">
      <c r="A279" s="26" t="s">
        <v>216</v>
      </c>
      <c r="B279" s="26" t="s">
        <v>774</v>
      </c>
      <c r="C279" s="26" t="s">
        <v>17</v>
      </c>
      <c r="D279" s="28" t="s">
        <v>775</v>
      </c>
      <c r="E279" s="26">
        <v>13658</v>
      </c>
      <c r="F279" s="29" t="s">
        <v>247</v>
      </c>
    </row>
    <row r="280" spans="1:6" ht="29" x14ac:dyDescent="0.35">
      <c r="A280" s="26" t="s">
        <v>216</v>
      </c>
      <c r="B280" s="26" t="s">
        <v>776</v>
      </c>
      <c r="C280" s="26" t="s">
        <v>20</v>
      </c>
      <c r="D280" s="28" t="s">
        <v>777</v>
      </c>
      <c r="E280" s="26">
        <v>13658</v>
      </c>
      <c r="F280" s="29" t="s">
        <v>223</v>
      </c>
    </row>
    <row r="281" spans="1:6" ht="58" x14ac:dyDescent="0.35">
      <c r="A281" s="26" t="s">
        <v>216</v>
      </c>
      <c r="B281" s="26" t="s">
        <v>778</v>
      </c>
      <c r="C281" s="26" t="s">
        <v>25</v>
      </c>
      <c r="D281" s="28" t="s">
        <v>779</v>
      </c>
      <c r="E281" s="26">
        <v>0</v>
      </c>
      <c r="F281" s="29" t="s">
        <v>226</v>
      </c>
    </row>
    <row r="282" spans="1:6" ht="43.5" x14ac:dyDescent="0.35">
      <c r="A282" s="26" t="s">
        <v>216</v>
      </c>
      <c r="B282" s="26" t="s">
        <v>780</v>
      </c>
      <c r="C282" s="26" t="s">
        <v>27</v>
      </c>
      <c r="D282" s="28" t="s">
        <v>781</v>
      </c>
      <c r="E282" s="26">
        <v>0</v>
      </c>
      <c r="F282" s="29" t="s">
        <v>229</v>
      </c>
    </row>
    <row r="283" spans="1:6" ht="29" x14ac:dyDescent="0.35">
      <c r="A283" s="26" t="s">
        <v>216</v>
      </c>
      <c r="B283" s="26" t="s">
        <v>782</v>
      </c>
      <c r="C283" s="26" t="s">
        <v>24</v>
      </c>
      <c r="D283" s="28" t="s">
        <v>783</v>
      </c>
      <c r="E283" s="26">
        <v>0</v>
      </c>
      <c r="F283" s="29" t="s">
        <v>232</v>
      </c>
    </row>
    <row r="284" spans="1:6" ht="43.5" x14ac:dyDescent="0.35">
      <c r="A284" s="26" t="s">
        <v>216</v>
      </c>
      <c r="B284" s="26" t="s">
        <v>784</v>
      </c>
      <c r="C284" s="26" t="s">
        <v>15</v>
      </c>
      <c r="D284" s="28" t="s">
        <v>218</v>
      </c>
      <c r="E284" s="26" t="s">
        <v>785</v>
      </c>
      <c r="F284" s="29" t="s">
        <v>220</v>
      </c>
    </row>
    <row r="285" spans="1:6" ht="29" x14ac:dyDescent="0.35">
      <c r="A285" s="26" t="s">
        <v>216</v>
      </c>
      <c r="B285" s="26" t="s">
        <v>786</v>
      </c>
      <c r="C285" s="26" t="s">
        <v>17</v>
      </c>
      <c r="D285" s="28" t="s">
        <v>787</v>
      </c>
      <c r="E285" s="26">
        <v>13658</v>
      </c>
      <c r="F285" s="29" t="s">
        <v>247</v>
      </c>
    </row>
    <row r="286" spans="1:6" ht="29" x14ac:dyDescent="0.35">
      <c r="A286" s="26" t="s">
        <v>216</v>
      </c>
      <c r="B286" s="26" t="s">
        <v>788</v>
      </c>
      <c r="C286" s="26" t="s">
        <v>20</v>
      </c>
      <c r="D286" s="28" t="s">
        <v>789</v>
      </c>
      <c r="E286" s="26">
        <v>13658</v>
      </c>
      <c r="F286" s="29" t="s">
        <v>223</v>
      </c>
    </row>
    <row r="287" spans="1:6" ht="58" x14ac:dyDescent="0.35">
      <c r="A287" s="26" t="s">
        <v>216</v>
      </c>
      <c r="B287" s="26" t="s">
        <v>790</v>
      </c>
      <c r="C287" s="26" t="s">
        <v>25</v>
      </c>
      <c r="D287" s="28" t="s">
        <v>791</v>
      </c>
      <c r="E287" s="26">
        <v>0</v>
      </c>
      <c r="F287" s="29" t="s">
        <v>226</v>
      </c>
    </row>
    <row r="288" spans="1:6" ht="43.5" x14ac:dyDescent="0.35">
      <c r="A288" s="26" t="s">
        <v>216</v>
      </c>
      <c r="B288" s="26" t="s">
        <v>792</v>
      </c>
      <c r="C288" s="26" t="s">
        <v>27</v>
      </c>
      <c r="D288" s="28" t="s">
        <v>793</v>
      </c>
      <c r="E288" s="26">
        <v>0</v>
      </c>
      <c r="F288" s="29" t="s">
        <v>229</v>
      </c>
    </row>
    <row r="289" spans="1:6" ht="29" x14ac:dyDescent="0.35">
      <c r="A289" s="26" t="s">
        <v>216</v>
      </c>
      <c r="B289" s="26" t="s">
        <v>794</v>
      </c>
      <c r="C289" s="26" t="s">
        <v>24</v>
      </c>
      <c r="D289" s="28" t="s">
        <v>795</v>
      </c>
      <c r="E289" s="26">
        <v>0</v>
      </c>
      <c r="F289" s="29" t="s">
        <v>232</v>
      </c>
    </row>
    <row r="290" spans="1:6" ht="43.5" x14ac:dyDescent="0.35">
      <c r="A290" s="26" t="s">
        <v>216</v>
      </c>
      <c r="B290" s="26" t="s">
        <v>796</v>
      </c>
      <c r="C290" s="26" t="s">
        <v>15</v>
      </c>
      <c r="D290" s="28" t="s">
        <v>218</v>
      </c>
      <c r="E290" s="26" t="s">
        <v>797</v>
      </c>
      <c r="F290" s="29" t="s">
        <v>220</v>
      </c>
    </row>
    <row r="291" spans="1:6" ht="29" x14ac:dyDescent="0.35">
      <c r="A291" s="26" t="s">
        <v>216</v>
      </c>
      <c r="B291" s="26" t="s">
        <v>798</v>
      </c>
      <c r="C291" s="26" t="s">
        <v>17</v>
      </c>
      <c r="D291" s="28" t="s">
        <v>799</v>
      </c>
      <c r="E291" s="26">
        <v>13658</v>
      </c>
      <c r="F291" s="29" t="s">
        <v>247</v>
      </c>
    </row>
    <row r="292" spans="1:6" ht="29" x14ac:dyDescent="0.35">
      <c r="A292" s="26" t="s">
        <v>216</v>
      </c>
      <c r="B292" s="26" t="s">
        <v>800</v>
      </c>
      <c r="C292" s="26" t="s">
        <v>20</v>
      </c>
      <c r="D292" s="28" t="s">
        <v>801</v>
      </c>
      <c r="E292" s="26">
        <v>13658</v>
      </c>
      <c r="F292" s="29" t="s">
        <v>223</v>
      </c>
    </row>
    <row r="293" spans="1:6" ht="58" x14ac:dyDescent="0.35">
      <c r="A293" s="26" t="s">
        <v>216</v>
      </c>
      <c r="B293" s="26" t="s">
        <v>802</v>
      </c>
      <c r="C293" s="26" t="s">
        <v>25</v>
      </c>
      <c r="D293" s="28" t="s">
        <v>803</v>
      </c>
      <c r="E293" s="26">
        <v>0</v>
      </c>
      <c r="F293" s="29" t="s">
        <v>226</v>
      </c>
    </row>
    <row r="294" spans="1:6" ht="43.5" x14ac:dyDescent="0.35">
      <c r="A294" s="26" t="s">
        <v>216</v>
      </c>
      <c r="B294" s="26" t="s">
        <v>804</v>
      </c>
      <c r="C294" s="26" t="s">
        <v>27</v>
      </c>
      <c r="D294" s="28" t="s">
        <v>805</v>
      </c>
      <c r="E294" s="26">
        <v>0</v>
      </c>
      <c r="F294" s="29" t="s">
        <v>229</v>
      </c>
    </row>
    <row r="295" spans="1:6" ht="29" x14ac:dyDescent="0.35">
      <c r="A295" s="26" t="s">
        <v>216</v>
      </c>
      <c r="B295" s="26" t="s">
        <v>806</v>
      </c>
      <c r="C295" s="26" t="s">
        <v>24</v>
      </c>
      <c r="D295" s="28" t="s">
        <v>807</v>
      </c>
      <c r="E295" s="26">
        <v>0</v>
      </c>
      <c r="F295" s="29" t="s">
        <v>232</v>
      </c>
    </row>
    <row r="296" spans="1:6" ht="43.5" x14ac:dyDescent="0.35">
      <c r="A296" s="26" t="s">
        <v>216</v>
      </c>
      <c r="B296" s="26" t="s">
        <v>808</v>
      </c>
      <c r="C296" s="26" t="s">
        <v>15</v>
      </c>
      <c r="D296" s="28" t="s">
        <v>218</v>
      </c>
      <c r="E296" s="26" t="s">
        <v>809</v>
      </c>
      <c r="F296" s="29" t="s">
        <v>220</v>
      </c>
    </row>
    <row r="297" spans="1:6" ht="29" x14ac:dyDescent="0.35">
      <c r="A297" s="26" t="s">
        <v>216</v>
      </c>
      <c r="B297" s="26" t="s">
        <v>810</v>
      </c>
      <c r="C297" s="26" t="s">
        <v>17</v>
      </c>
      <c r="D297" s="28" t="s">
        <v>811</v>
      </c>
      <c r="E297" s="26">
        <v>13658</v>
      </c>
      <c r="F297" s="29" t="s">
        <v>247</v>
      </c>
    </row>
    <row r="298" spans="1:6" ht="29" x14ac:dyDescent="0.35">
      <c r="A298" s="26" t="s">
        <v>216</v>
      </c>
      <c r="B298" s="26" t="s">
        <v>812</v>
      </c>
      <c r="C298" s="26" t="s">
        <v>20</v>
      </c>
      <c r="D298" s="28" t="s">
        <v>813</v>
      </c>
      <c r="E298" s="26">
        <v>13658</v>
      </c>
      <c r="F298" s="29" t="s">
        <v>223</v>
      </c>
    </row>
    <row r="299" spans="1:6" ht="58" x14ac:dyDescent="0.35">
      <c r="A299" s="26" t="s">
        <v>216</v>
      </c>
      <c r="B299" s="26" t="s">
        <v>814</v>
      </c>
      <c r="C299" s="26" t="s">
        <v>25</v>
      </c>
      <c r="D299" s="28" t="s">
        <v>815</v>
      </c>
      <c r="E299" s="26">
        <v>0</v>
      </c>
      <c r="F299" s="29" t="s">
        <v>226</v>
      </c>
    </row>
    <row r="300" spans="1:6" ht="43.5" x14ac:dyDescent="0.35">
      <c r="A300" s="26" t="s">
        <v>216</v>
      </c>
      <c r="B300" s="26" t="s">
        <v>816</v>
      </c>
      <c r="C300" s="26" t="s">
        <v>27</v>
      </c>
      <c r="D300" s="28" t="s">
        <v>817</v>
      </c>
      <c r="E300" s="26">
        <v>0</v>
      </c>
      <c r="F300" s="29" t="s">
        <v>229</v>
      </c>
    </row>
    <row r="301" spans="1:6" ht="29" x14ac:dyDescent="0.35">
      <c r="A301" s="26" t="s">
        <v>216</v>
      </c>
      <c r="B301" s="26" t="s">
        <v>818</v>
      </c>
      <c r="C301" s="26" t="s">
        <v>24</v>
      </c>
      <c r="D301" s="28" t="s">
        <v>819</v>
      </c>
      <c r="E301" s="26">
        <v>0</v>
      </c>
      <c r="F301" s="29" t="s">
        <v>232</v>
      </c>
    </row>
    <row r="302" spans="1:6" ht="43.5" x14ac:dyDescent="0.35">
      <c r="A302" s="26" t="s">
        <v>216</v>
      </c>
      <c r="B302" s="26" t="s">
        <v>820</v>
      </c>
      <c r="C302" s="26" t="s">
        <v>15</v>
      </c>
      <c r="D302" s="28" t="s">
        <v>218</v>
      </c>
      <c r="E302" s="26" t="s">
        <v>821</v>
      </c>
      <c r="F302" s="29" t="s">
        <v>220</v>
      </c>
    </row>
    <row r="303" spans="1:6" ht="29" x14ac:dyDescent="0.35">
      <c r="A303" s="26" t="s">
        <v>216</v>
      </c>
      <c r="B303" s="26" t="s">
        <v>822</v>
      </c>
      <c r="C303" s="26" t="s">
        <v>17</v>
      </c>
      <c r="D303" s="28" t="s">
        <v>823</v>
      </c>
      <c r="E303" s="26">
        <v>13658</v>
      </c>
      <c r="F303" s="29" t="s">
        <v>247</v>
      </c>
    </row>
    <row r="304" spans="1:6" ht="29" x14ac:dyDescent="0.35">
      <c r="A304" s="26" t="s">
        <v>216</v>
      </c>
      <c r="B304" s="26" t="s">
        <v>824</v>
      </c>
      <c r="C304" s="26" t="s">
        <v>20</v>
      </c>
      <c r="D304" s="28" t="s">
        <v>825</v>
      </c>
      <c r="E304" s="26">
        <v>13658</v>
      </c>
      <c r="F304" s="29" t="s">
        <v>223</v>
      </c>
    </row>
    <row r="305" spans="1:6" ht="58" x14ac:dyDescent="0.35">
      <c r="A305" s="26" t="s">
        <v>216</v>
      </c>
      <c r="B305" s="26" t="s">
        <v>826</v>
      </c>
      <c r="C305" s="26" t="s">
        <v>25</v>
      </c>
      <c r="D305" s="28" t="s">
        <v>827</v>
      </c>
      <c r="E305" s="26">
        <v>0</v>
      </c>
      <c r="F305" s="29" t="s">
        <v>226</v>
      </c>
    </row>
    <row r="306" spans="1:6" ht="43.5" x14ac:dyDescent="0.35">
      <c r="A306" s="26" t="s">
        <v>216</v>
      </c>
      <c r="B306" s="26" t="s">
        <v>828</v>
      </c>
      <c r="C306" s="26" t="s">
        <v>27</v>
      </c>
      <c r="D306" s="28" t="s">
        <v>829</v>
      </c>
      <c r="E306" s="26">
        <v>0</v>
      </c>
      <c r="F306" s="29" t="s">
        <v>229</v>
      </c>
    </row>
    <row r="307" spans="1:6" ht="29" x14ac:dyDescent="0.35">
      <c r="A307" s="26" t="s">
        <v>216</v>
      </c>
      <c r="B307" s="26" t="s">
        <v>830</v>
      </c>
      <c r="C307" s="26" t="s">
        <v>24</v>
      </c>
      <c r="D307" s="28" t="s">
        <v>831</v>
      </c>
      <c r="E307" s="26">
        <v>0</v>
      </c>
      <c r="F307" s="29" t="s">
        <v>232</v>
      </c>
    </row>
    <row r="308" spans="1:6" ht="43.5" x14ac:dyDescent="0.35">
      <c r="A308" s="26" t="s">
        <v>216</v>
      </c>
      <c r="B308" s="26" t="s">
        <v>832</v>
      </c>
      <c r="C308" s="26" t="s">
        <v>15</v>
      </c>
      <c r="D308" s="28" t="s">
        <v>218</v>
      </c>
      <c r="E308" s="26" t="s">
        <v>833</v>
      </c>
      <c r="F308" s="29" t="s">
        <v>220</v>
      </c>
    </row>
    <row r="309" spans="1:6" ht="29" x14ac:dyDescent="0.35">
      <c r="A309" s="26" t="s">
        <v>216</v>
      </c>
      <c r="B309" s="26" t="s">
        <v>834</v>
      </c>
      <c r="C309" s="26" t="s">
        <v>17</v>
      </c>
      <c r="D309" s="28" t="s">
        <v>835</v>
      </c>
      <c r="E309" s="26">
        <v>13658</v>
      </c>
      <c r="F309" s="29" t="s">
        <v>247</v>
      </c>
    </row>
    <row r="310" spans="1:6" ht="29" x14ac:dyDescent="0.35">
      <c r="A310" s="26" t="s">
        <v>216</v>
      </c>
      <c r="B310" s="26" t="s">
        <v>836</v>
      </c>
      <c r="C310" s="26" t="s">
        <v>20</v>
      </c>
      <c r="D310" s="28" t="s">
        <v>837</v>
      </c>
      <c r="E310" s="26">
        <v>13658</v>
      </c>
      <c r="F310" s="29" t="s">
        <v>223</v>
      </c>
    </row>
    <row r="311" spans="1:6" ht="58" x14ac:dyDescent="0.35">
      <c r="A311" s="26" t="s">
        <v>216</v>
      </c>
      <c r="B311" s="26" t="s">
        <v>838</v>
      </c>
      <c r="C311" s="26" t="s">
        <v>25</v>
      </c>
      <c r="D311" s="28" t="s">
        <v>839</v>
      </c>
      <c r="E311" s="26">
        <v>0</v>
      </c>
      <c r="F311" s="29" t="s">
        <v>226</v>
      </c>
    </row>
    <row r="312" spans="1:6" ht="43.5" x14ac:dyDescent="0.35">
      <c r="A312" s="26" t="s">
        <v>216</v>
      </c>
      <c r="B312" s="26" t="s">
        <v>840</v>
      </c>
      <c r="C312" s="26" t="s">
        <v>27</v>
      </c>
      <c r="D312" s="28" t="s">
        <v>841</v>
      </c>
      <c r="E312" s="26">
        <v>0</v>
      </c>
      <c r="F312" s="29" t="s">
        <v>229</v>
      </c>
    </row>
    <row r="313" spans="1:6" ht="29" x14ac:dyDescent="0.35">
      <c r="A313" s="26" t="s">
        <v>216</v>
      </c>
      <c r="B313" s="26" t="s">
        <v>842</v>
      </c>
      <c r="C313" s="26" t="s">
        <v>24</v>
      </c>
      <c r="D313" s="28" t="s">
        <v>843</v>
      </c>
      <c r="E313" s="26">
        <v>0</v>
      </c>
      <c r="F313" s="29" t="s">
        <v>232</v>
      </c>
    </row>
    <row r="314" spans="1:6" ht="43.5" x14ac:dyDescent="0.35">
      <c r="A314" s="26" t="s">
        <v>216</v>
      </c>
      <c r="B314" s="26" t="s">
        <v>844</v>
      </c>
      <c r="C314" s="26" t="s">
        <v>15</v>
      </c>
      <c r="D314" s="28" t="s">
        <v>218</v>
      </c>
      <c r="E314" s="26" t="s">
        <v>845</v>
      </c>
      <c r="F314" s="29" t="s">
        <v>220</v>
      </c>
    </row>
    <row r="315" spans="1:6" ht="29" x14ac:dyDescent="0.35">
      <c r="A315" s="26" t="s">
        <v>216</v>
      </c>
      <c r="B315" s="26" t="s">
        <v>846</v>
      </c>
      <c r="C315" s="26" t="s">
        <v>17</v>
      </c>
      <c r="D315" s="28" t="s">
        <v>847</v>
      </c>
      <c r="E315" s="26">
        <v>13658</v>
      </c>
      <c r="F315" s="29" t="s">
        <v>247</v>
      </c>
    </row>
    <row r="316" spans="1:6" ht="29" x14ac:dyDescent="0.35">
      <c r="A316" s="26" t="s">
        <v>216</v>
      </c>
      <c r="B316" s="26" t="s">
        <v>848</v>
      </c>
      <c r="C316" s="26" t="s">
        <v>20</v>
      </c>
      <c r="D316" s="28" t="s">
        <v>849</v>
      </c>
      <c r="E316" s="26">
        <v>13658</v>
      </c>
      <c r="F316" s="29" t="s">
        <v>223</v>
      </c>
    </row>
    <row r="317" spans="1:6" ht="58" x14ac:dyDescent="0.35">
      <c r="A317" s="26" t="s">
        <v>216</v>
      </c>
      <c r="B317" s="26" t="s">
        <v>850</v>
      </c>
      <c r="C317" s="26" t="s">
        <v>25</v>
      </c>
      <c r="D317" s="28" t="s">
        <v>851</v>
      </c>
      <c r="E317" s="26">
        <v>0</v>
      </c>
      <c r="F317" s="29" t="s">
        <v>226</v>
      </c>
    </row>
    <row r="318" spans="1:6" ht="43.5" x14ac:dyDescent="0.35">
      <c r="A318" s="26" t="s">
        <v>216</v>
      </c>
      <c r="B318" s="26" t="s">
        <v>852</v>
      </c>
      <c r="C318" s="26" t="s">
        <v>27</v>
      </c>
      <c r="D318" s="28" t="s">
        <v>853</v>
      </c>
      <c r="E318" s="26">
        <v>0</v>
      </c>
      <c r="F318" s="29" t="s">
        <v>229</v>
      </c>
    </row>
    <row r="319" spans="1:6" ht="29" x14ac:dyDescent="0.35">
      <c r="A319" s="26" t="s">
        <v>216</v>
      </c>
      <c r="B319" s="26" t="s">
        <v>854</v>
      </c>
      <c r="C319" s="26" t="s">
        <v>24</v>
      </c>
      <c r="D319" s="28" t="s">
        <v>855</v>
      </c>
      <c r="E319" s="26">
        <v>0</v>
      </c>
      <c r="F319" s="29" t="s">
        <v>232</v>
      </c>
    </row>
    <row r="320" spans="1:6" ht="43.5" x14ac:dyDescent="0.35">
      <c r="A320" s="26" t="s">
        <v>216</v>
      </c>
      <c r="B320" s="26" t="s">
        <v>856</v>
      </c>
      <c r="C320" s="26" t="s">
        <v>15</v>
      </c>
      <c r="D320" s="28" t="s">
        <v>218</v>
      </c>
      <c r="E320" s="26" t="s">
        <v>857</v>
      </c>
      <c r="F320" s="29" t="s">
        <v>220</v>
      </c>
    </row>
    <row r="321" spans="1:6" ht="29" x14ac:dyDescent="0.35">
      <c r="A321" s="26" t="s">
        <v>216</v>
      </c>
      <c r="B321" s="26" t="s">
        <v>858</v>
      </c>
      <c r="C321" s="26" t="s">
        <v>17</v>
      </c>
      <c r="D321" s="28" t="s">
        <v>859</v>
      </c>
      <c r="E321" s="26">
        <v>13658</v>
      </c>
      <c r="F321" s="29" t="s">
        <v>247</v>
      </c>
    </row>
    <row r="322" spans="1:6" ht="29" x14ac:dyDescent="0.35">
      <c r="A322" s="26" t="s">
        <v>216</v>
      </c>
      <c r="B322" s="26" t="s">
        <v>860</v>
      </c>
      <c r="C322" s="26" t="s">
        <v>20</v>
      </c>
      <c r="D322" s="28" t="s">
        <v>861</v>
      </c>
      <c r="E322" s="26">
        <v>13658</v>
      </c>
      <c r="F322" s="29" t="s">
        <v>223</v>
      </c>
    </row>
    <row r="323" spans="1:6" ht="58" x14ac:dyDescent="0.35">
      <c r="A323" s="26" t="s">
        <v>216</v>
      </c>
      <c r="B323" s="26" t="s">
        <v>862</v>
      </c>
      <c r="C323" s="26" t="s">
        <v>25</v>
      </c>
      <c r="D323" s="28" t="s">
        <v>863</v>
      </c>
      <c r="E323" s="26">
        <v>0</v>
      </c>
      <c r="F323" s="29" t="s">
        <v>226</v>
      </c>
    </row>
    <row r="324" spans="1:6" ht="43.5" x14ac:dyDescent="0.35">
      <c r="A324" s="26" t="s">
        <v>216</v>
      </c>
      <c r="B324" s="26" t="s">
        <v>864</v>
      </c>
      <c r="C324" s="26" t="s">
        <v>27</v>
      </c>
      <c r="D324" s="28" t="s">
        <v>865</v>
      </c>
      <c r="E324" s="26">
        <v>0</v>
      </c>
      <c r="F324" s="29" t="s">
        <v>229</v>
      </c>
    </row>
    <row r="325" spans="1:6" ht="29" x14ac:dyDescent="0.35">
      <c r="A325" s="26" t="s">
        <v>216</v>
      </c>
      <c r="B325" s="26" t="s">
        <v>866</v>
      </c>
      <c r="C325" s="26" t="s">
        <v>24</v>
      </c>
      <c r="D325" s="28" t="s">
        <v>867</v>
      </c>
      <c r="E325" s="26">
        <v>0</v>
      </c>
      <c r="F325" s="29" t="s">
        <v>232</v>
      </c>
    </row>
    <row r="326" spans="1:6" ht="43.5" x14ac:dyDescent="0.35">
      <c r="A326" s="26" t="s">
        <v>216</v>
      </c>
      <c r="B326" s="26" t="s">
        <v>868</v>
      </c>
      <c r="C326" s="26" t="s">
        <v>15</v>
      </c>
      <c r="D326" s="28" t="s">
        <v>218</v>
      </c>
      <c r="E326" s="26" t="s">
        <v>869</v>
      </c>
      <c r="F326" s="29" t="s">
        <v>220</v>
      </c>
    </row>
    <row r="327" spans="1:6" ht="29" x14ac:dyDescent="0.35">
      <c r="A327" s="26" t="s">
        <v>216</v>
      </c>
      <c r="B327" s="26" t="s">
        <v>870</v>
      </c>
      <c r="C327" s="26" t="s">
        <v>17</v>
      </c>
      <c r="D327" s="28" t="s">
        <v>871</v>
      </c>
      <c r="E327" s="26">
        <v>13658</v>
      </c>
      <c r="F327" s="29" t="s">
        <v>247</v>
      </c>
    </row>
    <row r="328" spans="1:6" ht="29" x14ac:dyDescent="0.35">
      <c r="A328" s="26" t="s">
        <v>216</v>
      </c>
      <c r="B328" s="26" t="s">
        <v>872</v>
      </c>
      <c r="C328" s="26" t="s">
        <v>20</v>
      </c>
      <c r="D328" s="28" t="s">
        <v>873</v>
      </c>
      <c r="E328" s="26">
        <v>13658</v>
      </c>
      <c r="F328" s="29" t="s">
        <v>223</v>
      </c>
    </row>
    <row r="329" spans="1:6" ht="58" x14ac:dyDescent="0.35">
      <c r="A329" s="26" t="s">
        <v>216</v>
      </c>
      <c r="B329" s="26" t="s">
        <v>874</v>
      </c>
      <c r="C329" s="26" t="s">
        <v>25</v>
      </c>
      <c r="D329" s="28" t="s">
        <v>875</v>
      </c>
      <c r="E329" s="26">
        <v>0</v>
      </c>
      <c r="F329" s="29" t="s">
        <v>226</v>
      </c>
    </row>
    <row r="330" spans="1:6" ht="43.5" x14ac:dyDescent="0.35">
      <c r="A330" s="26" t="s">
        <v>216</v>
      </c>
      <c r="B330" s="26" t="s">
        <v>876</v>
      </c>
      <c r="C330" s="26" t="s">
        <v>27</v>
      </c>
      <c r="D330" s="28" t="s">
        <v>877</v>
      </c>
      <c r="E330" s="26">
        <v>0</v>
      </c>
      <c r="F330" s="29" t="s">
        <v>229</v>
      </c>
    </row>
    <row r="331" spans="1:6" ht="29" x14ac:dyDescent="0.35">
      <c r="A331" s="26" t="s">
        <v>216</v>
      </c>
      <c r="B331" s="26" t="s">
        <v>878</v>
      </c>
      <c r="C331" s="26" t="s">
        <v>24</v>
      </c>
      <c r="D331" s="28" t="s">
        <v>879</v>
      </c>
      <c r="E331" s="26">
        <v>0</v>
      </c>
      <c r="F331" s="29" t="s">
        <v>232</v>
      </c>
    </row>
    <row r="332" spans="1:6" ht="43.5" x14ac:dyDescent="0.35">
      <c r="A332" s="26" t="s">
        <v>216</v>
      </c>
      <c r="B332" s="26" t="s">
        <v>880</v>
      </c>
      <c r="C332" s="26" t="s">
        <v>15</v>
      </c>
      <c r="D332" s="28" t="s">
        <v>218</v>
      </c>
      <c r="E332" s="26" t="s">
        <v>881</v>
      </c>
      <c r="F332" s="29" t="s">
        <v>220</v>
      </c>
    </row>
    <row r="333" spans="1:6" ht="29" x14ac:dyDescent="0.35">
      <c r="A333" s="26" t="s">
        <v>216</v>
      </c>
      <c r="B333" s="26" t="s">
        <v>882</v>
      </c>
      <c r="C333" s="26" t="s">
        <v>17</v>
      </c>
      <c r="D333" s="28" t="s">
        <v>883</v>
      </c>
      <c r="E333" s="26">
        <v>13658</v>
      </c>
      <c r="F333" s="29" t="s">
        <v>247</v>
      </c>
    </row>
    <row r="334" spans="1:6" ht="29" x14ac:dyDescent="0.35">
      <c r="A334" s="26" t="s">
        <v>216</v>
      </c>
      <c r="B334" s="26" t="s">
        <v>884</v>
      </c>
      <c r="C334" s="26" t="s">
        <v>20</v>
      </c>
      <c r="D334" s="28" t="s">
        <v>885</v>
      </c>
      <c r="E334" s="26">
        <v>13658</v>
      </c>
      <c r="F334" s="29" t="s">
        <v>223</v>
      </c>
    </row>
    <row r="335" spans="1:6" ht="58" x14ac:dyDescent="0.35">
      <c r="A335" s="26" t="s">
        <v>216</v>
      </c>
      <c r="B335" s="26" t="s">
        <v>886</v>
      </c>
      <c r="C335" s="26" t="s">
        <v>25</v>
      </c>
      <c r="D335" s="28" t="s">
        <v>887</v>
      </c>
      <c r="E335" s="26">
        <v>0</v>
      </c>
      <c r="F335" s="29" t="s">
        <v>226</v>
      </c>
    </row>
    <row r="336" spans="1:6" ht="43.5" x14ac:dyDescent="0.35">
      <c r="A336" s="26" t="s">
        <v>216</v>
      </c>
      <c r="B336" s="26" t="s">
        <v>888</v>
      </c>
      <c r="C336" s="26" t="s">
        <v>27</v>
      </c>
      <c r="D336" s="28" t="s">
        <v>889</v>
      </c>
      <c r="E336" s="26">
        <v>0</v>
      </c>
      <c r="F336" s="29" t="s">
        <v>229</v>
      </c>
    </row>
    <row r="337" spans="1:6" ht="29" x14ac:dyDescent="0.35">
      <c r="A337" s="26" t="s">
        <v>216</v>
      </c>
      <c r="B337" s="26" t="s">
        <v>890</v>
      </c>
      <c r="C337" s="26" t="s">
        <v>24</v>
      </c>
      <c r="D337" s="28" t="s">
        <v>891</v>
      </c>
      <c r="E337" s="26">
        <v>0</v>
      </c>
      <c r="F337" s="29" t="s">
        <v>232</v>
      </c>
    </row>
    <row r="338" spans="1:6" ht="43.5" x14ac:dyDescent="0.35">
      <c r="A338" s="26" t="s">
        <v>216</v>
      </c>
      <c r="B338" s="26" t="s">
        <v>892</v>
      </c>
      <c r="C338" s="26" t="s">
        <v>15</v>
      </c>
      <c r="D338" s="28" t="s">
        <v>218</v>
      </c>
      <c r="E338" s="26" t="s">
        <v>893</v>
      </c>
      <c r="F338" s="29" t="s">
        <v>220</v>
      </c>
    </row>
    <row r="339" spans="1:6" ht="29" x14ac:dyDescent="0.35">
      <c r="A339" s="26" t="s">
        <v>216</v>
      </c>
      <c r="B339" s="26" t="s">
        <v>894</v>
      </c>
      <c r="C339" s="26" t="s">
        <v>17</v>
      </c>
      <c r="D339" s="28" t="s">
        <v>895</v>
      </c>
      <c r="E339" s="26">
        <v>13658</v>
      </c>
      <c r="F339" s="29" t="s">
        <v>247</v>
      </c>
    </row>
    <row r="340" spans="1:6" ht="29" x14ac:dyDescent="0.35">
      <c r="A340" s="26" t="s">
        <v>216</v>
      </c>
      <c r="B340" s="26" t="s">
        <v>896</v>
      </c>
      <c r="C340" s="26" t="s">
        <v>20</v>
      </c>
      <c r="D340" s="28" t="s">
        <v>897</v>
      </c>
      <c r="E340" s="26">
        <v>13658</v>
      </c>
      <c r="F340" s="29" t="s">
        <v>223</v>
      </c>
    </row>
    <row r="341" spans="1:6" ht="58" x14ac:dyDescent="0.35">
      <c r="A341" s="26" t="s">
        <v>216</v>
      </c>
      <c r="B341" s="26" t="s">
        <v>898</v>
      </c>
      <c r="C341" s="26" t="s">
        <v>25</v>
      </c>
      <c r="D341" s="28" t="s">
        <v>899</v>
      </c>
      <c r="E341" s="26">
        <v>0</v>
      </c>
      <c r="F341" s="29" t="s">
        <v>226</v>
      </c>
    </row>
    <row r="342" spans="1:6" ht="43.5" x14ac:dyDescent="0.35">
      <c r="A342" s="26" t="s">
        <v>216</v>
      </c>
      <c r="B342" s="26" t="s">
        <v>900</v>
      </c>
      <c r="C342" s="26" t="s">
        <v>27</v>
      </c>
      <c r="D342" s="28" t="s">
        <v>901</v>
      </c>
      <c r="E342" s="26">
        <v>0</v>
      </c>
      <c r="F342" s="29" t="s">
        <v>229</v>
      </c>
    </row>
    <row r="343" spans="1:6" ht="29" x14ac:dyDescent="0.35">
      <c r="A343" s="26" t="s">
        <v>216</v>
      </c>
      <c r="B343" s="26" t="s">
        <v>902</v>
      </c>
      <c r="C343" s="26" t="s">
        <v>24</v>
      </c>
      <c r="D343" s="28" t="s">
        <v>903</v>
      </c>
      <c r="E343" s="26">
        <v>0</v>
      </c>
      <c r="F343" s="29" t="s">
        <v>232</v>
      </c>
    </row>
    <row r="344" spans="1:6" ht="43.5" x14ac:dyDescent="0.35">
      <c r="A344" s="26" t="s">
        <v>216</v>
      </c>
      <c r="B344" s="26" t="s">
        <v>904</v>
      </c>
      <c r="C344" s="26" t="s">
        <v>15</v>
      </c>
      <c r="D344" s="28" t="s">
        <v>218</v>
      </c>
      <c r="E344" s="26" t="s">
        <v>905</v>
      </c>
      <c r="F344" s="29" t="s">
        <v>220</v>
      </c>
    </row>
    <row r="345" spans="1:6" ht="29" x14ac:dyDescent="0.35">
      <c r="A345" s="26" t="s">
        <v>216</v>
      </c>
      <c r="B345" s="26" t="s">
        <v>906</v>
      </c>
      <c r="C345" s="26" t="s">
        <v>17</v>
      </c>
      <c r="D345" s="28" t="s">
        <v>907</v>
      </c>
      <c r="E345" s="26">
        <v>13658</v>
      </c>
      <c r="F345" s="29" t="s">
        <v>247</v>
      </c>
    </row>
    <row r="346" spans="1:6" ht="29" x14ac:dyDescent="0.35">
      <c r="A346" s="26" t="s">
        <v>216</v>
      </c>
      <c r="B346" s="26" t="s">
        <v>908</v>
      </c>
      <c r="C346" s="26" t="s">
        <v>20</v>
      </c>
      <c r="D346" s="28" t="s">
        <v>909</v>
      </c>
      <c r="E346" s="26">
        <v>13658</v>
      </c>
      <c r="F346" s="29" t="s">
        <v>223</v>
      </c>
    </row>
    <row r="347" spans="1:6" ht="58" x14ac:dyDescent="0.35">
      <c r="A347" s="26" t="s">
        <v>216</v>
      </c>
      <c r="B347" s="26" t="s">
        <v>910</v>
      </c>
      <c r="C347" s="26" t="s">
        <v>25</v>
      </c>
      <c r="D347" s="28" t="s">
        <v>911</v>
      </c>
      <c r="E347" s="26">
        <v>0</v>
      </c>
      <c r="F347" s="29" t="s">
        <v>226</v>
      </c>
    </row>
    <row r="348" spans="1:6" ht="43.5" x14ac:dyDescent="0.35">
      <c r="A348" s="26" t="s">
        <v>216</v>
      </c>
      <c r="B348" s="26" t="s">
        <v>912</v>
      </c>
      <c r="C348" s="26" t="s">
        <v>27</v>
      </c>
      <c r="D348" s="28" t="s">
        <v>913</v>
      </c>
      <c r="E348" s="26">
        <v>0</v>
      </c>
      <c r="F348" s="29" t="s">
        <v>229</v>
      </c>
    </row>
    <row r="349" spans="1:6" ht="29" x14ac:dyDescent="0.35">
      <c r="A349" s="26" t="s">
        <v>216</v>
      </c>
      <c r="B349" s="26" t="s">
        <v>914</v>
      </c>
      <c r="C349" s="26" t="s">
        <v>24</v>
      </c>
      <c r="D349" s="28" t="s">
        <v>915</v>
      </c>
      <c r="E349" s="26">
        <v>0</v>
      </c>
      <c r="F349" s="29" t="s">
        <v>232</v>
      </c>
    </row>
    <row r="350" spans="1:6" ht="43.5" x14ac:dyDescent="0.35">
      <c r="A350" s="26" t="s">
        <v>216</v>
      </c>
      <c r="B350" s="26" t="s">
        <v>916</v>
      </c>
      <c r="C350" s="26" t="s">
        <v>15</v>
      </c>
      <c r="D350" s="28" t="s">
        <v>218</v>
      </c>
      <c r="E350" s="26" t="s">
        <v>917</v>
      </c>
      <c r="F350" s="29" t="s">
        <v>220</v>
      </c>
    </row>
    <row r="351" spans="1:6" ht="29" x14ac:dyDescent="0.35">
      <c r="A351" s="26" t="s">
        <v>216</v>
      </c>
      <c r="B351" s="26" t="s">
        <v>918</v>
      </c>
      <c r="C351" s="26" t="s">
        <v>17</v>
      </c>
      <c r="D351" s="28" t="s">
        <v>919</v>
      </c>
      <c r="E351" s="26">
        <v>13658</v>
      </c>
      <c r="F351" s="29" t="s">
        <v>247</v>
      </c>
    </row>
    <row r="352" spans="1:6" ht="29" x14ac:dyDescent="0.35">
      <c r="A352" s="26" t="s">
        <v>216</v>
      </c>
      <c r="B352" s="26" t="s">
        <v>920</v>
      </c>
      <c r="C352" s="26" t="s">
        <v>20</v>
      </c>
      <c r="D352" s="28" t="s">
        <v>921</v>
      </c>
      <c r="E352" s="26">
        <v>13658</v>
      </c>
      <c r="F352" s="29" t="s">
        <v>223</v>
      </c>
    </row>
    <row r="353" spans="1:6" ht="58" x14ac:dyDescent="0.35">
      <c r="A353" s="26" t="s">
        <v>216</v>
      </c>
      <c r="B353" s="26" t="s">
        <v>922</v>
      </c>
      <c r="C353" s="26" t="s">
        <v>25</v>
      </c>
      <c r="D353" s="28" t="s">
        <v>923</v>
      </c>
      <c r="E353" s="26">
        <v>0</v>
      </c>
      <c r="F353" s="29" t="s">
        <v>226</v>
      </c>
    </row>
    <row r="354" spans="1:6" ht="43.5" x14ac:dyDescent="0.35">
      <c r="A354" s="26" t="s">
        <v>216</v>
      </c>
      <c r="B354" s="26" t="s">
        <v>924</v>
      </c>
      <c r="C354" s="26" t="s">
        <v>27</v>
      </c>
      <c r="D354" s="28" t="s">
        <v>925</v>
      </c>
      <c r="E354" s="26">
        <v>0</v>
      </c>
      <c r="F354" s="29" t="s">
        <v>229</v>
      </c>
    </row>
    <row r="355" spans="1:6" ht="29" x14ac:dyDescent="0.35">
      <c r="A355" s="26" t="s">
        <v>216</v>
      </c>
      <c r="B355" s="26" t="s">
        <v>926</v>
      </c>
      <c r="C355" s="26" t="s">
        <v>24</v>
      </c>
      <c r="D355" s="28" t="s">
        <v>927</v>
      </c>
      <c r="E355" s="26">
        <v>0</v>
      </c>
      <c r="F355" s="29" t="s">
        <v>232</v>
      </c>
    </row>
    <row r="356" spans="1:6" ht="43.5" x14ac:dyDescent="0.35">
      <c r="A356" s="26" t="s">
        <v>216</v>
      </c>
      <c r="B356" s="26" t="s">
        <v>928</v>
      </c>
      <c r="C356" s="26" t="s">
        <v>15</v>
      </c>
      <c r="D356" s="28" t="s">
        <v>218</v>
      </c>
      <c r="E356" s="26" t="s">
        <v>929</v>
      </c>
      <c r="F356" s="29" t="s">
        <v>220</v>
      </c>
    </row>
    <row r="357" spans="1:6" ht="29" x14ac:dyDescent="0.35">
      <c r="A357" s="26" t="s">
        <v>216</v>
      </c>
      <c r="B357" s="26" t="s">
        <v>930</v>
      </c>
      <c r="C357" s="26" t="s">
        <v>17</v>
      </c>
      <c r="D357" s="28" t="s">
        <v>931</v>
      </c>
      <c r="E357" s="26">
        <v>13658</v>
      </c>
      <c r="F357" s="29" t="s">
        <v>247</v>
      </c>
    </row>
    <row r="358" spans="1:6" ht="29" x14ac:dyDescent="0.35">
      <c r="A358" s="26" t="s">
        <v>216</v>
      </c>
      <c r="B358" s="26" t="s">
        <v>932</v>
      </c>
      <c r="C358" s="26" t="s">
        <v>20</v>
      </c>
      <c r="D358" s="28" t="s">
        <v>933</v>
      </c>
      <c r="E358" s="26">
        <v>13658</v>
      </c>
      <c r="F358" s="29" t="s">
        <v>223</v>
      </c>
    </row>
    <row r="359" spans="1:6" ht="58" x14ac:dyDescent="0.35">
      <c r="A359" s="26" t="s">
        <v>216</v>
      </c>
      <c r="B359" s="26" t="s">
        <v>934</v>
      </c>
      <c r="C359" s="26" t="s">
        <v>25</v>
      </c>
      <c r="D359" s="28" t="s">
        <v>935</v>
      </c>
      <c r="E359" s="26">
        <v>0</v>
      </c>
      <c r="F359" s="29" t="s">
        <v>226</v>
      </c>
    </row>
    <row r="360" spans="1:6" ht="43.5" x14ac:dyDescent="0.35">
      <c r="A360" s="26" t="s">
        <v>216</v>
      </c>
      <c r="B360" s="26" t="s">
        <v>936</v>
      </c>
      <c r="C360" s="26" t="s">
        <v>27</v>
      </c>
      <c r="D360" s="28" t="s">
        <v>937</v>
      </c>
      <c r="E360" s="26">
        <v>0</v>
      </c>
      <c r="F360" s="29" t="s">
        <v>229</v>
      </c>
    </row>
    <row r="361" spans="1:6" ht="29" x14ac:dyDescent="0.35">
      <c r="A361" s="26" t="s">
        <v>216</v>
      </c>
      <c r="B361" s="26" t="s">
        <v>938</v>
      </c>
      <c r="C361" s="26" t="s">
        <v>24</v>
      </c>
      <c r="D361" s="28" t="s">
        <v>939</v>
      </c>
      <c r="E361" s="26">
        <v>0</v>
      </c>
      <c r="F361" s="29" t="s">
        <v>232</v>
      </c>
    </row>
    <row r="362" spans="1:6" ht="43.5" x14ac:dyDescent="0.35">
      <c r="A362" s="26" t="s">
        <v>216</v>
      </c>
      <c r="B362" s="26" t="s">
        <v>940</v>
      </c>
      <c r="C362" s="26" t="s">
        <v>15</v>
      </c>
      <c r="D362" s="28" t="s">
        <v>218</v>
      </c>
      <c r="E362" s="26" t="s">
        <v>941</v>
      </c>
      <c r="F362" s="29" t="s">
        <v>220</v>
      </c>
    </row>
    <row r="363" spans="1:6" ht="29" x14ac:dyDescent="0.35">
      <c r="A363" s="26" t="s">
        <v>216</v>
      </c>
      <c r="B363" s="26" t="s">
        <v>942</v>
      </c>
      <c r="C363" s="26" t="s">
        <v>17</v>
      </c>
      <c r="D363" s="28" t="s">
        <v>943</v>
      </c>
      <c r="E363" s="26">
        <v>13658</v>
      </c>
      <c r="F363" s="29" t="s">
        <v>247</v>
      </c>
    </row>
    <row r="364" spans="1:6" ht="29" x14ac:dyDescent="0.35">
      <c r="A364" s="26" t="s">
        <v>216</v>
      </c>
      <c r="B364" s="26" t="s">
        <v>944</v>
      </c>
      <c r="C364" s="26" t="s">
        <v>20</v>
      </c>
      <c r="D364" s="28" t="s">
        <v>945</v>
      </c>
      <c r="E364" s="26">
        <v>13658</v>
      </c>
      <c r="F364" s="29" t="s">
        <v>223</v>
      </c>
    </row>
    <row r="365" spans="1:6" ht="58" x14ac:dyDescent="0.35">
      <c r="A365" s="26" t="s">
        <v>216</v>
      </c>
      <c r="B365" s="26" t="s">
        <v>946</v>
      </c>
      <c r="C365" s="26" t="s">
        <v>25</v>
      </c>
      <c r="D365" s="28" t="s">
        <v>947</v>
      </c>
      <c r="E365" s="26">
        <v>0</v>
      </c>
      <c r="F365" s="29" t="s">
        <v>226</v>
      </c>
    </row>
    <row r="366" spans="1:6" ht="43.5" x14ac:dyDescent="0.35">
      <c r="A366" s="26" t="s">
        <v>216</v>
      </c>
      <c r="B366" s="26" t="s">
        <v>948</v>
      </c>
      <c r="C366" s="26" t="s">
        <v>27</v>
      </c>
      <c r="D366" s="28" t="s">
        <v>949</v>
      </c>
      <c r="E366" s="26">
        <v>0</v>
      </c>
      <c r="F366" s="29" t="s">
        <v>229</v>
      </c>
    </row>
    <row r="367" spans="1:6" ht="29" x14ac:dyDescent="0.35">
      <c r="A367" s="26" t="s">
        <v>216</v>
      </c>
      <c r="B367" s="26" t="s">
        <v>950</v>
      </c>
      <c r="C367" s="26" t="s">
        <v>24</v>
      </c>
      <c r="D367" s="28" t="s">
        <v>951</v>
      </c>
      <c r="E367" s="26">
        <v>0</v>
      </c>
      <c r="F367" s="29" t="s">
        <v>232</v>
      </c>
    </row>
    <row r="368" spans="1:6" ht="43.5" x14ac:dyDescent="0.35">
      <c r="A368" s="26" t="s">
        <v>216</v>
      </c>
      <c r="B368" s="26" t="s">
        <v>952</v>
      </c>
      <c r="C368" s="26" t="s">
        <v>15</v>
      </c>
      <c r="D368" s="28" t="s">
        <v>218</v>
      </c>
      <c r="E368" s="26" t="s">
        <v>953</v>
      </c>
      <c r="F368" s="29" t="s">
        <v>220</v>
      </c>
    </row>
    <row r="369" spans="1:6" ht="29" x14ac:dyDescent="0.35">
      <c r="A369" s="26" t="s">
        <v>216</v>
      </c>
      <c r="B369" s="26" t="s">
        <v>954</v>
      </c>
      <c r="C369" s="26" t="s">
        <v>17</v>
      </c>
      <c r="D369" s="28" t="s">
        <v>955</v>
      </c>
      <c r="E369" s="26">
        <v>13658</v>
      </c>
      <c r="F369" s="29" t="s">
        <v>247</v>
      </c>
    </row>
    <row r="370" spans="1:6" ht="29" x14ac:dyDescent="0.35">
      <c r="A370" s="26" t="s">
        <v>216</v>
      </c>
      <c r="B370" s="26" t="s">
        <v>956</v>
      </c>
      <c r="C370" s="26" t="s">
        <v>20</v>
      </c>
      <c r="D370" s="28" t="s">
        <v>957</v>
      </c>
      <c r="E370" s="26">
        <v>13658</v>
      </c>
      <c r="F370" s="29" t="s">
        <v>223</v>
      </c>
    </row>
    <row r="371" spans="1:6" ht="58" x14ac:dyDescent="0.35">
      <c r="A371" s="26" t="s">
        <v>216</v>
      </c>
      <c r="B371" s="26" t="s">
        <v>958</v>
      </c>
      <c r="C371" s="26" t="s">
        <v>25</v>
      </c>
      <c r="D371" s="28" t="s">
        <v>959</v>
      </c>
      <c r="E371" s="26">
        <v>0</v>
      </c>
      <c r="F371" s="29" t="s">
        <v>226</v>
      </c>
    </row>
    <row r="372" spans="1:6" ht="43.5" x14ac:dyDescent="0.35">
      <c r="A372" s="26" t="s">
        <v>216</v>
      </c>
      <c r="B372" s="26" t="s">
        <v>960</v>
      </c>
      <c r="C372" s="26" t="s">
        <v>27</v>
      </c>
      <c r="D372" s="28" t="s">
        <v>961</v>
      </c>
      <c r="E372" s="26">
        <v>0</v>
      </c>
      <c r="F372" s="29" t="s">
        <v>229</v>
      </c>
    </row>
    <row r="373" spans="1:6" ht="29" x14ac:dyDescent="0.35">
      <c r="A373" s="26" t="s">
        <v>216</v>
      </c>
      <c r="B373" s="26" t="s">
        <v>962</v>
      </c>
      <c r="C373" s="26" t="s">
        <v>24</v>
      </c>
      <c r="D373" s="28" t="s">
        <v>963</v>
      </c>
      <c r="E373" s="26">
        <v>0</v>
      </c>
      <c r="F373" s="29" t="s">
        <v>232</v>
      </c>
    </row>
    <row r="374" spans="1:6" ht="43.5" x14ac:dyDescent="0.35">
      <c r="A374" s="26" t="s">
        <v>216</v>
      </c>
      <c r="B374" s="26" t="s">
        <v>964</v>
      </c>
      <c r="C374" s="26" t="s">
        <v>15</v>
      </c>
      <c r="D374" s="28" t="s">
        <v>218</v>
      </c>
      <c r="E374" s="26" t="s">
        <v>965</v>
      </c>
      <c r="F374" s="29" t="s">
        <v>220</v>
      </c>
    </row>
    <row r="375" spans="1:6" ht="29" x14ac:dyDescent="0.35">
      <c r="A375" s="26" t="s">
        <v>216</v>
      </c>
      <c r="B375" s="26" t="s">
        <v>966</v>
      </c>
      <c r="C375" s="26" t="s">
        <v>17</v>
      </c>
      <c r="D375" s="28" t="s">
        <v>967</v>
      </c>
      <c r="E375" s="26">
        <v>13658</v>
      </c>
      <c r="F375" s="29" t="s">
        <v>247</v>
      </c>
    </row>
    <row r="376" spans="1:6" ht="29" x14ac:dyDescent="0.35">
      <c r="A376" s="26" t="s">
        <v>216</v>
      </c>
      <c r="B376" s="26" t="s">
        <v>968</v>
      </c>
      <c r="C376" s="26" t="s">
        <v>20</v>
      </c>
      <c r="D376" s="28" t="s">
        <v>969</v>
      </c>
      <c r="E376" s="26">
        <v>13658</v>
      </c>
      <c r="F376" s="29" t="s">
        <v>223</v>
      </c>
    </row>
    <row r="377" spans="1:6" ht="58" x14ac:dyDescent="0.35">
      <c r="A377" s="26" t="s">
        <v>216</v>
      </c>
      <c r="B377" s="26" t="s">
        <v>970</v>
      </c>
      <c r="C377" s="26" t="s">
        <v>25</v>
      </c>
      <c r="D377" s="28" t="s">
        <v>971</v>
      </c>
      <c r="E377" s="26">
        <v>0</v>
      </c>
      <c r="F377" s="29" t="s">
        <v>226</v>
      </c>
    </row>
    <row r="378" spans="1:6" ht="43.5" x14ac:dyDescent="0.35">
      <c r="A378" s="26" t="s">
        <v>216</v>
      </c>
      <c r="B378" s="26" t="s">
        <v>972</v>
      </c>
      <c r="C378" s="26" t="s">
        <v>27</v>
      </c>
      <c r="D378" s="28" t="s">
        <v>973</v>
      </c>
      <c r="E378" s="26">
        <v>0</v>
      </c>
      <c r="F378" s="29" t="s">
        <v>229</v>
      </c>
    </row>
    <row r="379" spans="1:6" ht="29" x14ac:dyDescent="0.35">
      <c r="A379" s="26" t="s">
        <v>216</v>
      </c>
      <c r="B379" s="26" t="s">
        <v>974</v>
      </c>
      <c r="C379" s="26" t="s">
        <v>24</v>
      </c>
      <c r="D379" s="28" t="s">
        <v>975</v>
      </c>
      <c r="E379" s="26">
        <v>0</v>
      </c>
      <c r="F379" s="29" t="s">
        <v>232</v>
      </c>
    </row>
    <row r="380" spans="1:6" ht="43.5" x14ac:dyDescent="0.35">
      <c r="A380" s="26" t="s">
        <v>216</v>
      </c>
      <c r="B380" s="26" t="s">
        <v>976</v>
      </c>
      <c r="C380" s="26" t="s">
        <v>15</v>
      </c>
      <c r="D380" s="28" t="s">
        <v>218</v>
      </c>
      <c r="E380" s="26" t="s">
        <v>977</v>
      </c>
      <c r="F380" s="29" t="s">
        <v>220</v>
      </c>
    </row>
    <row r="381" spans="1:6" ht="29" x14ac:dyDescent="0.35">
      <c r="A381" s="26" t="s">
        <v>216</v>
      </c>
      <c r="B381" s="26" t="s">
        <v>978</v>
      </c>
      <c r="C381" s="26" t="s">
        <v>17</v>
      </c>
      <c r="D381" s="28" t="s">
        <v>979</v>
      </c>
      <c r="E381" s="26">
        <v>13658</v>
      </c>
      <c r="F381" s="29" t="s">
        <v>247</v>
      </c>
    </row>
    <row r="382" spans="1:6" ht="29" x14ac:dyDescent="0.35">
      <c r="A382" s="26" t="s">
        <v>216</v>
      </c>
      <c r="B382" s="26" t="s">
        <v>980</v>
      </c>
      <c r="C382" s="26" t="s">
        <v>20</v>
      </c>
      <c r="D382" s="28" t="s">
        <v>981</v>
      </c>
      <c r="E382" s="26">
        <v>13658</v>
      </c>
      <c r="F382" s="29" t="s">
        <v>223</v>
      </c>
    </row>
    <row r="383" spans="1:6" ht="58" x14ac:dyDescent="0.35">
      <c r="A383" s="26" t="s">
        <v>216</v>
      </c>
      <c r="B383" s="26" t="s">
        <v>982</v>
      </c>
      <c r="C383" s="26" t="s">
        <v>25</v>
      </c>
      <c r="D383" s="28" t="s">
        <v>983</v>
      </c>
      <c r="E383" s="26">
        <v>0</v>
      </c>
      <c r="F383" s="29" t="s">
        <v>226</v>
      </c>
    </row>
    <row r="384" spans="1:6" ht="43.5" x14ac:dyDescent="0.35">
      <c r="A384" s="26" t="s">
        <v>216</v>
      </c>
      <c r="B384" s="26" t="s">
        <v>984</v>
      </c>
      <c r="C384" s="26" t="s">
        <v>27</v>
      </c>
      <c r="D384" s="28" t="s">
        <v>985</v>
      </c>
      <c r="E384" s="26">
        <v>0</v>
      </c>
      <c r="F384" s="29" t="s">
        <v>229</v>
      </c>
    </row>
    <row r="385" spans="1:6" ht="29" x14ac:dyDescent="0.35">
      <c r="A385" s="26" t="s">
        <v>216</v>
      </c>
      <c r="B385" s="26" t="s">
        <v>986</v>
      </c>
      <c r="C385" s="26" t="s">
        <v>24</v>
      </c>
      <c r="D385" s="28" t="s">
        <v>987</v>
      </c>
      <c r="E385" s="26">
        <v>0</v>
      </c>
      <c r="F385" s="29" t="s">
        <v>232</v>
      </c>
    </row>
    <row r="386" spans="1:6" ht="43.5" x14ac:dyDescent="0.35">
      <c r="A386" s="26" t="s">
        <v>216</v>
      </c>
      <c r="B386" s="26" t="s">
        <v>988</v>
      </c>
      <c r="C386" s="26" t="s">
        <v>15</v>
      </c>
      <c r="D386" s="28" t="s">
        <v>218</v>
      </c>
      <c r="E386" s="26" t="s">
        <v>989</v>
      </c>
      <c r="F386" s="29" t="s">
        <v>220</v>
      </c>
    </row>
    <row r="387" spans="1:6" ht="29" x14ac:dyDescent="0.35">
      <c r="A387" s="26" t="s">
        <v>216</v>
      </c>
      <c r="B387" s="26" t="s">
        <v>990</v>
      </c>
      <c r="C387" s="26" t="s">
        <v>17</v>
      </c>
      <c r="D387" s="28" t="s">
        <v>991</v>
      </c>
      <c r="E387" s="26">
        <v>13658</v>
      </c>
      <c r="F387" s="29" t="s">
        <v>247</v>
      </c>
    </row>
    <row r="388" spans="1:6" ht="29" x14ac:dyDescent="0.35">
      <c r="A388" s="26" t="s">
        <v>216</v>
      </c>
      <c r="B388" s="26" t="s">
        <v>992</v>
      </c>
      <c r="C388" s="26" t="s">
        <v>20</v>
      </c>
      <c r="D388" s="28" t="s">
        <v>993</v>
      </c>
      <c r="E388" s="26">
        <v>13658</v>
      </c>
      <c r="F388" s="29" t="s">
        <v>223</v>
      </c>
    </row>
    <row r="389" spans="1:6" ht="58" x14ac:dyDescent="0.35">
      <c r="A389" s="26" t="s">
        <v>216</v>
      </c>
      <c r="B389" s="26" t="s">
        <v>994</v>
      </c>
      <c r="C389" s="26" t="s">
        <v>25</v>
      </c>
      <c r="D389" s="28" t="s">
        <v>995</v>
      </c>
      <c r="E389" s="26">
        <v>0</v>
      </c>
      <c r="F389" s="29" t="s">
        <v>226</v>
      </c>
    </row>
    <row r="390" spans="1:6" ht="43.5" x14ac:dyDescent="0.35">
      <c r="A390" s="26" t="s">
        <v>216</v>
      </c>
      <c r="B390" s="26" t="s">
        <v>996</v>
      </c>
      <c r="C390" s="26" t="s">
        <v>27</v>
      </c>
      <c r="D390" s="28" t="s">
        <v>997</v>
      </c>
      <c r="E390" s="26">
        <v>0</v>
      </c>
      <c r="F390" s="29" t="s">
        <v>229</v>
      </c>
    </row>
    <row r="391" spans="1:6" ht="29" x14ac:dyDescent="0.35">
      <c r="A391" s="26" t="s">
        <v>216</v>
      </c>
      <c r="B391" s="26" t="s">
        <v>998</v>
      </c>
      <c r="C391" s="26" t="s">
        <v>24</v>
      </c>
      <c r="D391" s="28" t="s">
        <v>999</v>
      </c>
      <c r="E391" s="26">
        <v>0</v>
      </c>
      <c r="F391" s="29" t="s">
        <v>232</v>
      </c>
    </row>
    <row r="392" spans="1:6" ht="43.5" x14ac:dyDescent="0.35">
      <c r="A392" s="26" t="s">
        <v>216</v>
      </c>
      <c r="B392" s="26" t="s">
        <v>1000</v>
      </c>
      <c r="C392" s="26" t="s">
        <v>15</v>
      </c>
      <c r="D392" s="28" t="s">
        <v>218</v>
      </c>
      <c r="E392" s="26" t="s">
        <v>1001</v>
      </c>
      <c r="F392" s="29" t="s">
        <v>220</v>
      </c>
    </row>
    <row r="393" spans="1:6" ht="29" x14ac:dyDescent="0.35">
      <c r="A393" s="26" t="s">
        <v>216</v>
      </c>
      <c r="B393" s="26" t="s">
        <v>1002</v>
      </c>
      <c r="C393" s="26" t="s">
        <v>17</v>
      </c>
      <c r="D393" s="28" t="s">
        <v>1003</v>
      </c>
      <c r="E393" s="26">
        <v>13658</v>
      </c>
      <c r="F393" s="29" t="s">
        <v>247</v>
      </c>
    </row>
    <row r="394" spans="1:6" ht="29" x14ac:dyDescent="0.35">
      <c r="A394" s="26" t="s">
        <v>216</v>
      </c>
      <c r="B394" s="26" t="s">
        <v>1004</v>
      </c>
      <c r="C394" s="26" t="s">
        <v>20</v>
      </c>
      <c r="D394" s="28" t="s">
        <v>1005</v>
      </c>
      <c r="E394" s="26">
        <v>13658</v>
      </c>
      <c r="F394" s="29" t="s">
        <v>223</v>
      </c>
    </row>
    <row r="395" spans="1:6" ht="58" x14ac:dyDescent="0.35">
      <c r="A395" s="26" t="s">
        <v>216</v>
      </c>
      <c r="B395" s="26" t="s">
        <v>1006</v>
      </c>
      <c r="C395" s="26" t="s">
        <v>25</v>
      </c>
      <c r="D395" s="28" t="s">
        <v>1007</v>
      </c>
      <c r="E395" s="26">
        <v>0</v>
      </c>
      <c r="F395" s="29" t="s">
        <v>226</v>
      </c>
    </row>
    <row r="396" spans="1:6" ht="43.5" x14ac:dyDescent="0.35">
      <c r="A396" s="26" t="s">
        <v>216</v>
      </c>
      <c r="B396" s="26" t="s">
        <v>1008</v>
      </c>
      <c r="C396" s="26" t="s">
        <v>27</v>
      </c>
      <c r="D396" s="28" t="s">
        <v>1009</v>
      </c>
      <c r="E396" s="26">
        <v>0</v>
      </c>
      <c r="F396" s="29" t="s">
        <v>229</v>
      </c>
    </row>
    <row r="397" spans="1:6" ht="29" x14ac:dyDescent="0.35">
      <c r="A397" s="26" t="s">
        <v>216</v>
      </c>
      <c r="B397" s="26" t="s">
        <v>1010</v>
      </c>
      <c r="C397" s="26" t="s">
        <v>24</v>
      </c>
      <c r="D397" s="28" t="s">
        <v>1011</v>
      </c>
      <c r="E397" s="26">
        <v>0</v>
      </c>
      <c r="F397" s="29" t="s">
        <v>232</v>
      </c>
    </row>
    <row r="398" spans="1:6" ht="43.5" x14ac:dyDescent="0.35">
      <c r="A398" s="26" t="s">
        <v>216</v>
      </c>
      <c r="B398" s="26" t="s">
        <v>1012</v>
      </c>
      <c r="C398" s="26" t="s">
        <v>15</v>
      </c>
      <c r="D398" s="28" t="s">
        <v>218</v>
      </c>
      <c r="E398" s="26" t="s">
        <v>1013</v>
      </c>
      <c r="F398" s="29" t="s">
        <v>220</v>
      </c>
    </row>
    <row r="399" spans="1:6" ht="29" x14ac:dyDescent="0.35">
      <c r="A399" s="26" t="s">
        <v>216</v>
      </c>
      <c r="B399" s="26" t="s">
        <v>1014</v>
      </c>
      <c r="C399" s="26" t="s">
        <v>17</v>
      </c>
      <c r="D399" s="28" t="s">
        <v>1015</v>
      </c>
      <c r="E399" s="26">
        <v>13658</v>
      </c>
      <c r="F399" s="29" t="s">
        <v>247</v>
      </c>
    </row>
    <row r="400" spans="1:6" ht="29" x14ac:dyDescent="0.35">
      <c r="A400" s="26" t="s">
        <v>216</v>
      </c>
      <c r="B400" s="26" t="s">
        <v>1016</v>
      </c>
      <c r="C400" s="26" t="s">
        <v>20</v>
      </c>
      <c r="D400" s="28" t="s">
        <v>1017</v>
      </c>
      <c r="E400" s="26">
        <v>13658</v>
      </c>
      <c r="F400" s="29" t="s">
        <v>223</v>
      </c>
    </row>
    <row r="401" spans="1:6" ht="58" x14ac:dyDescent="0.35">
      <c r="A401" s="26" t="s">
        <v>216</v>
      </c>
      <c r="B401" s="26" t="s">
        <v>1018</v>
      </c>
      <c r="C401" s="26" t="s">
        <v>25</v>
      </c>
      <c r="D401" s="28" t="s">
        <v>1019</v>
      </c>
      <c r="E401" s="26">
        <v>0</v>
      </c>
      <c r="F401" s="29" t="s">
        <v>226</v>
      </c>
    </row>
    <row r="402" spans="1:6" ht="43.5" x14ac:dyDescent="0.35">
      <c r="A402" s="26" t="s">
        <v>216</v>
      </c>
      <c r="B402" s="26" t="s">
        <v>1020</v>
      </c>
      <c r="C402" s="26" t="s">
        <v>27</v>
      </c>
      <c r="D402" s="28" t="s">
        <v>1021</v>
      </c>
      <c r="E402" s="26">
        <v>0</v>
      </c>
      <c r="F402" s="29" t="s">
        <v>229</v>
      </c>
    </row>
    <row r="403" spans="1:6" ht="29" x14ac:dyDescent="0.35">
      <c r="A403" s="26" t="s">
        <v>216</v>
      </c>
      <c r="B403" s="26" t="s">
        <v>1022</v>
      </c>
      <c r="C403" s="26" t="s">
        <v>24</v>
      </c>
      <c r="D403" s="28" t="s">
        <v>1023</v>
      </c>
      <c r="E403" s="26">
        <v>0</v>
      </c>
      <c r="F403" s="29" t="s">
        <v>232</v>
      </c>
    </row>
    <row r="404" spans="1:6" ht="43.5" x14ac:dyDescent="0.35">
      <c r="A404" s="26" t="s">
        <v>216</v>
      </c>
      <c r="B404" s="26" t="s">
        <v>1024</v>
      </c>
      <c r="C404" s="26" t="s">
        <v>15</v>
      </c>
      <c r="D404" s="28" t="s">
        <v>218</v>
      </c>
      <c r="E404" s="26" t="s">
        <v>1025</v>
      </c>
      <c r="F404" s="29" t="s">
        <v>220</v>
      </c>
    </row>
    <row r="405" spans="1:6" ht="29" x14ac:dyDescent="0.35">
      <c r="A405" s="26" t="s">
        <v>216</v>
      </c>
      <c r="B405" s="26" t="s">
        <v>1026</v>
      </c>
      <c r="C405" s="26" t="s">
        <v>17</v>
      </c>
      <c r="D405" s="28" t="s">
        <v>1027</v>
      </c>
      <c r="E405" s="26">
        <v>13658</v>
      </c>
      <c r="F405" s="29" t="s">
        <v>247</v>
      </c>
    </row>
    <row r="406" spans="1:6" ht="29" x14ac:dyDescent="0.35">
      <c r="A406" s="26" t="s">
        <v>216</v>
      </c>
      <c r="B406" s="26" t="s">
        <v>1028</v>
      </c>
      <c r="C406" s="26" t="s">
        <v>20</v>
      </c>
      <c r="D406" s="28" t="s">
        <v>1029</v>
      </c>
      <c r="E406" s="26">
        <v>13658</v>
      </c>
      <c r="F406" s="29" t="s">
        <v>223</v>
      </c>
    </row>
    <row r="407" spans="1:6" ht="58" x14ac:dyDescent="0.35">
      <c r="A407" s="26" t="s">
        <v>216</v>
      </c>
      <c r="B407" s="26" t="s">
        <v>1030</v>
      </c>
      <c r="C407" s="26" t="s">
        <v>25</v>
      </c>
      <c r="D407" s="28" t="s">
        <v>1031</v>
      </c>
      <c r="E407" s="26">
        <v>0</v>
      </c>
      <c r="F407" s="29" t="s">
        <v>226</v>
      </c>
    </row>
    <row r="408" spans="1:6" ht="43.5" x14ac:dyDescent="0.35">
      <c r="A408" s="26" t="s">
        <v>216</v>
      </c>
      <c r="B408" s="26" t="s">
        <v>1032</v>
      </c>
      <c r="C408" s="26" t="s">
        <v>27</v>
      </c>
      <c r="D408" s="28" t="s">
        <v>1033</v>
      </c>
      <c r="E408" s="26">
        <v>0</v>
      </c>
      <c r="F408" s="29" t="s">
        <v>229</v>
      </c>
    </row>
    <row r="409" spans="1:6" ht="29" x14ac:dyDescent="0.35">
      <c r="A409" s="26" t="s">
        <v>216</v>
      </c>
      <c r="B409" s="26" t="s">
        <v>1034</v>
      </c>
      <c r="C409" s="26" t="s">
        <v>24</v>
      </c>
      <c r="D409" s="28" t="s">
        <v>1035</v>
      </c>
      <c r="E409" s="26">
        <v>0</v>
      </c>
      <c r="F409" s="29" t="s">
        <v>232</v>
      </c>
    </row>
    <row r="410" spans="1:6" ht="43.5" x14ac:dyDescent="0.35">
      <c r="A410" s="26" t="s">
        <v>216</v>
      </c>
      <c r="B410" s="26" t="s">
        <v>1036</v>
      </c>
      <c r="C410" s="26" t="s">
        <v>15</v>
      </c>
      <c r="D410" s="28" t="s">
        <v>218</v>
      </c>
      <c r="E410" s="26" t="s">
        <v>1037</v>
      </c>
      <c r="F410" s="29" t="s">
        <v>220</v>
      </c>
    </row>
    <row r="411" spans="1:6" ht="29" x14ac:dyDescent="0.35">
      <c r="A411" s="26" t="s">
        <v>216</v>
      </c>
      <c r="B411" s="26" t="s">
        <v>1038</v>
      </c>
      <c r="C411" s="26" t="s">
        <v>17</v>
      </c>
      <c r="D411" s="28" t="s">
        <v>1039</v>
      </c>
      <c r="E411" s="26">
        <v>13658</v>
      </c>
      <c r="F411" s="29" t="s">
        <v>247</v>
      </c>
    </row>
    <row r="412" spans="1:6" ht="29" x14ac:dyDescent="0.35">
      <c r="A412" s="26" t="s">
        <v>216</v>
      </c>
      <c r="B412" s="26" t="s">
        <v>1040</v>
      </c>
      <c r="C412" s="26" t="s">
        <v>20</v>
      </c>
      <c r="D412" s="28" t="s">
        <v>1041</v>
      </c>
      <c r="E412" s="26">
        <v>13658</v>
      </c>
      <c r="F412" s="29" t="s">
        <v>223</v>
      </c>
    </row>
    <row r="413" spans="1:6" ht="58" x14ac:dyDescent="0.35">
      <c r="A413" s="26" t="s">
        <v>216</v>
      </c>
      <c r="B413" s="26" t="s">
        <v>1042</v>
      </c>
      <c r="C413" s="26" t="s">
        <v>25</v>
      </c>
      <c r="D413" s="28" t="s">
        <v>1043</v>
      </c>
      <c r="E413" s="26">
        <v>0</v>
      </c>
      <c r="F413" s="29" t="s">
        <v>226</v>
      </c>
    </row>
    <row r="414" spans="1:6" ht="43.5" x14ac:dyDescent="0.35">
      <c r="A414" s="26" t="s">
        <v>216</v>
      </c>
      <c r="B414" s="26" t="s">
        <v>1044</v>
      </c>
      <c r="C414" s="26" t="s">
        <v>27</v>
      </c>
      <c r="D414" s="28" t="s">
        <v>1045</v>
      </c>
      <c r="E414" s="26">
        <v>0</v>
      </c>
      <c r="F414" s="29" t="s">
        <v>229</v>
      </c>
    </row>
    <row r="415" spans="1:6" ht="29" x14ac:dyDescent="0.35">
      <c r="A415" s="26" t="s">
        <v>216</v>
      </c>
      <c r="B415" s="26" t="s">
        <v>1046</v>
      </c>
      <c r="C415" s="26" t="s">
        <v>24</v>
      </c>
      <c r="D415" s="28" t="s">
        <v>1047</v>
      </c>
      <c r="E415" s="26">
        <v>0</v>
      </c>
      <c r="F415" s="29" t="s">
        <v>232</v>
      </c>
    </row>
    <row r="416" spans="1:6" ht="43.5" x14ac:dyDescent="0.35">
      <c r="A416" s="26" t="s">
        <v>216</v>
      </c>
      <c r="B416" s="26" t="s">
        <v>1048</v>
      </c>
      <c r="C416" s="26" t="s">
        <v>15</v>
      </c>
      <c r="D416" s="28" t="s">
        <v>218</v>
      </c>
      <c r="E416" s="26" t="s">
        <v>1049</v>
      </c>
      <c r="F416" s="29" t="s">
        <v>220</v>
      </c>
    </row>
    <row r="417" spans="1:6" ht="29" x14ac:dyDescent="0.35">
      <c r="A417" s="26" t="s">
        <v>216</v>
      </c>
      <c r="B417" s="26" t="s">
        <v>1050</v>
      </c>
      <c r="C417" s="26" t="s">
        <v>17</v>
      </c>
      <c r="D417" s="28" t="s">
        <v>1051</v>
      </c>
      <c r="E417" s="26">
        <v>13658</v>
      </c>
      <c r="F417" s="29" t="s">
        <v>247</v>
      </c>
    </row>
    <row r="418" spans="1:6" ht="29" x14ac:dyDescent="0.35">
      <c r="A418" s="26" t="s">
        <v>216</v>
      </c>
      <c r="B418" s="26" t="s">
        <v>1052</v>
      </c>
      <c r="C418" s="26" t="s">
        <v>20</v>
      </c>
      <c r="D418" s="28" t="s">
        <v>1053</v>
      </c>
      <c r="E418" s="26">
        <v>13658</v>
      </c>
      <c r="F418" s="29" t="s">
        <v>223</v>
      </c>
    </row>
    <row r="419" spans="1:6" ht="58" x14ac:dyDescent="0.35">
      <c r="A419" s="26" t="s">
        <v>216</v>
      </c>
      <c r="B419" s="26" t="s">
        <v>1054</v>
      </c>
      <c r="C419" s="26" t="s">
        <v>25</v>
      </c>
      <c r="D419" s="28" t="s">
        <v>1055</v>
      </c>
      <c r="E419" s="26">
        <v>0</v>
      </c>
      <c r="F419" s="29" t="s">
        <v>226</v>
      </c>
    </row>
    <row r="420" spans="1:6" ht="43.5" x14ac:dyDescent="0.35">
      <c r="A420" s="26" t="s">
        <v>216</v>
      </c>
      <c r="B420" s="26" t="s">
        <v>1056</v>
      </c>
      <c r="C420" s="26" t="s">
        <v>27</v>
      </c>
      <c r="D420" s="28" t="s">
        <v>1057</v>
      </c>
      <c r="E420" s="26">
        <v>0</v>
      </c>
      <c r="F420" s="29" t="s">
        <v>229</v>
      </c>
    </row>
    <row r="421" spans="1:6" ht="29" x14ac:dyDescent="0.35">
      <c r="A421" s="26" t="s">
        <v>216</v>
      </c>
      <c r="B421" s="26" t="s">
        <v>1058</v>
      </c>
      <c r="C421" s="26" t="s">
        <v>24</v>
      </c>
      <c r="D421" s="28" t="s">
        <v>1059</v>
      </c>
      <c r="E421" s="26">
        <v>0</v>
      </c>
      <c r="F421" s="29" t="s">
        <v>232</v>
      </c>
    </row>
    <row r="422" spans="1:6" ht="43.5" x14ac:dyDescent="0.35">
      <c r="A422" s="26" t="s">
        <v>216</v>
      </c>
      <c r="B422" s="26" t="s">
        <v>1060</v>
      </c>
      <c r="C422" s="26" t="s">
        <v>15</v>
      </c>
      <c r="D422" s="28" t="s">
        <v>218</v>
      </c>
      <c r="E422" s="26" t="s">
        <v>1061</v>
      </c>
      <c r="F422" s="29" t="s">
        <v>220</v>
      </c>
    </row>
    <row r="423" spans="1:6" ht="29" x14ac:dyDescent="0.35">
      <c r="A423" s="26" t="s">
        <v>216</v>
      </c>
      <c r="B423" s="26" t="s">
        <v>1062</v>
      </c>
      <c r="C423" s="26" t="s">
        <v>17</v>
      </c>
      <c r="D423" s="28" t="s">
        <v>1063</v>
      </c>
      <c r="E423" s="26">
        <v>13658</v>
      </c>
      <c r="F423" s="29" t="s">
        <v>247</v>
      </c>
    </row>
    <row r="424" spans="1:6" ht="29" x14ac:dyDescent="0.35">
      <c r="A424" s="26" t="s">
        <v>216</v>
      </c>
      <c r="B424" s="26" t="s">
        <v>1064</v>
      </c>
      <c r="C424" s="26" t="s">
        <v>20</v>
      </c>
      <c r="D424" s="28" t="s">
        <v>1065</v>
      </c>
      <c r="E424" s="26">
        <v>13658</v>
      </c>
      <c r="F424" s="29" t="s">
        <v>223</v>
      </c>
    </row>
    <row r="425" spans="1:6" ht="58" x14ac:dyDescent="0.35">
      <c r="A425" s="26" t="s">
        <v>216</v>
      </c>
      <c r="B425" s="26" t="s">
        <v>1066</v>
      </c>
      <c r="C425" s="26" t="s">
        <v>25</v>
      </c>
      <c r="D425" s="28" t="s">
        <v>1067</v>
      </c>
      <c r="E425" s="26">
        <v>0</v>
      </c>
      <c r="F425" s="29" t="s">
        <v>226</v>
      </c>
    </row>
    <row r="426" spans="1:6" ht="43.5" x14ac:dyDescent="0.35">
      <c r="A426" s="26" t="s">
        <v>216</v>
      </c>
      <c r="B426" s="26" t="s">
        <v>1068</v>
      </c>
      <c r="C426" s="26" t="s">
        <v>27</v>
      </c>
      <c r="D426" s="28" t="s">
        <v>1069</v>
      </c>
      <c r="E426" s="26">
        <v>0</v>
      </c>
      <c r="F426" s="29" t="s">
        <v>229</v>
      </c>
    </row>
    <row r="427" spans="1:6" ht="29" x14ac:dyDescent="0.35">
      <c r="A427" s="26" t="s">
        <v>216</v>
      </c>
      <c r="B427" s="26" t="s">
        <v>1070</v>
      </c>
      <c r="C427" s="26" t="s">
        <v>24</v>
      </c>
      <c r="D427" s="28" t="s">
        <v>1071</v>
      </c>
      <c r="E427" s="26">
        <v>0</v>
      </c>
      <c r="F427" s="29" t="s">
        <v>232</v>
      </c>
    </row>
    <row r="428" spans="1:6" ht="43.5" x14ac:dyDescent="0.35">
      <c r="A428" s="26" t="s">
        <v>216</v>
      </c>
      <c r="B428" s="26" t="s">
        <v>1072</v>
      </c>
      <c r="C428" s="26" t="s">
        <v>15</v>
      </c>
      <c r="D428" s="28" t="s">
        <v>218</v>
      </c>
      <c r="E428" s="26" t="s">
        <v>1073</v>
      </c>
      <c r="F428" s="29" t="s">
        <v>220</v>
      </c>
    </row>
    <row r="429" spans="1:6" ht="29" x14ac:dyDescent="0.35">
      <c r="A429" s="26" t="s">
        <v>216</v>
      </c>
      <c r="B429" s="26" t="s">
        <v>1074</v>
      </c>
      <c r="C429" s="26" t="s">
        <v>17</v>
      </c>
      <c r="D429" s="28" t="s">
        <v>1075</v>
      </c>
      <c r="E429" s="26">
        <v>13658</v>
      </c>
      <c r="F429" s="29" t="s">
        <v>247</v>
      </c>
    </row>
    <row r="430" spans="1:6" ht="29" x14ac:dyDescent="0.35">
      <c r="A430" s="26" t="s">
        <v>216</v>
      </c>
      <c r="B430" s="26" t="s">
        <v>1076</v>
      </c>
      <c r="C430" s="26" t="s">
        <v>20</v>
      </c>
      <c r="D430" s="28" t="s">
        <v>1077</v>
      </c>
      <c r="E430" s="26">
        <v>13658</v>
      </c>
      <c r="F430" s="29" t="s">
        <v>223</v>
      </c>
    </row>
    <row r="431" spans="1:6" ht="58" x14ac:dyDescent="0.35">
      <c r="A431" s="26" t="s">
        <v>216</v>
      </c>
      <c r="B431" s="26" t="s">
        <v>1078</v>
      </c>
      <c r="C431" s="26" t="s">
        <v>25</v>
      </c>
      <c r="D431" s="28" t="s">
        <v>1079</v>
      </c>
      <c r="E431" s="26">
        <v>0</v>
      </c>
      <c r="F431" s="29" t="s">
        <v>226</v>
      </c>
    </row>
    <row r="432" spans="1:6" ht="43.5" x14ac:dyDescent="0.35">
      <c r="A432" s="26" t="s">
        <v>216</v>
      </c>
      <c r="B432" s="26" t="s">
        <v>1080</v>
      </c>
      <c r="C432" s="26" t="s">
        <v>27</v>
      </c>
      <c r="D432" s="28" t="s">
        <v>1081</v>
      </c>
      <c r="E432" s="26">
        <v>0</v>
      </c>
      <c r="F432" s="29" t="s">
        <v>229</v>
      </c>
    </row>
    <row r="433" spans="1:6" ht="29" x14ac:dyDescent="0.35">
      <c r="A433" s="26" t="s">
        <v>216</v>
      </c>
      <c r="B433" s="26" t="s">
        <v>1082</v>
      </c>
      <c r="C433" s="26" t="s">
        <v>24</v>
      </c>
      <c r="D433" s="28" t="s">
        <v>1083</v>
      </c>
      <c r="E433" s="26">
        <v>0</v>
      </c>
      <c r="F433" s="29" t="s">
        <v>232</v>
      </c>
    </row>
    <row r="434" spans="1:6" ht="43.5" x14ac:dyDescent="0.35">
      <c r="A434" s="26" t="s">
        <v>216</v>
      </c>
      <c r="B434" s="26" t="s">
        <v>1084</v>
      </c>
      <c r="C434" s="26" t="s">
        <v>15</v>
      </c>
      <c r="D434" s="28" t="s">
        <v>218</v>
      </c>
      <c r="E434" s="26" t="s">
        <v>1085</v>
      </c>
      <c r="F434" s="29" t="s">
        <v>220</v>
      </c>
    </row>
    <row r="435" spans="1:6" ht="29" x14ac:dyDescent="0.35">
      <c r="A435" s="26" t="s">
        <v>216</v>
      </c>
      <c r="B435" s="26" t="s">
        <v>1086</v>
      </c>
      <c r="C435" s="26" t="s">
        <v>17</v>
      </c>
      <c r="D435" s="28" t="s">
        <v>1087</v>
      </c>
      <c r="E435" s="26">
        <v>13658</v>
      </c>
      <c r="F435" s="29" t="s">
        <v>247</v>
      </c>
    </row>
    <row r="436" spans="1:6" ht="29" x14ac:dyDescent="0.35">
      <c r="A436" s="26" t="s">
        <v>216</v>
      </c>
      <c r="B436" s="26" t="s">
        <v>1088</v>
      </c>
      <c r="C436" s="26" t="s">
        <v>20</v>
      </c>
      <c r="D436" s="28" t="s">
        <v>1089</v>
      </c>
      <c r="E436" s="26">
        <v>13658</v>
      </c>
      <c r="F436" s="29" t="s">
        <v>223</v>
      </c>
    </row>
    <row r="437" spans="1:6" ht="58" x14ac:dyDescent="0.35">
      <c r="A437" s="26" t="s">
        <v>216</v>
      </c>
      <c r="B437" s="26" t="s">
        <v>1090</v>
      </c>
      <c r="C437" s="26" t="s">
        <v>25</v>
      </c>
      <c r="D437" s="28" t="s">
        <v>1091</v>
      </c>
      <c r="E437" s="26">
        <v>0</v>
      </c>
      <c r="F437" s="29" t="s">
        <v>226</v>
      </c>
    </row>
    <row r="438" spans="1:6" ht="43.5" x14ac:dyDescent="0.35">
      <c r="A438" s="26" t="s">
        <v>216</v>
      </c>
      <c r="B438" s="26" t="s">
        <v>1092</v>
      </c>
      <c r="C438" s="26" t="s">
        <v>27</v>
      </c>
      <c r="D438" s="28" t="s">
        <v>1093</v>
      </c>
      <c r="E438" s="26">
        <v>0</v>
      </c>
      <c r="F438" s="29" t="s">
        <v>229</v>
      </c>
    </row>
    <row r="439" spans="1:6" ht="29" x14ac:dyDescent="0.35">
      <c r="A439" s="26" t="s">
        <v>216</v>
      </c>
      <c r="B439" s="26" t="s">
        <v>1094</v>
      </c>
      <c r="C439" s="26" t="s">
        <v>24</v>
      </c>
      <c r="D439" s="28" t="s">
        <v>1095</v>
      </c>
      <c r="E439" s="26">
        <v>0</v>
      </c>
      <c r="F439" s="29" t="s">
        <v>232</v>
      </c>
    </row>
    <row r="440" spans="1:6" ht="43.5" x14ac:dyDescent="0.35">
      <c r="A440" s="26" t="s">
        <v>216</v>
      </c>
      <c r="B440" s="26" t="s">
        <v>1096</v>
      </c>
      <c r="C440" s="26" t="s">
        <v>15</v>
      </c>
      <c r="D440" s="28" t="s">
        <v>218</v>
      </c>
      <c r="E440" s="26" t="s">
        <v>1097</v>
      </c>
      <c r="F440" s="29" t="s">
        <v>220</v>
      </c>
    </row>
    <row r="441" spans="1:6" ht="29" x14ac:dyDescent="0.35">
      <c r="A441" s="26" t="s">
        <v>216</v>
      </c>
      <c r="B441" s="26" t="s">
        <v>1098</v>
      </c>
      <c r="C441" s="26" t="s">
        <v>17</v>
      </c>
      <c r="D441" s="28" t="s">
        <v>1099</v>
      </c>
      <c r="E441" s="26">
        <v>13658</v>
      </c>
      <c r="F441" s="29" t="s">
        <v>247</v>
      </c>
    </row>
    <row r="442" spans="1:6" ht="29" x14ac:dyDescent="0.35">
      <c r="A442" s="26" t="s">
        <v>216</v>
      </c>
      <c r="B442" s="26" t="s">
        <v>1100</v>
      </c>
      <c r="C442" s="26" t="s">
        <v>20</v>
      </c>
      <c r="D442" s="28" t="s">
        <v>1101</v>
      </c>
      <c r="E442" s="26">
        <v>13658</v>
      </c>
      <c r="F442" s="29" t="s">
        <v>223</v>
      </c>
    </row>
    <row r="443" spans="1:6" ht="58" x14ac:dyDescent="0.35">
      <c r="A443" s="26" t="s">
        <v>216</v>
      </c>
      <c r="B443" s="26" t="s">
        <v>1102</v>
      </c>
      <c r="C443" s="26" t="s">
        <v>25</v>
      </c>
      <c r="D443" s="28" t="s">
        <v>1103</v>
      </c>
      <c r="E443" s="26">
        <v>0</v>
      </c>
      <c r="F443" s="29" t="s">
        <v>226</v>
      </c>
    </row>
    <row r="444" spans="1:6" ht="43.5" x14ac:dyDescent="0.35">
      <c r="A444" s="26" t="s">
        <v>216</v>
      </c>
      <c r="B444" s="26" t="s">
        <v>1104</v>
      </c>
      <c r="C444" s="26" t="s">
        <v>27</v>
      </c>
      <c r="D444" s="28" t="s">
        <v>1105</v>
      </c>
      <c r="E444" s="26">
        <v>0</v>
      </c>
      <c r="F444" s="29" t="s">
        <v>229</v>
      </c>
    </row>
    <row r="445" spans="1:6" ht="29" x14ac:dyDescent="0.35">
      <c r="A445" s="26" t="s">
        <v>216</v>
      </c>
      <c r="B445" s="26" t="s">
        <v>1106</v>
      </c>
      <c r="C445" s="26" t="s">
        <v>24</v>
      </c>
      <c r="D445" s="28" t="s">
        <v>1107</v>
      </c>
      <c r="E445" s="26">
        <v>0</v>
      </c>
      <c r="F445" s="29" t="s">
        <v>232</v>
      </c>
    </row>
    <row r="446" spans="1:6" ht="43.5" x14ac:dyDescent="0.35">
      <c r="A446" s="26" t="s">
        <v>216</v>
      </c>
      <c r="B446" s="26" t="s">
        <v>1108</v>
      </c>
      <c r="C446" s="26" t="s">
        <v>15</v>
      </c>
      <c r="D446" s="28" t="s">
        <v>218</v>
      </c>
      <c r="E446" s="26" t="s">
        <v>1109</v>
      </c>
      <c r="F446" s="29" t="s">
        <v>220</v>
      </c>
    </row>
    <row r="447" spans="1:6" ht="29" x14ac:dyDescent="0.35">
      <c r="A447" s="26" t="s">
        <v>216</v>
      </c>
      <c r="B447" s="26" t="s">
        <v>1110</v>
      </c>
      <c r="C447" s="26" t="s">
        <v>17</v>
      </c>
      <c r="D447" s="28" t="s">
        <v>1111</v>
      </c>
      <c r="E447" s="26">
        <v>13658</v>
      </c>
      <c r="F447" s="29" t="s">
        <v>247</v>
      </c>
    </row>
    <row r="448" spans="1:6" ht="29" x14ac:dyDescent="0.35">
      <c r="A448" s="26" t="s">
        <v>216</v>
      </c>
      <c r="B448" s="26" t="s">
        <v>1112</v>
      </c>
      <c r="C448" s="26" t="s">
        <v>20</v>
      </c>
      <c r="D448" s="28" t="s">
        <v>1113</v>
      </c>
      <c r="E448" s="26">
        <v>13658</v>
      </c>
      <c r="F448" s="29" t="s">
        <v>223</v>
      </c>
    </row>
    <row r="449" spans="1:6" ht="58" x14ac:dyDescent="0.35">
      <c r="A449" s="26" t="s">
        <v>216</v>
      </c>
      <c r="B449" s="26" t="s">
        <v>1114</v>
      </c>
      <c r="C449" s="26" t="s">
        <v>25</v>
      </c>
      <c r="D449" s="28" t="s">
        <v>1115</v>
      </c>
      <c r="E449" s="26">
        <v>0</v>
      </c>
      <c r="F449" s="29" t="s">
        <v>226</v>
      </c>
    </row>
    <row r="450" spans="1:6" ht="43.5" x14ac:dyDescent="0.35">
      <c r="A450" s="26" t="s">
        <v>216</v>
      </c>
      <c r="B450" s="26" t="s">
        <v>1116</v>
      </c>
      <c r="C450" s="26" t="s">
        <v>27</v>
      </c>
      <c r="D450" s="28" t="s">
        <v>1117</v>
      </c>
      <c r="E450" s="26">
        <v>0</v>
      </c>
      <c r="F450" s="29" t="s">
        <v>229</v>
      </c>
    </row>
    <row r="451" spans="1:6" ht="29" x14ac:dyDescent="0.35">
      <c r="A451" s="26" t="s">
        <v>216</v>
      </c>
      <c r="B451" s="26" t="s">
        <v>1118</v>
      </c>
      <c r="C451" s="26" t="s">
        <v>24</v>
      </c>
      <c r="D451" s="28" t="s">
        <v>1119</v>
      </c>
      <c r="E451" s="26">
        <v>0</v>
      </c>
      <c r="F451" s="29" t="s">
        <v>232</v>
      </c>
    </row>
    <row r="452" spans="1:6" ht="43.5" x14ac:dyDescent="0.35">
      <c r="A452" s="26" t="s">
        <v>216</v>
      </c>
      <c r="B452" s="26" t="s">
        <v>1120</v>
      </c>
      <c r="C452" s="26" t="s">
        <v>15</v>
      </c>
      <c r="D452" s="28" t="s">
        <v>218</v>
      </c>
      <c r="E452" s="26" t="s">
        <v>1121</v>
      </c>
      <c r="F452" s="29" t="s">
        <v>220</v>
      </c>
    </row>
    <row r="453" spans="1:6" ht="29" x14ac:dyDescent="0.35">
      <c r="A453" s="26" t="s">
        <v>216</v>
      </c>
      <c r="B453" s="26" t="s">
        <v>1122</v>
      </c>
      <c r="C453" s="26" t="s">
        <v>17</v>
      </c>
      <c r="D453" s="28" t="s">
        <v>1123</v>
      </c>
      <c r="E453" s="26">
        <v>13658</v>
      </c>
      <c r="F453" s="29" t="s">
        <v>247</v>
      </c>
    </row>
    <row r="454" spans="1:6" ht="29" x14ac:dyDescent="0.35">
      <c r="A454" s="26" t="s">
        <v>216</v>
      </c>
      <c r="B454" s="26" t="s">
        <v>1124</v>
      </c>
      <c r="C454" s="26" t="s">
        <v>20</v>
      </c>
      <c r="D454" s="28" t="s">
        <v>1125</v>
      </c>
      <c r="E454" s="26">
        <v>13658</v>
      </c>
      <c r="F454" s="29" t="s">
        <v>223</v>
      </c>
    </row>
    <row r="455" spans="1:6" ht="58" x14ac:dyDescent="0.35">
      <c r="A455" s="26" t="s">
        <v>216</v>
      </c>
      <c r="B455" s="26" t="s">
        <v>1126</v>
      </c>
      <c r="C455" s="26" t="s">
        <v>25</v>
      </c>
      <c r="D455" s="28" t="s">
        <v>1127</v>
      </c>
      <c r="E455" s="26">
        <v>0</v>
      </c>
      <c r="F455" s="29" t="s">
        <v>226</v>
      </c>
    </row>
    <row r="456" spans="1:6" ht="43.5" x14ac:dyDescent="0.35">
      <c r="A456" s="26" t="s">
        <v>216</v>
      </c>
      <c r="B456" s="26" t="s">
        <v>1128</v>
      </c>
      <c r="C456" s="26" t="s">
        <v>27</v>
      </c>
      <c r="D456" s="28" t="s">
        <v>1129</v>
      </c>
      <c r="E456" s="26">
        <v>0</v>
      </c>
      <c r="F456" s="29" t="s">
        <v>229</v>
      </c>
    </row>
    <row r="457" spans="1:6" ht="29" x14ac:dyDescent="0.35">
      <c r="A457" s="26" t="s">
        <v>216</v>
      </c>
      <c r="B457" s="26" t="s">
        <v>1130</v>
      </c>
      <c r="C457" s="26" t="s">
        <v>24</v>
      </c>
      <c r="D457" s="28" t="s">
        <v>1131</v>
      </c>
      <c r="E457" s="26">
        <v>0</v>
      </c>
      <c r="F457" s="29" t="s">
        <v>232</v>
      </c>
    </row>
    <row r="458" spans="1:6" ht="43.5" x14ac:dyDescent="0.35">
      <c r="A458" s="26" t="s">
        <v>216</v>
      </c>
      <c r="B458" s="26" t="s">
        <v>1132</v>
      </c>
      <c r="C458" s="26" t="s">
        <v>15</v>
      </c>
      <c r="D458" s="28" t="s">
        <v>218</v>
      </c>
      <c r="E458" s="26" t="s">
        <v>1133</v>
      </c>
      <c r="F458" s="29" t="s">
        <v>220</v>
      </c>
    </row>
    <row r="459" spans="1:6" ht="29" x14ac:dyDescent="0.35">
      <c r="A459" s="26" t="s">
        <v>216</v>
      </c>
      <c r="B459" s="26" t="s">
        <v>1134</v>
      </c>
      <c r="C459" s="26" t="s">
        <v>17</v>
      </c>
      <c r="D459" s="28" t="s">
        <v>1135</v>
      </c>
      <c r="E459" s="26">
        <v>13658</v>
      </c>
      <c r="F459" s="29" t="s">
        <v>247</v>
      </c>
    </row>
    <row r="460" spans="1:6" ht="29" x14ac:dyDescent="0.35">
      <c r="A460" s="26" t="s">
        <v>216</v>
      </c>
      <c r="B460" s="26" t="s">
        <v>1136</v>
      </c>
      <c r="C460" s="26" t="s">
        <v>20</v>
      </c>
      <c r="D460" s="28" t="s">
        <v>1137</v>
      </c>
      <c r="E460" s="26">
        <v>13658</v>
      </c>
      <c r="F460" s="29" t="s">
        <v>223</v>
      </c>
    </row>
    <row r="461" spans="1:6" ht="58" x14ac:dyDescent="0.35">
      <c r="A461" s="26" t="s">
        <v>216</v>
      </c>
      <c r="B461" s="26" t="s">
        <v>1138</v>
      </c>
      <c r="C461" s="26" t="s">
        <v>25</v>
      </c>
      <c r="D461" s="28" t="s">
        <v>1139</v>
      </c>
      <c r="E461" s="26">
        <v>0</v>
      </c>
      <c r="F461" s="29" t="s">
        <v>226</v>
      </c>
    </row>
    <row r="462" spans="1:6" ht="43.5" x14ac:dyDescent="0.35">
      <c r="A462" s="26" t="s">
        <v>216</v>
      </c>
      <c r="B462" s="26" t="s">
        <v>1140</v>
      </c>
      <c r="C462" s="26" t="s">
        <v>27</v>
      </c>
      <c r="D462" s="28" t="s">
        <v>1141</v>
      </c>
      <c r="E462" s="26">
        <v>0</v>
      </c>
      <c r="F462" s="29" t="s">
        <v>229</v>
      </c>
    </row>
    <row r="463" spans="1:6" ht="29" x14ac:dyDescent="0.35">
      <c r="A463" s="26" t="s">
        <v>216</v>
      </c>
      <c r="B463" s="26" t="s">
        <v>1142</v>
      </c>
      <c r="C463" s="26" t="s">
        <v>24</v>
      </c>
      <c r="D463" s="28" t="s">
        <v>1143</v>
      </c>
      <c r="E463" s="26">
        <v>0</v>
      </c>
      <c r="F463" s="29" t="s">
        <v>232</v>
      </c>
    </row>
    <row r="464" spans="1:6" ht="43.5" x14ac:dyDescent="0.35">
      <c r="A464" s="26" t="s">
        <v>216</v>
      </c>
      <c r="B464" s="26" t="s">
        <v>1144</v>
      </c>
      <c r="C464" s="26" t="s">
        <v>15</v>
      </c>
      <c r="D464" s="28" t="s">
        <v>218</v>
      </c>
      <c r="E464" s="26" t="s">
        <v>1145</v>
      </c>
      <c r="F464" s="29" t="s">
        <v>220</v>
      </c>
    </row>
    <row r="465" spans="1:6" ht="29" x14ac:dyDescent="0.35">
      <c r="A465" s="26" t="s">
        <v>216</v>
      </c>
      <c r="B465" s="26" t="s">
        <v>1146</v>
      </c>
      <c r="C465" s="26" t="s">
        <v>17</v>
      </c>
      <c r="D465" s="28" t="s">
        <v>1147</v>
      </c>
      <c r="E465" s="26">
        <v>13658</v>
      </c>
      <c r="F465" s="29" t="s">
        <v>247</v>
      </c>
    </row>
    <row r="466" spans="1:6" ht="29" x14ac:dyDescent="0.35">
      <c r="A466" s="26" t="s">
        <v>216</v>
      </c>
      <c r="B466" s="26" t="s">
        <v>1148</v>
      </c>
      <c r="C466" s="26" t="s">
        <v>20</v>
      </c>
      <c r="D466" s="28" t="s">
        <v>1149</v>
      </c>
      <c r="E466" s="26">
        <v>13658</v>
      </c>
      <c r="F466" s="29" t="s">
        <v>223</v>
      </c>
    </row>
    <row r="467" spans="1:6" ht="58" x14ac:dyDescent="0.35">
      <c r="A467" s="26" t="s">
        <v>216</v>
      </c>
      <c r="B467" s="26" t="s">
        <v>1150</v>
      </c>
      <c r="C467" s="26" t="s">
        <v>25</v>
      </c>
      <c r="D467" s="28" t="s">
        <v>1151</v>
      </c>
      <c r="E467" s="26">
        <v>0</v>
      </c>
      <c r="F467" s="29" t="s">
        <v>226</v>
      </c>
    </row>
    <row r="468" spans="1:6" ht="43.5" x14ac:dyDescent="0.35">
      <c r="A468" s="26" t="s">
        <v>216</v>
      </c>
      <c r="B468" s="26" t="s">
        <v>1152</v>
      </c>
      <c r="C468" s="26" t="s">
        <v>27</v>
      </c>
      <c r="D468" s="28" t="s">
        <v>1153</v>
      </c>
      <c r="E468" s="26">
        <v>0</v>
      </c>
      <c r="F468" s="29" t="s">
        <v>229</v>
      </c>
    </row>
    <row r="469" spans="1:6" ht="29" x14ac:dyDescent="0.35">
      <c r="A469" s="26" t="s">
        <v>216</v>
      </c>
      <c r="B469" s="26" t="s">
        <v>1154</v>
      </c>
      <c r="C469" s="26" t="s">
        <v>24</v>
      </c>
      <c r="D469" s="28" t="s">
        <v>1155</v>
      </c>
      <c r="E469" s="26">
        <v>0</v>
      </c>
      <c r="F469" s="29" t="s">
        <v>232</v>
      </c>
    </row>
    <row r="470" spans="1:6" ht="43.5" x14ac:dyDescent="0.35">
      <c r="A470" s="26" t="s">
        <v>216</v>
      </c>
      <c r="B470" s="26" t="s">
        <v>1156</v>
      </c>
      <c r="C470" s="26" t="s">
        <v>15</v>
      </c>
      <c r="D470" s="28" t="s">
        <v>218</v>
      </c>
      <c r="E470" s="26" t="s">
        <v>1157</v>
      </c>
      <c r="F470" s="29" t="s">
        <v>220</v>
      </c>
    </row>
    <row r="471" spans="1:6" ht="29" x14ac:dyDescent="0.35">
      <c r="A471" s="26" t="s">
        <v>216</v>
      </c>
      <c r="B471" s="26" t="s">
        <v>1158</v>
      </c>
      <c r="C471" s="26" t="s">
        <v>17</v>
      </c>
      <c r="D471" s="28" t="s">
        <v>1159</v>
      </c>
      <c r="E471" s="26">
        <v>13658</v>
      </c>
      <c r="F471" s="29" t="s">
        <v>247</v>
      </c>
    </row>
    <row r="472" spans="1:6" ht="29" x14ac:dyDescent="0.35">
      <c r="A472" s="26" t="s">
        <v>216</v>
      </c>
      <c r="B472" s="26" t="s">
        <v>1160</v>
      </c>
      <c r="C472" s="26" t="s">
        <v>20</v>
      </c>
      <c r="D472" s="28" t="s">
        <v>1161</v>
      </c>
      <c r="E472" s="26">
        <v>13658</v>
      </c>
      <c r="F472" s="29" t="s">
        <v>223</v>
      </c>
    </row>
    <row r="473" spans="1:6" ht="58" x14ac:dyDescent="0.35">
      <c r="A473" s="26" t="s">
        <v>216</v>
      </c>
      <c r="B473" s="26" t="s">
        <v>1162</v>
      </c>
      <c r="C473" s="26" t="s">
        <v>25</v>
      </c>
      <c r="D473" s="28" t="s">
        <v>1163</v>
      </c>
      <c r="E473" s="26">
        <v>0</v>
      </c>
      <c r="F473" s="29" t="s">
        <v>226</v>
      </c>
    </row>
    <row r="474" spans="1:6" ht="43.5" x14ac:dyDescent="0.35">
      <c r="A474" s="26" t="s">
        <v>216</v>
      </c>
      <c r="B474" s="26" t="s">
        <v>1164</v>
      </c>
      <c r="C474" s="26" t="s">
        <v>27</v>
      </c>
      <c r="D474" s="28" t="s">
        <v>1165</v>
      </c>
      <c r="E474" s="26">
        <v>0</v>
      </c>
      <c r="F474" s="29" t="s">
        <v>229</v>
      </c>
    </row>
    <row r="475" spans="1:6" ht="29" x14ac:dyDescent="0.35">
      <c r="A475" s="26" t="s">
        <v>216</v>
      </c>
      <c r="B475" s="26" t="s">
        <v>1166</v>
      </c>
      <c r="C475" s="26" t="s">
        <v>24</v>
      </c>
      <c r="D475" s="28" t="s">
        <v>1167</v>
      </c>
      <c r="E475" s="26">
        <v>0</v>
      </c>
      <c r="F475" s="29" t="s">
        <v>232</v>
      </c>
    </row>
    <row r="476" spans="1:6" ht="43.5" x14ac:dyDescent="0.35">
      <c r="A476" s="26" t="s">
        <v>216</v>
      </c>
      <c r="B476" s="26" t="s">
        <v>1168</v>
      </c>
      <c r="C476" s="26" t="s">
        <v>15</v>
      </c>
      <c r="D476" s="28" t="s">
        <v>218</v>
      </c>
      <c r="E476" s="26" t="s">
        <v>1169</v>
      </c>
      <c r="F476" s="29" t="s">
        <v>220</v>
      </c>
    </row>
    <row r="477" spans="1:6" ht="29" x14ac:dyDescent="0.35">
      <c r="A477" s="26" t="s">
        <v>216</v>
      </c>
      <c r="B477" s="26" t="s">
        <v>1170</v>
      </c>
      <c r="C477" s="26" t="s">
        <v>17</v>
      </c>
      <c r="D477" s="28" t="s">
        <v>1171</v>
      </c>
      <c r="E477" s="26">
        <v>13658</v>
      </c>
      <c r="F477" s="29" t="s">
        <v>247</v>
      </c>
    </row>
    <row r="478" spans="1:6" ht="29" x14ac:dyDescent="0.35">
      <c r="A478" s="26" t="s">
        <v>216</v>
      </c>
      <c r="B478" s="26" t="s">
        <v>1172</v>
      </c>
      <c r="C478" s="26" t="s">
        <v>20</v>
      </c>
      <c r="D478" s="28" t="s">
        <v>1173</v>
      </c>
      <c r="E478" s="26">
        <v>13658</v>
      </c>
      <c r="F478" s="29" t="s">
        <v>223</v>
      </c>
    </row>
    <row r="479" spans="1:6" ht="58" x14ac:dyDescent="0.35">
      <c r="A479" s="26" t="s">
        <v>216</v>
      </c>
      <c r="B479" s="26" t="s">
        <v>1174</v>
      </c>
      <c r="C479" s="26" t="s">
        <v>25</v>
      </c>
      <c r="D479" s="28" t="s">
        <v>1175</v>
      </c>
      <c r="E479" s="26">
        <v>0</v>
      </c>
      <c r="F479" s="29" t="s">
        <v>226</v>
      </c>
    </row>
    <row r="480" spans="1:6" ht="43.5" x14ac:dyDescent="0.35">
      <c r="A480" s="26" t="s">
        <v>216</v>
      </c>
      <c r="B480" s="26" t="s">
        <v>1176</v>
      </c>
      <c r="C480" s="26" t="s">
        <v>27</v>
      </c>
      <c r="D480" s="28" t="s">
        <v>1177</v>
      </c>
      <c r="E480" s="26">
        <v>0</v>
      </c>
      <c r="F480" s="29" t="s">
        <v>229</v>
      </c>
    </row>
    <row r="481" spans="1:6" ht="29" x14ac:dyDescent="0.35">
      <c r="A481" s="26" t="s">
        <v>216</v>
      </c>
      <c r="B481" s="26" t="s">
        <v>1178</v>
      </c>
      <c r="C481" s="26" t="s">
        <v>24</v>
      </c>
      <c r="D481" s="28" t="s">
        <v>1179</v>
      </c>
      <c r="E481" s="26">
        <v>0</v>
      </c>
      <c r="F481" s="29" t="s">
        <v>232</v>
      </c>
    </row>
    <row r="482" spans="1:6" ht="43.5" x14ac:dyDescent="0.35">
      <c r="A482" s="26" t="s">
        <v>216</v>
      </c>
      <c r="B482" s="26" t="s">
        <v>1180</v>
      </c>
      <c r="C482" s="26" t="s">
        <v>15</v>
      </c>
      <c r="D482" s="28" t="s">
        <v>218</v>
      </c>
      <c r="E482" s="26" t="s">
        <v>1181</v>
      </c>
      <c r="F482" s="29" t="s">
        <v>220</v>
      </c>
    </row>
    <row r="483" spans="1:6" ht="29" x14ac:dyDescent="0.35">
      <c r="A483" s="26" t="s">
        <v>216</v>
      </c>
      <c r="B483" s="26" t="s">
        <v>1182</v>
      </c>
      <c r="C483" s="26" t="s">
        <v>17</v>
      </c>
      <c r="D483" s="28" t="s">
        <v>1183</v>
      </c>
      <c r="E483" s="26">
        <v>13658</v>
      </c>
      <c r="F483" s="29" t="s">
        <v>247</v>
      </c>
    </row>
    <row r="484" spans="1:6" ht="29" x14ac:dyDescent="0.35">
      <c r="A484" s="26" t="s">
        <v>216</v>
      </c>
      <c r="B484" s="26" t="s">
        <v>1184</v>
      </c>
      <c r="C484" s="26" t="s">
        <v>20</v>
      </c>
      <c r="D484" s="28" t="s">
        <v>1185</v>
      </c>
      <c r="E484" s="26">
        <v>13658</v>
      </c>
      <c r="F484" s="29" t="s">
        <v>223</v>
      </c>
    </row>
    <row r="485" spans="1:6" ht="58" x14ac:dyDescent="0.35">
      <c r="A485" s="26" t="s">
        <v>216</v>
      </c>
      <c r="B485" s="26" t="s">
        <v>1186</v>
      </c>
      <c r="C485" s="26" t="s">
        <v>25</v>
      </c>
      <c r="D485" s="28" t="s">
        <v>1187</v>
      </c>
      <c r="E485" s="26">
        <v>0</v>
      </c>
      <c r="F485" s="29" t="s">
        <v>226</v>
      </c>
    </row>
    <row r="486" spans="1:6" ht="43.5" x14ac:dyDescent="0.35">
      <c r="A486" s="26" t="s">
        <v>216</v>
      </c>
      <c r="B486" s="26" t="s">
        <v>1188</v>
      </c>
      <c r="C486" s="26" t="s">
        <v>27</v>
      </c>
      <c r="D486" s="28" t="s">
        <v>1189</v>
      </c>
      <c r="E486" s="26">
        <v>0</v>
      </c>
      <c r="F486" s="29" t="s">
        <v>229</v>
      </c>
    </row>
    <row r="487" spans="1:6" ht="29" x14ac:dyDescent="0.35">
      <c r="A487" s="26" t="s">
        <v>216</v>
      </c>
      <c r="B487" s="26" t="s">
        <v>1190</v>
      </c>
      <c r="C487" s="26" t="s">
        <v>24</v>
      </c>
      <c r="D487" s="28" t="s">
        <v>1191</v>
      </c>
      <c r="E487" s="26">
        <v>0</v>
      </c>
      <c r="F487" s="29" t="s">
        <v>232</v>
      </c>
    </row>
    <row r="488" spans="1:6" ht="43.5" x14ac:dyDescent="0.35">
      <c r="A488" s="26" t="s">
        <v>216</v>
      </c>
      <c r="B488" s="26" t="s">
        <v>1192</v>
      </c>
      <c r="C488" s="26" t="s">
        <v>15</v>
      </c>
      <c r="D488" s="28" t="s">
        <v>218</v>
      </c>
      <c r="E488" s="26" t="s">
        <v>1193</v>
      </c>
      <c r="F488" s="29" t="s">
        <v>220</v>
      </c>
    </row>
    <row r="489" spans="1:6" ht="29" x14ac:dyDescent="0.35">
      <c r="A489" s="26" t="s">
        <v>216</v>
      </c>
      <c r="B489" s="26" t="s">
        <v>1194</v>
      </c>
      <c r="C489" s="26" t="s">
        <v>17</v>
      </c>
      <c r="D489" s="28" t="s">
        <v>1195</v>
      </c>
      <c r="E489" s="26">
        <v>13658</v>
      </c>
      <c r="F489" s="29" t="s">
        <v>247</v>
      </c>
    </row>
    <row r="490" spans="1:6" ht="29" x14ac:dyDescent="0.35">
      <c r="A490" s="26" t="s">
        <v>216</v>
      </c>
      <c r="B490" s="26" t="s">
        <v>1196</v>
      </c>
      <c r="C490" s="26" t="s">
        <v>20</v>
      </c>
      <c r="D490" s="28" t="s">
        <v>1197</v>
      </c>
      <c r="E490" s="26">
        <v>13658</v>
      </c>
      <c r="F490" s="29" t="s">
        <v>223</v>
      </c>
    </row>
    <row r="491" spans="1:6" ht="58" x14ac:dyDescent="0.35">
      <c r="A491" s="26" t="s">
        <v>216</v>
      </c>
      <c r="B491" s="26" t="s">
        <v>1198</v>
      </c>
      <c r="C491" s="26" t="s">
        <v>25</v>
      </c>
      <c r="D491" s="28" t="s">
        <v>1199</v>
      </c>
      <c r="E491" s="26">
        <v>0</v>
      </c>
      <c r="F491" s="29" t="s">
        <v>226</v>
      </c>
    </row>
    <row r="492" spans="1:6" ht="43.5" x14ac:dyDescent="0.35">
      <c r="A492" s="26" t="s">
        <v>216</v>
      </c>
      <c r="B492" s="26" t="s">
        <v>1200</v>
      </c>
      <c r="C492" s="26" t="s">
        <v>27</v>
      </c>
      <c r="D492" s="28" t="s">
        <v>1201</v>
      </c>
      <c r="E492" s="26">
        <v>0</v>
      </c>
      <c r="F492" s="29" t="s">
        <v>229</v>
      </c>
    </row>
    <row r="493" spans="1:6" ht="29" x14ac:dyDescent="0.35">
      <c r="A493" s="26" t="s">
        <v>216</v>
      </c>
      <c r="B493" s="26" t="s">
        <v>1202</v>
      </c>
      <c r="C493" s="26" t="s">
        <v>24</v>
      </c>
      <c r="D493" s="28" t="s">
        <v>1203</v>
      </c>
      <c r="E493" s="26">
        <v>0</v>
      </c>
      <c r="F493" s="29" t="s">
        <v>232</v>
      </c>
    </row>
    <row r="494" spans="1:6" ht="43.5" x14ac:dyDescent="0.35">
      <c r="A494" s="26" t="s">
        <v>216</v>
      </c>
      <c r="B494" s="26" t="s">
        <v>1204</v>
      </c>
      <c r="C494" s="26" t="s">
        <v>15</v>
      </c>
      <c r="D494" s="28" t="s">
        <v>218</v>
      </c>
      <c r="E494" s="26" t="s">
        <v>1205</v>
      </c>
      <c r="F494" s="29" t="s">
        <v>220</v>
      </c>
    </row>
    <row r="495" spans="1:6" ht="29" x14ac:dyDescent="0.35">
      <c r="A495" s="26" t="s">
        <v>216</v>
      </c>
      <c r="B495" s="26" t="s">
        <v>1206</v>
      </c>
      <c r="C495" s="26" t="s">
        <v>17</v>
      </c>
      <c r="D495" s="28" t="s">
        <v>1207</v>
      </c>
      <c r="E495" s="26">
        <v>13658</v>
      </c>
      <c r="F495" s="29" t="s">
        <v>247</v>
      </c>
    </row>
    <row r="496" spans="1:6" ht="29" x14ac:dyDescent="0.35">
      <c r="A496" s="26" t="s">
        <v>216</v>
      </c>
      <c r="B496" s="26" t="s">
        <v>1208</v>
      </c>
      <c r="C496" s="26" t="s">
        <v>20</v>
      </c>
      <c r="D496" s="28" t="s">
        <v>1209</v>
      </c>
      <c r="E496" s="26">
        <v>13658</v>
      </c>
      <c r="F496" s="29" t="s">
        <v>223</v>
      </c>
    </row>
    <row r="497" spans="1:6" ht="58" x14ac:dyDescent="0.35">
      <c r="A497" s="26" t="s">
        <v>216</v>
      </c>
      <c r="B497" s="26" t="s">
        <v>1210</v>
      </c>
      <c r="C497" s="26" t="s">
        <v>25</v>
      </c>
      <c r="D497" s="28" t="s">
        <v>1211</v>
      </c>
      <c r="E497" s="26">
        <v>0</v>
      </c>
      <c r="F497" s="29" t="s">
        <v>226</v>
      </c>
    </row>
    <row r="498" spans="1:6" ht="43.5" x14ac:dyDescent="0.35">
      <c r="A498" s="26" t="s">
        <v>216</v>
      </c>
      <c r="B498" s="26" t="s">
        <v>1212</v>
      </c>
      <c r="C498" s="26" t="s">
        <v>27</v>
      </c>
      <c r="D498" s="28" t="s">
        <v>1213</v>
      </c>
      <c r="E498" s="26">
        <v>0</v>
      </c>
      <c r="F498" s="29" t="s">
        <v>229</v>
      </c>
    </row>
    <row r="499" spans="1:6" ht="29" x14ac:dyDescent="0.35">
      <c r="A499" s="26" t="s">
        <v>216</v>
      </c>
      <c r="B499" s="26" t="s">
        <v>1214</v>
      </c>
      <c r="C499" s="26" t="s">
        <v>24</v>
      </c>
      <c r="D499" s="28" t="s">
        <v>1215</v>
      </c>
      <c r="E499" s="26">
        <v>0</v>
      </c>
      <c r="F499" s="29" t="s">
        <v>232</v>
      </c>
    </row>
    <row r="500" spans="1:6" ht="43.5" x14ac:dyDescent="0.35">
      <c r="A500" s="26" t="s">
        <v>216</v>
      </c>
      <c r="B500" s="26" t="s">
        <v>1216</v>
      </c>
      <c r="C500" s="26" t="s">
        <v>15</v>
      </c>
      <c r="D500" s="28" t="s">
        <v>218</v>
      </c>
      <c r="E500" s="26" t="s">
        <v>1217</v>
      </c>
      <c r="F500" s="29" t="s">
        <v>220</v>
      </c>
    </row>
    <row r="501" spans="1:6" ht="29" x14ac:dyDescent="0.35">
      <c r="A501" s="26" t="s">
        <v>216</v>
      </c>
      <c r="B501" s="26" t="s">
        <v>1218</v>
      </c>
      <c r="C501" s="26" t="s">
        <v>17</v>
      </c>
      <c r="D501" s="28" t="s">
        <v>1219</v>
      </c>
      <c r="E501" s="26">
        <v>13658</v>
      </c>
      <c r="F501" s="29" t="s">
        <v>247</v>
      </c>
    </row>
    <row r="502" spans="1:6" ht="29" x14ac:dyDescent="0.35">
      <c r="A502" s="26" t="s">
        <v>216</v>
      </c>
      <c r="B502" s="26" t="s">
        <v>1220</v>
      </c>
      <c r="C502" s="26" t="s">
        <v>20</v>
      </c>
      <c r="D502" s="28" t="s">
        <v>1221</v>
      </c>
      <c r="E502" s="26">
        <v>13658</v>
      </c>
      <c r="F502" s="29" t="s">
        <v>223</v>
      </c>
    </row>
    <row r="503" spans="1:6" ht="58" x14ac:dyDescent="0.35">
      <c r="A503" s="26" t="s">
        <v>216</v>
      </c>
      <c r="B503" s="26" t="s">
        <v>1222</v>
      </c>
      <c r="C503" s="26" t="s">
        <v>25</v>
      </c>
      <c r="D503" s="28" t="s">
        <v>1223</v>
      </c>
      <c r="E503" s="26">
        <v>0</v>
      </c>
      <c r="F503" s="29" t="s">
        <v>226</v>
      </c>
    </row>
    <row r="504" spans="1:6" ht="43.5" x14ac:dyDescent="0.35">
      <c r="A504" s="26" t="s">
        <v>216</v>
      </c>
      <c r="B504" s="26" t="s">
        <v>1224</v>
      </c>
      <c r="C504" s="26" t="s">
        <v>27</v>
      </c>
      <c r="D504" s="28" t="s">
        <v>1225</v>
      </c>
      <c r="E504" s="26">
        <v>0</v>
      </c>
      <c r="F504" s="29" t="s">
        <v>229</v>
      </c>
    </row>
    <row r="505" spans="1:6" ht="29" x14ac:dyDescent="0.35">
      <c r="A505" s="26" t="s">
        <v>216</v>
      </c>
      <c r="B505" s="26" t="s">
        <v>1226</v>
      </c>
      <c r="C505" s="26" t="s">
        <v>24</v>
      </c>
      <c r="D505" s="28" t="s">
        <v>1227</v>
      </c>
      <c r="E505" s="26">
        <v>0</v>
      </c>
      <c r="F505" s="29" t="s">
        <v>232</v>
      </c>
    </row>
    <row r="506" spans="1:6" ht="43.5" x14ac:dyDescent="0.35">
      <c r="A506" s="26" t="s">
        <v>216</v>
      </c>
      <c r="B506" s="26" t="s">
        <v>1228</v>
      </c>
      <c r="C506" s="26" t="s">
        <v>15</v>
      </c>
      <c r="D506" s="28" t="s">
        <v>218</v>
      </c>
      <c r="E506" s="26" t="s">
        <v>1229</v>
      </c>
      <c r="F506" s="29" t="s">
        <v>220</v>
      </c>
    </row>
    <row r="507" spans="1:6" ht="29" x14ac:dyDescent="0.35">
      <c r="A507" s="26" t="s">
        <v>216</v>
      </c>
      <c r="B507" s="26" t="s">
        <v>1230</v>
      </c>
      <c r="C507" s="26" t="s">
        <v>17</v>
      </c>
      <c r="D507" s="28" t="s">
        <v>1231</v>
      </c>
      <c r="E507" s="26">
        <v>13658</v>
      </c>
      <c r="F507" s="29" t="s">
        <v>247</v>
      </c>
    </row>
    <row r="508" spans="1:6" ht="29" x14ac:dyDescent="0.35">
      <c r="A508" s="26" t="s">
        <v>216</v>
      </c>
      <c r="B508" s="26" t="s">
        <v>1232</v>
      </c>
      <c r="C508" s="26" t="s">
        <v>20</v>
      </c>
      <c r="D508" s="28" t="s">
        <v>1233</v>
      </c>
      <c r="E508" s="26">
        <v>13658</v>
      </c>
      <c r="F508" s="29" t="s">
        <v>223</v>
      </c>
    </row>
    <row r="509" spans="1:6" ht="58" x14ac:dyDescent="0.35">
      <c r="A509" s="26" t="s">
        <v>216</v>
      </c>
      <c r="B509" s="26" t="s">
        <v>1234</v>
      </c>
      <c r="C509" s="26" t="s">
        <v>25</v>
      </c>
      <c r="D509" s="28" t="s">
        <v>1235</v>
      </c>
      <c r="E509" s="26">
        <v>0</v>
      </c>
      <c r="F509" s="29" t="s">
        <v>226</v>
      </c>
    </row>
    <row r="510" spans="1:6" ht="43.5" x14ac:dyDescent="0.35">
      <c r="A510" s="26" t="s">
        <v>216</v>
      </c>
      <c r="B510" s="26" t="s">
        <v>1236</v>
      </c>
      <c r="C510" s="26" t="s">
        <v>27</v>
      </c>
      <c r="D510" s="28" t="s">
        <v>1237</v>
      </c>
      <c r="E510" s="26">
        <v>0</v>
      </c>
      <c r="F510" s="29" t="s">
        <v>229</v>
      </c>
    </row>
    <row r="511" spans="1:6" ht="29" x14ac:dyDescent="0.35">
      <c r="A511" s="26" t="s">
        <v>216</v>
      </c>
      <c r="B511" s="26" t="s">
        <v>1238</v>
      </c>
      <c r="C511" s="26" t="s">
        <v>24</v>
      </c>
      <c r="D511" s="28" t="s">
        <v>1239</v>
      </c>
      <c r="E511" s="26">
        <v>0</v>
      </c>
      <c r="F511" s="29" t="s">
        <v>232</v>
      </c>
    </row>
    <row r="512" spans="1:6" ht="43.5" x14ac:dyDescent="0.35">
      <c r="A512" s="26" t="s">
        <v>216</v>
      </c>
      <c r="B512" s="26" t="s">
        <v>1240</v>
      </c>
      <c r="C512" s="26" t="s">
        <v>15</v>
      </c>
      <c r="D512" s="28" t="s">
        <v>218</v>
      </c>
      <c r="E512" s="26" t="s">
        <v>1241</v>
      </c>
      <c r="F512" s="29" t="s">
        <v>220</v>
      </c>
    </row>
    <row r="513" spans="1:6" ht="29" x14ac:dyDescent="0.35">
      <c r="A513" s="26" t="s">
        <v>216</v>
      </c>
      <c r="B513" s="26" t="s">
        <v>1242</v>
      </c>
      <c r="C513" s="26" t="s">
        <v>17</v>
      </c>
      <c r="D513" s="28" t="s">
        <v>1243</v>
      </c>
      <c r="E513" s="26">
        <v>13658</v>
      </c>
      <c r="F513" s="29" t="s">
        <v>247</v>
      </c>
    </row>
    <row r="514" spans="1:6" ht="29" x14ac:dyDescent="0.35">
      <c r="A514" s="26" t="s">
        <v>216</v>
      </c>
      <c r="B514" s="26" t="s">
        <v>1244</v>
      </c>
      <c r="C514" s="26" t="s">
        <v>20</v>
      </c>
      <c r="D514" s="28" t="s">
        <v>1245</v>
      </c>
      <c r="E514" s="26">
        <v>13658</v>
      </c>
      <c r="F514" s="29" t="s">
        <v>223</v>
      </c>
    </row>
    <row r="515" spans="1:6" ht="58" x14ac:dyDescent="0.35">
      <c r="A515" s="26" t="s">
        <v>216</v>
      </c>
      <c r="B515" s="26" t="s">
        <v>1246</v>
      </c>
      <c r="C515" s="26" t="s">
        <v>25</v>
      </c>
      <c r="D515" s="28" t="s">
        <v>1247</v>
      </c>
      <c r="E515" s="26">
        <v>0</v>
      </c>
      <c r="F515" s="29" t="s">
        <v>226</v>
      </c>
    </row>
    <row r="516" spans="1:6" ht="43.5" x14ac:dyDescent="0.35">
      <c r="A516" s="26" t="s">
        <v>216</v>
      </c>
      <c r="B516" s="26" t="s">
        <v>1248</v>
      </c>
      <c r="C516" s="26" t="s">
        <v>27</v>
      </c>
      <c r="D516" s="28" t="s">
        <v>1249</v>
      </c>
      <c r="E516" s="26">
        <v>0</v>
      </c>
      <c r="F516" s="29" t="s">
        <v>229</v>
      </c>
    </row>
    <row r="517" spans="1:6" ht="29" x14ac:dyDescent="0.35">
      <c r="A517" s="26" t="s">
        <v>216</v>
      </c>
      <c r="B517" s="26" t="s">
        <v>1250</v>
      </c>
      <c r="C517" s="26" t="s">
        <v>24</v>
      </c>
      <c r="D517" s="28" t="s">
        <v>1251</v>
      </c>
      <c r="E517" s="26">
        <v>0</v>
      </c>
      <c r="F517" s="29" t="s">
        <v>232</v>
      </c>
    </row>
    <row r="518" spans="1:6" ht="43.5" x14ac:dyDescent="0.35">
      <c r="A518" s="26" t="s">
        <v>216</v>
      </c>
      <c r="B518" s="26" t="s">
        <v>1252</v>
      </c>
      <c r="C518" s="26" t="s">
        <v>15</v>
      </c>
      <c r="D518" s="28" t="s">
        <v>218</v>
      </c>
      <c r="E518" s="26" t="s">
        <v>1253</v>
      </c>
      <c r="F518" s="29" t="s">
        <v>220</v>
      </c>
    </row>
    <row r="519" spans="1:6" ht="29" x14ac:dyDescent="0.35">
      <c r="A519" s="26" t="s">
        <v>216</v>
      </c>
      <c r="B519" s="26" t="s">
        <v>1254</v>
      </c>
      <c r="C519" s="26" t="s">
        <v>17</v>
      </c>
      <c r="D519" s="28" t="s">
        <v>1255</v>
      </c>
      <c r="E519" s="26">
        <v>13658</v>
      </c>
      <c r="F519" s="29" t="s">
        <v>247</v>
      </c>
    </row>
    <row r="520" spans="1:6" ht="29" x14ac:dyDescent="0.35">
      <c r="A520" s="26" t="s">
        <v>216</v>
      </c>
      <c r="B520" s="26" t="s">
        <v>1256</v>
      </c>
      <c r="C520" s="26" t="s">
        <v>20</v>
      </c>
      <c r="D520" s="28" t="s">
        <v>1257</v>
      </c>
      <c r="E520" s="26">
        <v>13658</v>
      </c>
      <c r="F520" s="29" t="s">
        <v>223</v>
      </c>
    </row>
    <row r="521" spans="1:6" ht="58" x14ac:dyDescent="0.35">
      <c r="A521" s="26" t="s">
        <v>216</v>
      </c>
      <c r="B521" s="26" t="s">
        <v>1258</v>
      </c>
      <c r="C521" s="26" t="s">
        <v>25</v>
      </c>
      <c r="D521" s="28" t="s">
        <v>1259</v>
      </c>
      <c r="E521" s="26">
        <v>0</v>
      </c>
      <c r="F521" s="29" t="s">
        <v>226</v>
      </c>
    </row>
    <row r="522" spans="1:6" ht="43.5" x14ac:dyDescent="0.35">
      <c r="A522" s="26" t="s">
        <v>216</v>
      </c>
      <c r="B522" s="26" t="s">
        <v>1260</v>
      </c>
      <c r="C522" s="26" t="s">
        <v>27</v>
      </c>
      <c r="D522" s="28" t="s">
        <v>1261</v>
      </c>
      <c r="E522" s="26">
        <v>0</v>
      </c>
      <c r="F522" s="29" t="s">
        <v>229</v>
      </c>
    </row>
    <row r="523" spans="1:6" ht="29" x14ac:dyDescent="0.35">
      <c r="A523" s="26" t="s">
        <v>216</v>
      </c>
      <c r="B523" s="26" t="s">
        <v>1262</v>
      </c>
      <c r="C523" s="26" t="s">
        <v>24</v>
      </c>
      <c r="D523" s="28" t="s">
        <v>1263</v>
      </c>
      <c r="E523" s="26">
        <v>0</v>
      </c>
      <c r="F523" s="29" t="s">
        <v>232</v>
      </c>
    </row>
    <row r="524" spans="1:6" ht="43.5" x14ac:dyDescent="0.35">
      <c r="A524" s="26" t="s">
        <v>216</v>
      </c>
      <c r="B524" s="26" t="s">
        <v>1264</v>
      </c>
      <c r="C524" s="26" t="s">
        <v>15</v>
      </c>
      <c r="D524" s="28" t="s">
        <v>218</v>
      </c>
      <c r="E524" s="26" t="s">
        <v>1265</v>
      </c>
      <c r="F524" s="29" t="s">
        <v>220</v>
      </c>
    </row>
    <row r="525" spans="1:6" ht="29" x14ac:dyDescent="0.35">
      <c r="A525" s="26" t="s">
        <v>216</v>
      </c>
      <c r="B525" s="26" t="s">
        <v>1266</v>
      </c>
      <c r="C525" s="26" t="s">
        <v>17</v>
      </c>
      <c r="D525" s="28" t="s">
        <v>1267</v>
      </c>
      <c r="E525" s="26">
        <v>13658</v>
      </c>
      <c r="F525" s="29" t="s">
        <v>247</v>
      </c>
    </row>
    <row r="526" spans="1:6" ht="29" x14ac:dyDescent="0.35">
      <c r="A526" s="26" t="s">
        <v>216</v>
      </c>
      <c r="B526" s="26" t="s">
        <v>1268</v>
      </c>
      <c r="C526" s="26" t="s">
        <v>20</v>
      </c>
      <c r="D526" s="28" t="s">
        <v>1269</v>
      </c>
      <c r="E526" s="26">
        <v>13658</v>
      </c>
      <c r="F526" s="29" t="s">
        <v>223</v>
      </c>
    </row>
    <row r="527" spans="1:6" ht="58" x14ac:dyDescent="0.35">
      <c r="A527" s="26" t="s">
        <v>216</v>
      </c>
      <c r="B527" s="26" t="s">
        <v>1270</v>
      </c>
      <c r="C527" s="26" t="s">
        <v>25</v>
      </c>
      <c r="D527" s="28" t="s">
        <v>1271</v>
      </c>
      <c r="E527" s="26">
        <v>0</v>
      </c>
      <c r="F527" s="29" t="s">
        <v>226</v>
      </c>
    </row>
    <row r="528" spans="1:6" ht="43.5" x14ac:dyDescent="0.35">
      <c r="A528" s="26" t="s">
        <v>216</v>
      </c>
      <c r="B528" s="26" t="s">
        <v>1272</v>
      </c>
      <c r="C528" s="26" t="s">
        <v>27</v>
      </c>
      <c r="D528" s="28" t="s">
        <v>1273</v>
      </c>
      <c r="E528" s="26">
        <v>0</v>
      </c>
      <c r="F528" s="29" t="s">
        <v>229</v>
      </c>
    </row>
    <row r="529" spans="1:6" ht="29" x14ac:dyDescent="0.35">
      <c r="A529" s="26" t="s">
        <v>216</v>
      </c>
      <c r="B529" s="26" t="s">
        <v>1274</v>
      </c>
      <c r="C529" s="26" t="s">
        <v>24</v>
      </c>
      <c r="D529" s="28" t="s">
        <v>1275</v>
      </c>
      <c r="E529" s="26">
        <v>0</v>
      </c>
      <c r="F529" s="29" t="s">
        <v>232</v>
      </c>
    </row>
    <row r="530" spans="1:6" ht="43.5" x14ac:dyDescent="0.35">
      <c r="A530" s="26" t="s">
        <v>216</v>
      </c>
      <c r="B530" s="26" t="s">
        <v>1276</v>
      </c>
      <c r="C530" s="26" t="s">
        <v>15</v>
      </c>
      <c r="D530" s="28" t="s">
        <v>218</v>
      </c>
      <c r="E530" s="26" t="s">
        <v>1277</v>
      </c>
      <c r="F530" s="29" t="s">
        <v>220</v>
      </c>
    </row>
    <row r="531" spans="1:6" ht="29" x14ac:dyDescent="0.35">
      <c r="A531" s="26" t="s">
        <v>216</v>
      </c>
      <c r="B531" s="26" t="s">
        <v>1278</v>
      </c>
      <c r="C531" s="26" t="s">
        <v>17</v>
      </c>
      <c r="D531" s="28" t="s">
        <v>1279</v>
      </c>
      <c r="E531" s="26">
        <v>13658</v>
      </c>
      <c r="F531" s="29" t="s">
        <v>247</v>
      </c>
    </row>
    <row r="532" spans="1:6" ht="29" x14ac:dyDescent="0.35">
      <c r="A532" s="26" t="s">
        <v>216</v>
      </c>
      <c r="B532" s="26" t="s">
        <v>1280</v>
      </c>
      <c r="C532" s="26" t="s">
        <v>20</v>
      </c>
      <c r="D532" s="28" t="s">
        <v>1281</v>
      </c>
      <c r="E532" s="26">
        <v>13658</v>
      </c>
      <c r="F532" s="29" t="s">
        <v>223</v>
      </c>
    </row>
    <row r="533" spans="1:6" ht="58" x14ac:dyDescent="0.35">
      <c r="A533" s="26" t="s">
        <v>216</v>
      </c>
      <c r="B533" s="26" t="s">
        <v>1282</v>
      </c>
      <c r="C533" s="26" t="s">
        <v>25</v>
      </c>
      <c r="D533" s="28" t="s">
        <v>1283</v>
      </c>
      <c r="E533" s="26">
        <v>0</v>
      </c>
      <c r="F533" s="29" t="s">
        <v>226</v>
      </c>
    </row>
    <row r="534" spans="1:6" ht="43.5" x14ac:dyDescent="0.35">
      <c r="A534" s="26" t="s">
        <v>216</v>
      </c>
      <c r="B534" s="26" t="s">
        <v>1284</v>
      </c>
      <c r="C534" s="26" t="s">
        <v>27</v>
      </c>
      <c r="D534" s="28" t="s">
        <v>1285</v>
      </c>
      <c r="E534" s="26">
        <v>0</v>
      </c>
      <c r="F534" s="29" t="s">
        <v>229</v>
      </c>
    </row>
    <row r="535" spans="1:6" ht="29" x14ac:dyDescent="0.35">
      <c r="A535" s="26" t="s">
        <v>216</v>
      </c>
      <c r="B535" s="26" t="s">
        <v>1286</v>
      </c>
      <c r="C535" s="26" t="s">
        <v>24</v>
      </c>
      <c r="D535" s="28" t="s">
        <v>1287</v>
      </c>
      <c r="E535" s="26">
        <v>0</v>
      </c>
      <c r="F535" s="29" t="s">
        <v>232</v>
      </c>
    </row>
    <row r="536" spans="1:6" ht="43.5" x14ac:dyDescent="0.35">
      <c r="A536" s="26" t="s">
        <v>216</v>
      </c>
      <c r="B536" s="26" t="s">
        <v>1288</v>
      </c>
      <c r="C536" s="26" t="s">
        <v>15</v>
      </c>
      <c r="D536" s="28" t="s">
        <v>218</v>
      </c>
      <c r="E536" s="26" t="s">
        <v>1289</v>
      </c>
      <c r="F536" s="29" t="s">
        <v>220</v>
      </c>
    </row>
    <row r="537" spans="1:6" ht="29" x14ac:dyDescent="0.35">
      <c r="A537" s="26" t="s">
        <v>216</v>
      </c>
      <c r="B537" s="26" t="s">
        <v>1290</v>
      </c>
      <c r="C537" s="26" t="s">
        <v>17</v>
      </c>
      <c r="D537" s="28" t="s">
        <v>1291</v>
      </c>
      <c r="E537" s="26">
        <v>13658</v>
      </c>
      <c r="F537" s="29" t="s">
        <v>247</v>
      </c>
    </row>
    <row r="538" spans="1:6" ht="29" x14ac:dyDescent="0.35">
      <c r="A538" s="26" t="s">
        <v>216</v>
      </c>
      <c r="B538" s="26" t="s">
        <v>1292</v>
      </c>
      <c r="C538" s="26" t="s">
        <v>20</v>
      </c>
      <c r="D538" s="28" t="s">
        <v>1293</v>
      </c>
      <c r="E538" s="26">
        <v>13658</v>
      </c>
      <c r="F538" s="29" t="s">
        <v>223</v>
      </c>
    </row>
    <row r="539" spans="1:6" ht="58" x14ac:dyDescent="0.35">
      <c r="A539" s="26" t="s">
        <v>216</v>
      </c>
      <c r="B539" s="26" t="s">
        <v>1294</v>
      </c>
      <c r="C539" s="26" t="s">
        <v>25</v>
      </c>
      <c r="D539" s="28" t="s">
        <v>1295</v>
      </c>
      <c r="E539" s="26">
        <v>0</v>
      </c>
      <c r="F539" s="29" t="s">
        <v>226</v>
      </c>
    </row>
    <row r="540" spans="1:6" ht="43.5" x14ac:dyDescent="0.35">
      <c r="A540" s="26" t="s">
        <v>216</v>
      </c>
      <c r="B540" s="26" t="s">
        <v>1296</v>
      </c>
      <c r="C540" s="26" t="s">
        <v>27</v>
      </c>
      <c r="D540" s="28" t="s">
        <v>1297</v>
      </c>
      <c r="E540" s="26">
        <v>0</v>
      </c>
      <c r="F540" s="29" t="s">
        <v>229</v>
      </c>
    </row>
    <row r="541" spans="1:6" ht="29" x14ac:dyDescent="0.35">
      <c r="A541" s="26" t="s">
        <v>216</v>
      </c>
      <c r="B541" s="26" t="s">
        <v>1298</v>
      </c>
      <c r="C541" s="26" t="s">
        <v>24</v>
      </c>
      <c r="D541" s="28" t="s">
        <v>1299</v>
      </c>
      <c r="E541" s="26">
        <v>0</v>
      </c>
      <c r="F541" s="29" t="s">
        <v>232</v>
      </c>
    </row>
    <row r="542" spans="1:6" ht="43.5" x14ac:dyDescent="0.35">
      <c r="A542" s="26" t="s">
        <v>216</v>
      </c>
      <c r="B542" s="26" t="s">
        <v>1300</v>
      </c>
      <c r="C542" s="26" t="s">
        <v>15</v>
      </c>
      <c r="D542" s="28" t="s">
        <v>218</v>
      </c>
      <c r="E542" s="26" t="s">
        <v>1301</v>
      </c>
      <c r="F542" s="29" t="s">
        <v>220</v>
      </c>
    </row>
    <row r="543" spans="1:6" ht="29" x14ac:dyDescent="0.35">
      <c r="A543" s="26" t="s">
        <v>216</v>
      </c>
      <c r="B543" s="26" t="s">
        <v>1302</v>
      </c>
      <c r="C543" s="26" t="s">
        <v>17</v>
      </c>
      <c r="D543" s="28" t="s">
        <v>1303</v>
      </c>
      <c r="E543" s="26">
        <v>13658</v>
      </c>
      <c r="F543" s="29" t="s">
        <v>247</v>
      </c>
    </row>
    <row r="544" spans="1:6" ht="29" x14ac:dyDescent="0.35">
      <c r="A544" s="26" t="s">
        <v>216</v>
      </c>
      <c r="B544" s="26" t="s">
        <v>1304</v>
      </c>
      <c r="C544" s="26" t="s">
        <v>20</v>
      </c>
      <c r="D544" s="28" t="s">
        <v>1305</v>
      </c>
      <c r="E544" s="26">
        <v>13658</v>
      </c>
      <c r="F544" s="29" t="s">
        <v>223</v>
      </c>
    </row>
    <row r="545" spans="1:6" ht="58" x14ac:dyDescent="0.35">
      <c r="A545" s="26" t="s">
        <v>216</v>
      </c>
      <c r="B545" s="26" t="s">
        <v>1306</v>
      </c>
      <c r="C545" s="26" t="s">
        <v>25</v>
      </c>
      <c r="D545" s="28" t="s">
        <v>1307</v>
      </c>
      <c r="E545" s="26">
        <v>0</v>
      </c>
      <c r="F545" s="29" t="s">
        <v>226</v>
      </c>
    </row>
    <row r="546" spans="1:6" ht="43.5" x14ac:dyDescent="0.35">
      <c r="A546" s="26" t="s">
        <v>216</v>
      </c>
      <c r="B546" s="26" t="s">
        <v>1308</v>
      </c>
      <c r="C546" s="26" t="s">
        <v>27</v>
      </c>
      <c r="D546" s="28" t="s">
        <v>1309</v>
      </c>
      <c r="E546" s="26">
        <v>0</v>
      </c>
      <c r="F546" s="29" t="s">
        <v>229</v>
      </c>
    </row>
    <row r="547" spans="1:6" ht="29" x14ac:dyDescent="0.35">
      <c r="A547" s="26" t="s">
        <v>216</v>
      </c>
      <c r="B547" s="26" t="s">
        <v>1310</v>
      </c>
      <c r="C547" s="26" t="s">
        <v>24</v>
      </c>
      <c r="D547" s="28" t="s">
        <v>1311</v>
      </c>
      <c r="E547" s="26">
        <v>0</v>
      </c>
      <c r="F547" s="29" t="s">
        <v>232</v>
      </c>
    </row>
    <row r="548" spans="1:6" ht="43.5" x14ac:dyDescent="0.35">
      <c r="A548" s="26" t="s">
        <v>216</v>
      </c>
      <c r="B548" s="26" t="s">
        <v>1312</v>
      </c>
      <c r="C548" s="26" t="s">
        <v>15</v>
      </c>
      <c r="D548" s="28" t="s">
        <v>218</v>
      </c>
      <c r="E548" s="26" t="s">
        <v>1313</v>
      </c>
      <c r="F548" s="29" t="s">
        <v>220</v>
      </c>
    </row>
    <row r="549" spans="1:6" ht="29" x14ac:dyDescent="0.35">
      <c r="A549" s="26" t="s">
        <v>216</v>
      </c>
      <c r="B549" s="26" t="s">
        <v>1314</v>
      </c>
      <c r="C549" s="26" t="s">
        <v>17</v>
      </c>
      <c r="D549" s="28" t="s">
        <v>1315</v>
      </c>
      <c r="E549" s="26">
        <v>13658</v>
      </c>
      <c r="F549" s="29" t="s">
        <v>247</v>
      </c>
    </row>
    <row r="550" spans="1:6" ht="29" x14ac:dyDescent="0.35">
      <c r="A550" s="26" t="s">
        <v>216</v>
      </c>
      <c r="B550" s="26" t="s">
        <v>1316</v>
      </c>
      <c r="C550" s="26" t="s">
        <v>20</v>
      </c>
      <c r="D550" s="28" t="s">
        <v>1317</v>
      </c>
      <c r="E550" s="26">
        <v>13658</v>
      </c>
      <c r="F550" s="29" t="s">
        <v>223</v>
      </c>
    </row>
    <row r="551" spans="1:6" ht="58" x14ac:dyDescent="0.35">
      <c r="A551" s="26" t="s">
        <v>216</v>
      </c>
      <c r="B551" s="26" t="s">
        <v>1318</v>
      </c>
      <c r="C551" s="26" t="s">
        <v>25</v>
      </c>
      <c r="D551" s="28" t="s">
        <v>1319</v>
      </c>
      <c r="E551" s="26">
        <v>0</v>
      </c>
      <c r="F551" s="29" t="s">
        <v>226</v>
      </c>
    </row>
    <row r="552" spans="1:6" ht="43.5" x14ac:dyDescent="0.35">
      <c r="A552" s="26" t="s">
        <v>216</v>
      </c>
      <c r="B552" s="26" t="s">
        <v>1320</v>
      </c>
      <c r="C552" s="26" t="s">
        <v>27</v>
      </c>
      <c r="D552" s="28" t="s">
        <v>1321</v>
      </c>
      <c r="E552" s="26">
        <v>0</v>
      </c>
      <c r="F552" s="29" t="s">
        <v>229</v>
      </c>
    </row>
    <row r="553" spans="1:6" ht="29" x14ac:dyDescent="0.35">
      <c r="A553" s="26" t="s">
        <v>216</v>
      </c>
      <c r="B553" s="26" t="s">
        <v>1322</v>
      </c>
      <c r="C553" s="26" t="s">
        <v>24</v>
      </c>
      <c r="D553" s="28" t="s">
        <v>1323</v>
      </c>
      <c r="E553" s="26">
        <v>0</v>
      </c>
      <c r="F553" s="29" t="s">
        <v>232</v>
      </c>
    </row>
    <row r="554" spans="1:6" ht="43.5" x14ac:dyDescent="0.35">
      <c r="A554" s="26" t="s">
        <v>216</v>
      </c>
      <c r="B554" s="26" t="s">
        <v>1324</v>
      </c>
      <c r="C554" s="26" t="s">
        <v>15</v>
      </c>
      <c r="D554" s="28" t="s">
        <v>218</v>
      </c>
      <c r="E554" s="26" t="s">
        <v>1325</v>
      </c>
      <c r="F554" s="29" t="s">
        <v>220</v>
      </c>
    </row>
    <row r="555" spans="1:6" ht="29" x14ac:dyDescent="0.35">
      <c r="A555" s="26" t="s">
        <v>216</v>
      </c>
      <c r="B555" s="26" t="s">
        <v>1326</v>
      </c>
      <c r="C555" s="26" t="s">
        <v>17</v>
      </c>
      <c r="D555" s="28" t="s">
        <v>1327</v>
      </c>
      <c r="E555" s="26">
        <v>13658</v>
      </c>
      <c r="F555" s="29" t="s">
        <v>247</v>
      </c>
    </row>
    <row r="556" spans="1:6" ht="29" x14ac:dyDescent="0.35">
      <c r="A556" s="26" t="s">
        <v>216</v>
      </c>
      <c r="B556" s="26" t="s">
        <v>1328</v>
      </c>
      <c r="C556" s="26" t="s">
        <v>20</v>
      </c>
      <c r="D556" s="28" t="s">
        <v>1329</v>
      </c>
      <c r="E556" s="26">
        <v>13658</v>
      </c>
      <c r="F556" s="29" t="s">
        <v>223</v>
      </c>
    </row>
    <row r="557" spans="1:6" ht="58" x14ac:dyDescent="0.35">
      <c r="A557" s="26" t="s">
        <v>216</v>
      </c>
      <c r="B557" s="26" t="s">
        <v>1330</v>
      </c>
      <c r="C557" s="26" t="s">
        <v>25</v>
      </c>
      <c r="D557" s="28" t="s">
        <v>1331</v>
      </c>
      <c r="E557" s="26">
        <v>0</v>
      </c>
      <c r="F557" s="29" t="s">
        <v>226</v>
      </c>
    </row>
    <row r="558" spans="1:6" ht="43.5" x14ac:dyDescent="0.35">
      <c r="A558" s="26" t="s">
        <v>216</v>
      </c>
      <c r="B558" s="26" t="s">
        <v>1332</v>
      </c>
      <c r="C558" s="26" t="s">
        <v>27</v>
      </c>
      <c r="D558" s="28" t="s">
        <v>1333</v>
      </c>
      <c r="E558" s="26">
        <v>0</v>
      </c>
      <c r="F558" s="29" t="s">
        <v>229</v>
      </c>
    </row>
    <row r="559" spans="1:6" ht="29" x14ac:dyDescent="0.35">
      <c r="A559" s="26" t="s">
        <v>216</v>
      </c>
      <c r="B559" s="26" t="s">
        <v>1334</v>
      </c>
      <c r="C559" s="26" t="s">
        <v>24</v>
      </c>
      <c r="D559" s="28" t="s">
        <v>1335</v>
      </c>
      <c r="E559" s="26">
        <v>0</v>
      </c>
      <c r="F559" s="29" t="s">
        <v>232</v>
      </c>
    </row>
    <row r="560" spans="1:6" ht="43.5" x14ac:dyDescent="0.35">
      <c r="A560" s="26" t="s">
        <v>216</v>
      </c>
      <c r="B560" s="26" t="s">
        <v>1336</v>
      </c>
      <c r="C560" s="26" t="s">
        <v>15</v>
      </c>
      <c r="D560" s="28" t="s">
        <v>218</v>
      </c>
      <c r="E560" s="26" t="s">
        <v>1337</v>
      </c>
      <c r="F560" s="29" t="s">
        <v>220</v>
      </c>
    </row>
    <row r="561" spans="1:6" ht="29" x14ac:dyDescent="0.35">
      <c r="A561" s="26" t="s">
        <v>216</v>
      </c>
      <c r="B561" s="26" t="s">
        <v>1338</v>
      </c>
      <c r="C561" s="26" t="s">
        <v>17</v>
      </c>
      <c r="D561" s="28" t="s">
        <v>1339</v>
      </c>
      <c r="E561" s="26">
        <v>13658</v>
      </c>
      <c r="F561" s="29" t="s">
        <v>247</v>
      </c>
    </row>
    <row r="562" spans="1:6" ht="29" x14ac:dyDescent="0.35">
      <c r="A562" s="26" t="s">
        <v>216</v>
      </c>
      <c r="B562" s="26" t="s">
        <v>1340</v>
      </c>
      <c r="C562" s="26" t="s">
        <v>20</v>
      </c>
      <c r="D562" s="28" t="s">
        <v>1341</v>
      </c>
      <c r="E562" s="26">
        <v>13658</v>
      </c>
      <c r="F562" s="29" t="s">
        <v>223</v>
      </c>
    </row>
    <row r="563" spans="1:6" ht="58" x14ac:dyDescent="0.35">
      <c r="A563" s="26" t="s">
        <v>216</v>
      </c>
      <c r="B563" s="26" t="s">
        <v>1342</v>
      </c>
      <c r="C563" s="26" t="s">
        <v>25</v>
      </c>
      <c r="D563" s="28" t="s">
        <v>1343</v>
      </c>
      <c r="E563" s="26">
        <v>0</v>
      </c>
      <c r="F563" s="29" t="s">
        <v>226</v>
      </c>
    </row>
    <row r="564" spans="1:6" ht="43.5" x14ac:dyDescent="0.35">
      <c r="A564" s="26" t="s">
        <v>216</v>
      </c>
      <c r="B564" s="26" t="s">
        <v>1344</v>
      </c>
      <c r="C564" s="26" t="s">
        <v>27</v>
      </c>
      <c r="D564" s="28" t="s">
        <v>1345</v>
      </c>
      <c r="E564" s="26">
        <v>0</v>
      </c>
      <c r="F564" s="29" t="s">
        <v>229</v>
      </c>
    </row>
    <row r="565" spans="1:6" ht="29" x14ac:dyDescent="0.35">
      <c r="A565" s="26" t="s">
        <v>216</v>
      </c>
      <c r="B565" s="26" t="s">
        <v>1346</v>
      </c>
      <c r="C565" s="26" t="s">
        <v>24</v>
      </c>
      <c r="D565" s="28" t="s">
        <v>1347</v>
      </c>
      <c r="E565" s="26">
        <v>0</v>
      </c>
      <c r="F565" s="29" t="s">
        <v>232</v>
      </c>
    </row>
    <row r="566" spans="1:6" ht="43.5" x14ac:dyDescent="0.35">
      <c r="A566" s="26" t="s">
        <v>216</v>
      </c>
      <c r="B566" s="26" t="s">
        <v>1348</v>
      </c>
      <c r="C566" s="26" t="s">
        <v>15</v>
      </c>
      <c r="D566" s="28" t="s">
        <v>218</v>
      </c>
      <c r="E566" s="26" t="s">
        <v>1349</v>
      </c>
      <c r="F566" s="29" t="s">
        <v>220</v>
      </c>
    </row>
    <row r="567" spans="1:6" ht="29" x14ac:dyDescent="0.35">
      <c r="A567" s="26" t="s">
        <v>216</v>
      </c>
      <c r="B567" s="26" t="s">
        <v>1350</v>
      </c>
      <c r="C567" s="26" t="s">
        <v>17</v>
      </c>
      <c r="D567" s="28" t="s">
        <v>1351</v>
      </c>
      <c r="E567" s="26">
        <v>13658</v>
      </c>
      <c r="F567" s="29" t="s">
        <v>247</v>
      </c>
    </row>
    <row r="568" spans="1:6" ht="29" x14ac:dyDescent="0.35">
      <c r="A568" s="26" t="s">
        <v>216</v>
      </c>
      <c r="B568" s="26" t="s">
        <v>1352</v>
      </c>
      <c r="C568" s="26" t="s">
        <v>20</v>
      </c>
      <c r="D568" s="28" t="s">
        <v>1353</v>
      </c>
      <c r="E568" s="26">
        <v>13658</v>
      </c>
      <c r="F568" s="29" t="s">
        <v>223</v>
      </c>
    </row>
    <row r="569" spans="1:6" ht="58" x14ac:dyDescent="0.35">
      <c r="A569" s="26" t="s">
        <v>216</v>
      </c>
      <c r="B569" s="26" t="s">
        <v>1354</v>
      </c>
      <c r="C569" s="26" t="s">
        <v>25</v>
      </c>
      <c r="D569" s="28" t="s">
        <v>1355</v>
      </c>
      <c r="E569" s="26">
        <v>0</v>
      </c>
      <c r="F569" s="29" t="s">
        <v>226</v>
      </c>
    </row>
    <row r="570" spans="1:6" ht="43.5" x14ac:dyDescent="0.35">
      <c r="A570" s="26" t="s">
        <v>216</v>
      </c>
      <c r="B570" s="26" t="s">
        <v>1356</v>
      </c>
      <c r="C570" s="26" t="s">
        <v>27</v>
      </c>
      <c r="D570" s="28" t="s">
        <v>1357</v>
      </c>
      <c r="E570" s="26">
        <v>0</v>
      </c>
      <c r="F570" s="29" t="s">
        <v>229</v>
      </c>
    </row>
    <row r="571" spans="1:6" ht="29" x14ac:dyDescent="0.35">
      <c r="A571" s="26" t="s">
        <v>216</v>
      </c>
      <c r="B571" s="26" t="s">
        <v>1358</v>
      </c>
      <c r="C571" s="26" t="s">
        <v>24</v>
      </c>
      <c r="D571" s="28" t="s">
        <v>1359</v>
      </c>
      <c r="E571" s="26">
        <v>0</v>
      </c>
      <c r="F571" s="29" t="s">
        <v>232</v>
      </c>
    </row>
    <row r="572" spans="1:6" ht="43.5" x14ac:dyDescent="0.35">
      <c r="A572" s="26" t="s">
        <v>216</v>
      </c>
      <c r="B572" s="26" t="s">
        <v>1360</v>
      </c>
      <c r="C572" s="26" t="s">
        <v>15</v>
      </c>
      <c r="D572" s="28" t="s">
        <v>218</v>
      </c>
      <c r="E572" s="26" t="s">
        <v>1361</v>
      </c>
      <c r="F572" s="29" t="s">
        <v>220</v>
      </c>
    </row>
    <row r="573" spans="1:6" ht="29" x14ac:dyDescent="0.35">
      <c r="A573" s="26" t="s">
        <v>216</v>
      </c>
      <c r="B573" s="26" t="s">
        <v>1362</v>
      </c>
      <c r="C573" s="26" t="s">
        <v>17</v>
      </c>
      <c r="D573" s="28" t="s">
        <v>1363</v>
      </c>
      <c r="E573" s="26">
        <v>13658</v>
      </c>
      <c r="F573" s="29" t="s">
        <v>247</v>
      </c>
    </row>
    <row r="574" spans="1:6" ht="29" x14ac:dyDescent="0.35">
      <c r="A574" s="26" t="s">
        <v>216</v>
      </c>
      <c r="B574" s="26" t="s">
        <v>1364</v>
      </c>
      <c r="C574" s="26" t="s">
        <v>20</v>
      </c>
      <c r="D574" s="28" t="s">
        <v>1365</v>
      </c>
      <c r="E574" s="26">
        <v>13658</v>
      </c>
      <c r="F574" s="29" t="s">
        <v>223</v>
      </c>
    </row>
    <row r="575" spans="1:6" ht="58" x14ac:dyDescent="0.35">
      <c r="A575" s="26" t="s">
        <v>216</v>
      </c>
      <c r="B575" s="26" t="s">
        <v>1366</v>
      </c>
      <c r="C575" s="26" t="s">
        <v>25</v>
      </c>
      <c r="D575" s="28" t="s">
        <v>1367</v>
      </c>
      <c r="E575" s="26">
        <v>0</v>
      </c>
      <c r="F575" s="29" t="s">
        <v>226</v>
      </c>
    </row>
    <row r="576" spans="1:6" ht="43.5" x14ac:dyDescent="0.35">
      <c r="A576" s="26" t="s">
        <v>216</v>
      </c>
      <c r="B576" s="26" t="s">
        <v>1368</v>
      </c>
      <c r="C576" s="26" t="s">
        <v>27</v>
      </c>
      <c r="D576" s="28" t="s">
        <v>1369</v>
      </c>
      <c r="E576" s="26">
        <v>0</v>
      </c>
      <c r="F576" s="29" t="s">
        <v>229</v>
      </c>
    </row>
    <row r="577" spans="1:6" ht="29" x14ac:dyDescent="0.35">
      <c r="A577" s="26" t="s">
        <v>216</v>
      </c>
      <c r="B577" s="26" t="s">
        <v>1370</v>
      </c>
      <c r="C577" s="26" t="s">
        <v>24</v>
      </c>
      <c r="D577" s="28" t="s">
        <v>1371</v>
      </c>
      <c r="E577" s="26">
        <v>0</v>
      </c>
      <c r="F577" s="29" t="s">
        <v>232</v>
      </c>
    </row>
    <row r="578" spans="1:6" ht="43.5" x14ac:dyDescent="0.35">
      <c r="A578" s="26" t="s">
        <v>216</v>
      </c>
      <c r="B578" s="26" t="s">
        <v>1372</v>
      </c>
      <c r="C578" s="26" t="s">
        <v>15</v>
      </c>
      <c r="D578" s="28" t="s">
        <v>218</v>
      </c>
      <c r="E578" s="26" t="s">
        <v>1373</v>
      </c>
      <c r="F578" s="29" t="s">
        <v>220</v>
      </c>
    </row>
    <row r="579" spans="1:6" ht="29" x14ac:dyDescent="0.35">
      <c r="A579" s="26" t="s">
        <v>216</v>
      </c>
      <c r="B579" s="26" t="s">
        <v>1374</v>
      </c>
      <c r="C579" s="26" t="s">
        <v>17</v>
      </c>
      <c r="D579" s="28" t="s">
        <v>1375</v>
      </c>
      <c r="E579" s="26">
        <v>13658</v>
      </c>
      <c r="F579" s="29" t="s">
        <v>247</v>
      </c>
    </row>
    <row r="580" spans="1:6" ht="29" x14ac:dyDescent="0.35">
      <c r="A580" s="26" t="s">
        <v>216</v>
      </c>
      <c r="B580" s="26" t="s">
        <v>1376</v>
      </c>
      <c r="C580" s="26" t="s">
        <v>20</v>
      </c>
      <c r="D580" s="28" t="s">
        <v>1377</v>
      </c>
      <c r="E580" s="26">
        <v>13658</v>
      </c>
      <c r="F580" s="29" t="s">
        <v>223</v>
      </c>
    </row>
    <row r="581" spans="1:6" ht="58" x14ac:dyDescent="0.35">
      <c r="A581" s="26" t="s">
        <v>216</v>
      </c>
      <c r="B581" s="26" t="s">
        <v>1378</v>
      </c>
      <c r="C581" s="26" t="s">
        <v>25</v>
      </c>
      <c r="D581" s="28" t="s">
        <v>1379</v>
      </c>
      <c r="E581" s="26">
        <v>0</v>
      </c>
      <c r="F581" s="29" t="s">
        <v>226</v>
      </c>
    </row>
    <row r="582" spans="1:6" ht="43.5" x14ac:dyDescent="0.35">
      <c r="A582" s="26" t="s">
        <v>216</v>
      </c>
      <c r="B582" s="26" t="s">
        <v>1380</v>
      </c>
      <c r="C582" s="26" t="s">
        <v>27</v>
      </c>
      <c r="D582" s="28" t="s">
        <v>1381</v>
      </c>
      <c r="E582" s="26">
        <v>0</v>
      </c>
      <c r="F582" s="29" t="s">
        <v>229</v>
      </c>
    </row>
    <row r="583" spans="1:6" ht="29" x14ac:dyDescent="0.35">
      <c r="A583" s="26" t="s">
        <v>216</v>
      </c>
      <c r="B583" s="26" t="s">
        <v>1382</v>
      </c>
      <c r="C583" s="26" t="s">
        <v>24</v>
      </c>
      <c r="D583" s="28" t="s">
        <v>1383</v>
      </c>
      <c r="E583" s="26">
        <v>0</v>
      </c>
      <c r="F583" s="29" t="s">
        <v>232</v>
      </c>
    </row>
    <row r="584" spans="1:6" ht="43.5" x14ac:dyDescent="0.35">
      <c r="A584" s="26" t="s">
        <v>216</v>
      </c>
      <c r="B584" s="26" t="s">
        <v>1384</v>
      </c>
      <c r="C584" s="26" t="s">
        <v>15</v>
      </c>
      <c r="D584" s="28" t="s">
        <v>218</v>
      </c>
      <c r="E584" s="26" t="s">
        <v>1385</v>
      </c>
      <c r="F584" s="29" t="s">
        <v>220</v>
      </c>
    </row>
    <row r="585" spans="1:6" ht="29" x14ac:dyDescent="0.35">
      <c r="A585" s="26" t="s">
        <v>216</v>
      </c>
      <c r="B585" s="26" t="s">
        <v>1386</v>
      </c>
      <c r="C585" s="26" t="s">
        <v>17</v>
      </c>
      <c r="D585" s="28" t="s">
        <v>1387</v>
      </c>
      <c r="E585" s="26">
        <v>13658</v>
      </c>
      <c r="F585" s="29" t="s">
        <v>247</v>
      </c>
    </row>
    <row r="586" spans="1:6" ht="29" x14ac:dyDescent="0.35">
      <c r="A586" s="26" t="s">
        <v>216</v>
      </c>
      <c r="B586" s="26" t="s">
        <v>1388</v>
      </c>
      <c r="C586" s="26" t="s">
        <v>20</v>
      </c>
      <c r="D586" s="28" t="s">
        <v>1389</v>
      </c>
      <c r="E586" s="26">
        <v>13658</v>
      </c>
      <c r="F586" s="29" t="s">
        <v>223</v>
      </c>
    </row>
    <row r="587" spans="1:6" ht="58" x14ac:dyDescent="0.35">
      <c r="A587" s="26" t="s">
        <v>216</v>
      </c>
      <c r="B587" s="26" t="s">
        <v>1390</v>
      </c>
      <c r="C587" s="26" t="s">
        <v>25</v>
      </c>
      <c r="D587" s="28" t="s">
        <v>1391</v>
      </c>
      <c r="E587" s="26">
        <v>0</v>
      </c>
      <c r="F587" s="29" t="s">
        <v>226</v>
      </c>
    </row>
    <row r="588" spans="1:6" ht="43.5" x14ac:dyDescent="0.35">
      <c r="A588" s="26" t="s">
        <v>216</v>
      </c>
      <c r="B588" s="26" t="s">
        <v>1392</v>
      </c>
      <c r="C588" s="26" t="s">
        <v>27</v>
      </c>
      <c r="D588" s="28" t="s">
        <v>1393</v>
      </c>
      <c r="E588" s="26">
        <v>0</v>
      </c>
      <c r="F588" s="29" t="s">
        <v>229</v>
      </c>
    </row>
    <row r="589" spans="1:6" ht="29" x14ac:dyDescent="0.35">
      <c r="A589" s="26" t="s">
        <v>216</v>
      </c>
      <c r="B589" s="26" t="s">
        <v>1394</v>
      </c>
      <c r="C589" s="26" t="s">
        <v>24</v>
      </c>
      <c r="D589" s="28" t="s">
        <v>1395</v>
      </c>
      <c r="E589" s="26">
        <v>0</v>
      </c>
      <c r="F589" s="29" t="s">
        <v>232</v>
      </c>
    </row>
    <row r="590" spans="1:6" ht="43.5" x14ac:dyDescent="0.35">
      <c r="A590" s="26" t="s">
        <v>216</v>
      </c>
      <c r="B590" s="26" t="s">
        <v>1396</v>
      </c>
      <c r="C590" s="26" t="s">
        <v>15</v>
      </c>
      <c r="D590" s="28" t="s">
        <v>218</v>
      </c>
      <c r="E590" s="26" t="s">
        <v>1397</v>
      </c>
      <c r="F590" s="29" t="s">
        <v>220</v>
      </c>
    </row>
    <row r="591" spans="1:6" ht="29" x14ac:dyDescent="0.35">
      <c r="A591" s="26" t="s">
        <v>216</v>
      </c>
      <c r="B591" s="26" t="s">
        <v>1398</v>
      </c>
      <c r="C591" s="26" t="s">
        <v>17</v>
      </c>
      <c r="D591" s="28" t="s">
        <v>1399</v>
      </c>
      <c r="E591" s="26">
        <v>13658</v>
      </c>
      <c r="F591" s="29" t="s">
        <v>247</v>
      </c>
    </row>
    <row r="592" spans="1:6" ht="29" x14ac:dyDescent="0.35">
      <c r="A592" s="26" t="s">
        <v>216</v>
      </c>
      <c r="B592" s="26" t="s">
        <v>1400</v>
      </c>
      <c r="C592" s="26" t="s">
        <v>20</v>
      </c>
      <c r="D592" s="28" t="s">
        <v>1401</v>
      </c>
      <c r="E592" s="26">
        <v>13658</v>
      </c>
      <c r="F592" s="29" t="s">
        <v>223</v>
      </c>
    </row>
    <row r="593" spans="1:6" ht="58" x14ac:dyDescent="0.35">
      <c r="A593" s="26" t="s">
        <v>216</v>
      </c>
      <c r="B593" s="26" t="s">
        <v>1402</v>
      </c>
      <c r="C593" s="26" t="s">
        <v>25</v>
      </c>
      <c r="D593" s="28" t="s">
        <v>1403</v>
      </c>
      <c r="E593" s="26">
        <v>0</v>
      </c>
      <c r="F593" s="29" t="s">
        <v>226</v>
      </c>
    </row>
    <row r="594" spans="1:6" ht="43.5" x14ac:dyDescent="0.35">
      <c r="A594" s="26" t="s">
        <v>216</v>
      </c>
      <c r="B594" s="26" t="s">
        <v>1404</v>
      </c>
      <c r="C594" s="26" t="s">
        <v>27</v>
      </c>
      <c r="D594" s="28" t="s">
        <v>1405</v>
      </c>
      <c r="E594" s="26">
        <v>0</v>
      </c>
      <c r="F594" s="29" t="s">
        <v>229</v>
      </c>
    </row>
    <row r="595" spans="1:6" ht="29" x14ac:dyDescent="0.35">
      <c r="A595" s="26" t="s">
        <v>216</v>
      </c>
      <c r="B595" s="26" t="s">
        <v>1406</v>
      </c>
      <c r="C595" s="26" t="s">
        <v>24</v>
      </c>
      <c r="D595" s="28" t="s">
        <v>1407</v>
      </c>
      <c r="E595" s="26">
        <v>0</v>
      </c>
      <c r="F595" s="29" t="s">
        <v>232</v>
      </c>
    </row>
    <row r="596" spans="1:6" ht="43.5" x14ac:dyDescent="0.35">
      <c r="A596" s="26" t="s">
        <v>216</v>
      </c>
      <c r="B596" s="26" t="s">
        <v>1408</v>
      </c>
      <c r="C596" s="26" t="s">
        <v>15</v>
      </c>
      <c r="D596" s="28" t="s">
        <v>218</v>
      </c>
      <c r="E596" s="26" t="s">
        <v>1409</v>
      </c>
      <c r="F596" s="29" t="s">
        <v>220</v>
      </c>
    </row>
    <row r="597" spans="1:6" ht="29" x14ac:dyDescent="0.35">
      <c r="A597" s="26" t="s">
        <v>216</v>
      </c>
      <c r="B597" s="26" t="s">
        <v>1410</v>
      </c>
      <c r="C597" s="26" t="s">
        <v>17</v>
      </c>
      <c r="D597" s="28" t="s">
        <v>1411</v>
      </c>
      <c r="E597" s="26">
        <v>13658</v>
      </c>
      <c r="F597" s="29" t="s">
        <v>247</v>
      </c>
    </row>
    <row r="598" spans="1:6" ht="29" x14ac:dyDescent="0.35">
      <c r="A598" s="26" t="s">
        <v>216</v>
      </c>
      <c r="B598" s="26" t="s">
        <v>1412</v>
      </c>
      <c r="C598" s="26" t="s">
        <v>20</v>
      </c>
      <c r="D598" s="28" t="s">
        <v>1413</v>
      </c>
      <c r="E598" s="26">
        <v>13658</v>
      </c>
      <c r="F598" s="29" t="s">
        <v>223</v>
      </c>
    </row>
    <row r="599" spans="1:6" ht="58" x14ac:dyDescent="0.35">
      <c r="A599" s="26" t="s">
        <v>216</v>
      </c>
      <c r="B599" s="26" t="s">
        <v>1414</v>
      </c>
      <c r="C599" s="26" t="s">
        <v>25</v>
      </c>
      <c r="D599" s="28" t="s">
        <v>1415</v>
      </c>
      <c r="E599" s="26">
        <v>0</v>
      </c>
      <c r="F599" s="29" t="s">
        <v>226</v>
      </c>
    </row>
    <row r="600" spans="1:6" ht="43.5" x14ac:dyDescent="0.35">
      <c r="A600" s="26" t="s">
        <v>216</v>
      </c>
      <c r="B600" s="26" t="s">
        <v>1416</v>
      </c>
      <c r="C600" s="26" t="s">
        <v>27</v>
      </c>
      <c r="D600" s="28" t="s">
        <v>1417</v>
      </c>
      <c r="E600" s="26">
        <v>0</v>
      </c>
      <c r="F600" s="29" t="s">
        <v>229</v>
      </c>
    </row>
    <row r="601" spans="1:6" ht="29" x14ac:dyDescent="0.35">
      <c r="A601" s="26" t="s">
        <v>216</v>
      </c>
      <c r="B601" s="26" t="s">
        <v>1418</v>
      </c>
      <c r="C601" s="26" t="s">
        <v>24</v>
      </c>
      <c r="D601" s="28" t="s">
        <v>1419</v>
      </c>
      <c r="E601" s="26">
        <v>0</v>
      </c>
      <c r="F601" s="29" t="s">
        <v>232</v>
      </c>
    </row>
    <row r="602" spans="1:6" ht="43.5" x14ac:dyDescent="0.35">
      <c r="A602" s="26" t="s">
        <v>216</v>
      </c>
      <c r="B602" s="26" t="s">
        <v>1420</v>
      </c>
      <c r="C602" s="26" t="s">
        <v>15</v>
      </c>
      <c r="D602" s="28" t="s">
        <v>218</v>
      </c>
      <c r="E602" s="26" t="s">
        <v>1421</v>
      </c>
      <c r="F602" s="29" t="s">
        <v>220</v>
      </c>
    </row>
    <row r="603" spans="1:6" ht="29" x14ac:dyDescent="0.35">
      <c r="A603" s="26" t="s">
        <v>216</v>
      </c>
      <c r="B603" s="26" t="s">
        <v>1422</v>
      </c>
      <c r="C603" s="26" t="s">
        <v>17</v>
      </c>
      <c r="D603" s="28" t="s">
        <v>1423</v>
      </c>
      <c r="E603" s="26">
        <v>13658</v>
      </c>
      <c r="F603" s="29" t="s">
        <v>247</v>
      </c>
    </row>
    <row r="604" spans="1:6" ht="29" x14ac:dyDescent="0.35">
      <c r="A604" s="26" t="s">
        <v>216</v>
      </c>
      <c r="B604" s="26" t="s">
        <v>1424</v>
      </c>
      <c r="C604" s="26" t="s">
        <v>20</v>
      </c>
      <c r="D604" s="28" t="s">
        <v>1425</v>
      </c>
      <c r="E604" s="26">
        <v>13658</v>
      </c>
      <c r="F604" s="29" t="s">
        <v>223</v>
      </c>
    </row>
    <row r="605" spans="1:6" ht="58" x14ac:dyDescent="0.35">
      <c r="A605" s="26" t="s">
        <v>216</v>
      </c>
      <c r="B605" s="26" t="s">
        <v>1426</v>
      </c>
      <c r="C605" s="26" t="s">
        <v>25</v>
      </c>
      <c r="D605" s="28" t="s">
        <v>1427</v>
      </c>
      <c r="E605" s="26">
        <v>0</v>
      </c>
      <c r="F605" s="29" t="s">
        <v>226</v>
      </c>
    </row>
    <row r="606" spans="1:6" ht="43.5" x14ac:dyDescent="0.35">
      <c r="A606" s="26" t="s">
        <v>216</v>
      </c>
      <c r="B606" s="26" t="s">
        <v>1428</v>
      </c>
      <c r="C606" s="26" t="s">
        <v>27</v>
      </c>
      <c r="D606" s="28" t="s">
        <v>1429</v>
      </c>
      <c r="E606" s="26">
        <v>0</v>
      </c>
      <c r="F606" s="29" t="s">
        <v>229</v>
      </c>
    </row>
    <row r="607" spans="1:6" ht="29" x14ac:dyDescent="0.35">
      <c r="A607" s="26" t="s">
        <v>216</v>
      </c>
      <c r="B607" s="26" t="s">
        <v>1430</v>
      </c>
      <c r="C607" s="26" t="s">
        <v>24</v>
      </c>
      <c r="D607" s="28" t="s">
        <v>1431</v>
      </c>
      <c r="E607" s="26">
        <v>0</v>
      </c>
      <c r="F607" s="29" t="s">
        <v>232</v>
      </c>
    </row>
    <row r="608" spans="1:6" ht="43.5" x14ac:dyDescent="0.35">
      <c r="A608" s="26" t="s">
        <v>216</v>
      </c>
      <c r="B608" s="26" t="s">
        <v>1432</v>
      </c>
      <c r="C608" s="26" t="s">
        <v>15</v>
      </c>
      <c r="D608" s="28" t="s">
        <v>218</v>
      </c>
      <c r="E608" s="26" t="s">
        <v>1433</v>
      </c>
      <c r="F608" s="29" t="s">
        <v>220</v>
      </c>
    </row>
    <row r="609" spans="1:6" ht="29" x14ac:dyDescent="0.35">
      <c r="A609" s="26" t="s">
        <v>216</v>
      </c>
      <c r="B609" s="26" t="s">
        <v>1434</v>
      </c>
      <c r="C609" s="26" t="s">
        <v>17</v>
      </c>
      <c r="D609" s="28" t="s">
        <v>1435</v>
      </c>
      <c r="E609" s="26">
        <v>13658</v>
      </c>
      <c r="F609" s="29" t="s">
        <v>247</v>
      </c>
    </row>
    <row r="610" spans="1:6" ht="29" x14ac:dyDescent="0.35">
      <c r="A610" s="26" t="s">
        <v>216</v>
      </c>
      <c r="B610" s="26" t="s">
        <v>1436</v>
      </c>
      <c r="C610" s="26" t="s">
        <v>20</v>
      </c>
      <c r="D610" s="28" t="s">
        <v>1437</v>
      </c>
      <c r="E610" s="26">
        <v>13658</v>
      </c>
      <c r="F610" s="29" t="s">
        <v>223</v>
      </c>
    </row>
    <row r="611" spans="1:6" ht="58" x14ac:dyDescent="0.35">
      <c r="A611" s="26" t="s">
        <v>216</v>
      </c>
      <c r="B611" s="26" t="s">
        <v>1438</v>
      </c>
      <c r="C611" s="26" t="s">
        <v>25</v>
      </c>
      <c r="D611" s="28" t="s">
        <v>1439</v>
      </c>
      <c r="E611" s="26">
        <v>0</v>
      </c>
      <c r="F611" s="29" t="s">
        <v>226</v>
      </c>
    </row>
    <row r="612" spans="1:6" ht="43.5" x14ac:dyDescent="0.35">
      <c r="A612" s="26" t="s">
        <v>216</v>
      </c>
      <c r="B612" s="26" t="s">
        <v>1440</v>
      </c>
      <c r="C612" s="26" t="s">
        <v>27</v>
      </c>
      <c r="D612" s="28" t="s">
        <v>1441</v>
      </c>
      <c r="E612" s="26">
        <v>0</v>
      </c>
      <c r="F612" s="29" t="s">
        <v>229</v>
      </c>
    </row>
    <row r="613" spans="1:6" ht="29" x14ac:dyDescent="0.35">
      <c r="A613" s="26" t="s">
        <v>216</v>
      </c>
      <c r="B613" s="26" t="s">
        <v>1442</v>
      </c>
      <c r="C613" s="26" t="s">
        <v>24</v>
      </c>
      <c r="D613" s="28" t="s">
        <v>1443</v>
      </c>
      <c r="E613" s="26">
        <v>0</v>
      </c>
      <c r="F613" s="29" t="s">
        <v>232</v>
      </c>
    </row>
    <row r="614" spans="1:6" ht="43.5" x14ac:dyDescent="0.35">
      <c r="A614" s="26" t="s">
        <v>216</v>
      </c>
      <c r="B614" s="26" t="s">
        <v>1444</v>
      </c>
      <c r="C614" s="26" t="s">
        <v>15</v>
      </c>
      <c r="D614" s="28" t="s">
        <v>218</v>
      </c>
      <c r="E614" s="26" t="s">
        <v>1445</v>
      </c>
      <c r="F614" s="29" t="s">
        <v>220</v>
      </c>
    </row>
    <row r="615" spans="1:6" ht="29" x14ac:dyDescent="0.35">
      <c r="A615" s="26" t="s">
        <v>216</v>
      </c>
      <c r="B615" s="26" t="s">
        <v>1446</v>
      </c>
      <c r="C615" s="26" t="s">
        <v>17</v>
      </c>
      <c r="D615" s="28" t="s">
        <v>1447</v>
      </c>
      <c r="E615" s="26">
        <v>13658</v>
      </c>
      <c r="F615" s="29" t="s">
        <v>247</v>
      </c>
    </row>
    <row r="616" spans="1:6" ht="29" x14ac:dyDescent="0.35">
      <c r="A616" s="26" t="s">
        <v>216</v>
      </c>
      <c r="B616" s="26" t="s">
        <v>1448</v>
      </c>
      <c r="C616" s="26" t="s">
        <v>20</v>
      </c>
      <c r="D616" s="28" t="s">
        <v>1449</v>
      </c>
      <c r="E616" s="26">
        <v>13658</v>
      </c>
      <c r="F616" s="29" t="s">
        <v>223</v>
      </c>
    </row>
    <row r="617" spans="1:6" ht="58" x14ac:dyDescent="0.35">
      <c r="A617" s="26" t="s">
        <v>216</v>
      </c>
      <c r="B617" s="26" t="s">
        <v>1450</v>
      </c>
      <c r="C617" s="26" t="s">
        <v>25</v>
      </c>
      <c r="D617" s="28" t="s">
        <v>1451</v>
      </c>
      <c r="E617" s="26">
        <v>0</v>
      </c>
      <c r="F617" s="29" t="s">
        <v>226</v>
      </c>
    </row>
    <row r="618" spans="1:6" ht="43.5" x14ac:dyDescent="0.35">
      <c r="A618" s="26" t="s">
        <v>216</v>
      </c>
      <c r="B618" s="26" t="s">
        <v>1452</v>
      </c>
      <c r="C618" s="26" t="s">
        <v>27</v>
      </c>
      <c r="D618" s="28" t="s">
        <v>1453</v>
      </c>
      <c r="E618" s="26">
        <v>0</v>
      </c>
      <c r="F618" s="29" t="s">
        <v>229</v>
      </c>
    </row>
    <row r="619" spans="1:6" ht="29" x14ac:dyDescent="0.35">
      <c r="A619" s="26" t="s">
        <v>216</v>
      </c>
      <c r="B619" s="26" t="s">
        <v>1454</v>
      </c>
      <c r="C619" s="26" t="s">
        <v>24</v>
      </c>
      <c r="D619" s="28" t="s">
        <v>1455</v>
      </c>
      <c r="E619" s="26">
        <v>0</v>
      </c>
      <c r="F619" s="29" t="s">
        <v>232</v>
      </c>
    </row>
    <row r="620" spans="1:6" ht="43.5" x14ac:dyDescent="0.35">
      <c r="A620" s="26" t="s">
        <v>216</v>
      </c>
      <c r="B620" s="26" t="s">
        <v>1456</v>
      </c>
      <c r="C620" s="26" t="s">
        <v>15</v>
      </c>
      <c r="D620" s="28" t="s">
        <v>218</v>
      </c>
      <c r="E620" s="26" t="s">
        <v>1457</v>
      </c>
      <c r="F620" s="29" t="s">
        <v>220</v>
      </c>
    </row>
    <row r="621" spans="1:6" ht="29" x14ac:dyDescent="0.35">
      <c r="A621" s="26" t="s">
        <v>216</v>
      </c>
      <c r="B621" s="26" t="s">
        <v>1458</v>
      </c>
      <c r="C621" s="26" t="s">
        <v>17</v>
      </c>
      <c r="D621" s="28" t="s">
        <v>1459</v>
      </c>
      <c r="E621" s="26">
        <v>13658</v>
      </c>
      <c r="F621" s="29" t="s">
        <v>247</v>
      </c>
    </row>
    <row r="622" spans="1:6" ht="29" x14ac:dyDescent="0.35">
      <c r="A622" s="26" t="s">
        <v>216</v>
      </c>
      <c r="B622" s="26" t="s">
        <v>1460</v>
      </c>
      <c r="C622" s="26" t="s">
        <v>20</v>
      </c>
      <c r="D622" s="28" t="s">
        <v>1461</v>
      </c>
      <c r="E622" s="26">
        <v>13658</v>
      </c>
      <c r="F622" s="29" t="s">
        <v>223</v>
      </c>
    </row>
    <row r="623" spans="1:6" ht="58" x14ac:dyDescent="0.35">
      <c r="A623" s="26" t="s">
        <v>216</v>
      </c>
      <c r="B623" s="26" t="s">
        <v>1462</v>
      </c>
      <c r="C623" s="26" t="s">
        <v>25</v>
      </c>
      <c r="D623" s="28" t="s">
        <v>1463</v>
      </c>
      <c r="E623" s="26">
        <v>0</v>
      </c>
      <c r="F623" s="29" t="s">
        <v>226</v>
      </c>
    </row>
    <row r="624" spans="1:6" ht="43.5" x14ac:dyDescent="0.35">
      <c r="A624" s="26" t="s">
        <v>216</v>
      </c>
      <c r="B624" s="26" t="s">
        <v>1464</v>
      </c>
      <c r="C624" s="26" t="s">
        <v>27</v>
      </c>
      <c r="D624" s="28" t="s">
        <v>1465</v>
      </c>
      <c r="E624" s="26">
        <v>0</v>
      </c>
      <c r="F624" s="29" t="s">
        <v>229</v>
      </c>
    </row>
    <row r="625" spans="1:6" ht="29" x14ac:dyDescent="0.35">
      <c r="A625" s="26" t="s">
        <v>216</v>
      </c>
      <c r="B625" s="26" t="s">
        <v>1466</v>
      </c>
      <c r="C625" s="26" t="s">
        <v>24</v>
      </c>
      <c r="D625" s="28" t="s">
        <v>1467</v>
      </c>
      <c r="E625" s="26">
        <v>0</v>
      </c>
      <c r="F625" s="29" t="s">
        <v>232</v>
      </c>
    </row>
    <row r="626" spans="1:6" ht="43.5" x14ac:dyDescent="0.35">
      <c r="A626" s="26" t="s">
        <v>216</v>
      </c>
      <c r="B626" s="26" t="s">
        <v>1468</v>
      </c>
      <c r="C626" s="26" t="s">
        <v>15</v>
      </c>
      <c r="D626" s="28" t="s">
        <v>218</v>
      </c>
      <c r="E626" s="26" t="s">
        <v>1469</v>
      </c>
      <c r="F626" s="29" t="s">
        <v>220</v>
      </c>
    </row>
    <row r="627" spans="1:6" ht="29" x14ac:dyDescent="0.35">
      <c r="A627" s="26" t="s">
        <v>216</v>
      </c>
      <c r="B627" s="26" t="s">
        <v>1470</v>
      </c>
      <c r="C627" s="26" t="s">
        <v>17</v>
      </c>
      <c r="D627" s="28" t="s">
        <v>1471</v>
      </c>
      <c r="E627" s="26">
        <v>13658</v>
      </c>
      <c r="F627" s="29" t="s">
        <v>247</v>
      </c>
    </row>
    <row r="628" spans="1:6" ht="29" x14ac:dyDescent="0.35">
      <c r="A628" s="26" t="s">
        <v>216</v>
      </c>
      <c r="B628" s="26" t="s">
        <v>1472</v>
      </c>
      <c r="C628" s="26" t="s">
        <v>20</v>
      </c>
      <c r="D628" s="28" t="s">
        <v>1473</v>
      </c>
      <c r="E628" s="26">
        <v>13658</v>
      </c>
      <c r="F628" s="29" t="s">
        <v>223</v>
      </c>
    </row>
    <row r="629" spans="1:6" ht="58" x14ac:dyDescent="0.35">
      <c r="A629" s="26" t="s">
        <v>216</v>
      </c>
      <c r="B629" s="26" t="s">
        <v>1474</v>
      </c>
      <c r="C629" s="26" t="s">
        <v>25</v>
      </c>
      <c r="D629" s="28" t="s">
        <v>1475</v>
      </c>
      <c r="E629" s="26">
        <v>0</v>
      </c>
      <c r="F629" s="29" t="s">
        <v>226</v>
      </c>
    </row>
    <row r="630" spans="1:6" ht="43.5" x14ac:dyDescent="0.35">
      <c r="A630" s="26" t="s">
        <v>216</v>
      </c>
      <c r="B630" s="26" t="s">
        <v>1476</v>
      </c>
      <c r="C630" s="26" t="s">
        <v>27</v>
      </c>
      <c r="D630" s="28" t="s">
        <v>1477</v>
      </c>
      <c r="E630" s="26">
        <v>0</v>
      </c>
      <c r="F630" s="29" t="s">
        <v>229</v>
      </c>
    </row>
    <row r="631" spans="1:6" ht="29" x14ac:dyDescent="0.35">
      <c r="A631" s="26" t="s">
        <v>216</v>
      </c>
      <c r="B631" s="26" t="s">
        <v>1478</v>
      </c>
      <c r="C631" s="26" t="s">
        <v>24</v>
      </c>
      <c r="D631" s="28" t="s">
        <v>1479</v>
      </c>
      <c r="E631" s="26">
        <v>0</v>
      </c>
      <c r="F631" s="29" t="s">
        <v>232</v>
      </c>
    </row>
    <row r="632" spans="1:6" ht="43.5" x14ac:dyDescent="0.35">
      <c r="A632" s="26" t="s">
        <v>216</v>
      </c>
      <c r="B632" s="26" t="s">
        <v>1480</v>
      </c>
      <c r="C632" s="26" t="s">
        <v>15</v>
      </c>
      <c r="D632" s="28" t="s">
        <v>218</v>
      </c>
      <c r="E632" s="26" t="s">
        <v>1481</v>
      </c>
      <c r="F632" s="29" t="s">
        <v>220</v>
      </c>
    </row>
    <row r="633" spans="1:6" ht="29" x14ac:dyDescent="0.35">
      <c r="A633" s="26" t="s">
        <v>216</v>
      </c>
      <c r="B633" s="26" t="s">
        <v>1482</v>
      </c>
      <c r="C633" s="26" t="s">
        <v>17</v>
      </c>
      <c r="D633" s="28" t="s">
        <v>1483</v>
      </c>
      <c r="E633" s="26">
        <v>13658</v>
      </c>
      <c r="F633" s="29" t="s">
        <v>247</v>
      </c>
    </row>
    <row r="634" spans="1:6" ht="29" x14ac:dyDescent="0.35">
      <c r="A634" s="26" t="s">
        <v>216</v>
      </c>
      <c r="B634" s="26" t="s">
        <v>1484</v>
      </c>
      <c r="C634" s="26" t="s">
        <v>20</v>
      </c>
      <c r="D634" s="28" t="s">
        <v>1485</v>
      </c>
      <c r="E634" s="26">
        <v>13658</v>
      </c>
      <c r="F634" s="29" t="s">
        <v>223</v>
      </c>
    </row>
    <row r="635" spans="1:6" ht="58" x14ac:dyDescent="0.35">
      <c r="A635" s="26" t="s">
        <v>216</v>
      </c>
      <c r="B635" s="26" t="s">
        <v>1486</v>
      </c>
      <c r="C635" s="26" t="s">
        <v>25</v>
      </c>
      <c r="D635" s="28" t="s">
        <v>1487</v>
      </c>
      <c r="E635" s="26">
        <v>0</v>
      </c>
      <c r="F635" s="29" t="s">
        <v>226</v>
      </c>
    </row>
    <row r="636" spans="1:6" ht="43.5" x14ac:dyDescent="0.35">
      <c r="A636" s="26" t="s">
        <v>216</v>
      </c>
      <c r="B636" s="26" t="s">
        <v>1488</v>
      </c>
      <c r="C636" s="26" t="s">
        <v>27</v>
      </c>
      <c r="D636" s="28" t="s">
        <v>1489</v>
      </c>
      <c r="E636" s="26">
        <v>0</v>
      </c>
      <c r="F636" s="29" t="s">
        <v>229</v>
      </c>
    </row>
    <row r="637" spans="1:6" ht="29" x14ac:dyDescent="0.35">
      <c r="A637" s="26" t="s">
        <v>216</v>
      </c>
      <c r="B637" s="26" t="s">
        <v>1490</v>
      </c>
      <c r="C637" s="26" t="s">
        <v>24</v>
      </c>
      <c r="D637" s="28" t="s">
        <v>1491</v>
      </c>
      <c r="E637" s="26">
        <v>0</v>
      </c>
      <c r="F637" s="29" t="s">
        <v>232</v>
      </c>
    </row>
    <row r="638" spans="1:6" ht="43.5" x14ac:dyDescent="0.35">
      <c r="A638" s="26" t="s">
        <v>216</v>
      </c>
      <c r="B638" s="26" t="s">
        <v>1492</v>
      </c>
      <c r="C638" s="26" t="s">
        <v>15</v>
      </c>
      <c r="D638" s="28" t="s">
        <v>218</v>
      </c>
      <c r="E638" s="26" t="s">
        <v>1493</v>
      </c>
      <c r="F638" s="29" t="s">
        <v>220</v>
      </c>
    </row>
    <row r="639" spans="1:6" ht="29" x14ac:dyDescent="0.35">
      <c r="A639" s="26" t="s">
        <v>216</v>
      </c>
      <c r="B639" s="26" t="s">
        <v>1494</v>
      </c>
      <c r="C639" s="26" t="s">
        <v>17</v>
      </c>
      <c r="D639" s="28" t="s">
        <v>1495</v>
      </c>
      <c r="E639" s="26">
        <v>13658</v>
      </c>
      <c r="F639" s="29" t="s">
        <v>247</v>
      </c>
    </row>
    <row r="640" spans="1:6" ht="29" x14ac:dyDescent="0.35">
      <c r="A640" s="26" t="s">
        <v>216</v>
      </c>
      <c r="B640" s="26" t="s">
        <v>1496</v>
      </c>
      <c r="C640" s="26" t="s">
        <v>20</v>
      </c>
      <c r="D640" s="28" t="s">
        <v>1497</v>
      </c>
      <c r="E640" s="26">
        <v>13658</v>
      </c>
      <c r="F640" s="29" t="s">
        <v>223</v>
      </c>
    </row>
    <row r="641" spans="1:6" ht="58" x14ac:dyDescent="0.35">
      <c r="A641" s="26" t="s">
        <v>216</v>
      </c>
      <c r="B641" s="26" t="s">
        <v>1498</v>
      </c>
      <c r="C641" s="26" t="s">
        <v>25</v>
      </c>
      <c r="D641" s="28" t="s">
        <v>1499</v>
      </c>
      <c r="E641" s="26">
        <v>0</v>
      </c>
      <c r="F641" s="29" t="s">
        <v>226</v>
      </c>
    </row>
    <row r="642" spans="1:6" ht="43.5" x14ac:dyDescent="0.35">
      <c r="A642" s="26" t="s">
        <v>216</v>
      </c>
      <c r="B642" s="26" t="s">
        <v>1500</v>
      </c>
      <c r="C642" s="26" t="s">
        <v>27</v>
      </c>
      <c r="D642" s="28" t="s">
        <v>1501</v>
      </c>
      <c r="E642" s="26">
        <v>0</v>
      </c>
      <c r="F642" s="29" t="s">
        <v>229</v>
      </c>
    </row>
    <row r="643" spans="1:6" ht="29" x14ac:dyDescent="0.35">
      <c r="A643" s="26" t="s">
        <v>216</v>
      </c>
      <c r="B643" s="26" t="s">
        <v>1502</v>
      </c>
      <c r="C643" s="26" t="s">
        <v>24</v>
      </c>
      <c r="D643" s="28" t="s">
        <v>1503</v>
      </c>
      <c r="E643" s="26">
        <v>0</v>
      </c>
      <c r="F643" s="29" t="s">
        <v>232</v>
      </c>
    </row>
    <row r="644" spans="1:6" ht="43.5" x14ac:dyDescent="0.35">
      <c r="A644" s="26" t="s">
        <v>216</v>
      </c>
      <c r="B644" s="26" t="s">
        <v>1504</v>
      </c>
      <c r="C644" s="26" t="s">
        <v>15</v>
      </c>
      <c r="D644" s="28" t="s">
        <v>218</v>
      </c>
      <c r="E644" s="26" t="s">
        <v>1505</v>
      </c>
      <c r="F644" s="29" t="s">
        <v>220</v>
      </c>
    </row>
    <row r="645" spans="1:6" ht="29" x14ac:dyDescent="0.35">
      <c r="A645" s="26" t="s">
        <v>216</v>
      </c>
      <c r="B645" s="26" t="s">
        <v>1506</v>
      </c>
      <c r="C645" s="26" t="s">
        <v>17</v>
      </c>
      <c r="D645" s="28" t="s">
        <v>1507</v>
      </c>
      <c r="E645" s="26">
        <v>13658</v>
      </c>
      <c r="F645" s="29" t="s">
        <v>247</v>
      </c>
    </row>
    <row r="646" spans="1:6" ht="29" x14ac:dyDescent="0.35">
      <c r="A646" s="26" t="s">
        <v>216</v>
      </c>
      <c r="B646" s="26" t="s">
        <v>1508</v>
      </c>
      <c r="C646" s="26" t="s">
        <v>20</v>
      </c>
      <c r="D646" s="28" t="s">
        <v>1509</v>
      </c>
      <c r="E646" s="26">
        <v>13658</v>
      </c>
      <c r="F646" s="29" t="s">
        <v>223</v>
      </c>
    </row>
    <row r="647" spans="1:6" ht="58" x14ac:dyDescent="0.35">
      <c r="A647" s="26" t="s">
        <v>216</v>
      </c>
      <c r="B647" s="26" t="s">
        <v>1510</v>
      </c>
      <c r="C647" s="26" t="s">
        <v>25</v>
      </c>
      <c r="D647" s="28" t="s">
        <v>1511</v>
      </c>
      <c r="E647" s="26">
        <v>0</v>
      </c>
      <c r="F647" s="29" t="s">
        <v>226</v>
      </c>
    </row>
    <row r="648" spans="1:6" ht="43.5" x14ac:dyDescent="0.35">
      <c r="A648" s="26" t="s">
        <v>216</v>
      </c>
      <c r="B648" s="26" t="s">
        <v>1512</v>
      </c>
      <c r="C648" s="26" t="s">
        <v>27</v>
      </c>
      <c r="D648" s="28" t="s">
        <v>1513</v>
      </c>
      <c r="E648" s="26">
        <v>0</v>
      </c>
      <c r="F648" s="29" t="s">
        <v>229</v>
      </c>
    </row>
    <row r="649" spans="1:6" ht="29" x14ac:dyDescent="0.35">
      <c r="A649" s="26" t="s">
        <v>216</v>
      </c>
      <c r="B649" s="26" t="s">
        <v>1514</v>
      </c>
      <c r="C649" s="26" t="s">
        <v>24</v>
      </c>
      <c r="D649" s="28" t="s">
        <v>1515</v>
      </c>
      <c r="E649" s="26">
        <v>0</v>
      </c>
      <c r="F649" s="29" t="s">
        <v>232</v>
      </c>
    </row>
    <row r="650" spans="1:6" ht="43.5" x14ac:dyDescent="0.35">
      <c r="A650" s="26" t="s">
        <v>216</v>
      </c>
      <c r="B650" s="26" t="s">
        <v>1516</v>
      </c>
      <c r="C650" s="26" t="s">
        <v>15</v>
      </c>
      <c r="D650" s="28" t="s">
        <v>218</v>
      </c>
      <c r="E650" s="26" t="s">
        <v>1517</v>
      </c>
      <c r="F650" s="29" t="s">
        <v>220</v>
      </c>
    </row>
    <row r="651" spans="1:6" ht="29" x14ac:dyDescent="0.35">
      <c r="A651" s="26" t="s">
        <v>216</v>
      </c>
      <c r="B651" s="26" t="s">
        <v>1518</v>
      </c>
      <c r="C651" s="26" t="s">
        <v>17</v>
      </c>
      <c r="D651" s="28" t="s">
        <v>1519</v>
      </c>
      <c r="E651" s="26">
        <v>13658</v>
      </c>
      <c r="F651" s="29" t="s">
        <v>247</v>
      </c>
    </row>
    <row r="652" spans="1:6" ht="29" x14ac:dyDescent="0.35">
      <c r="A652" s="26" t="s">
        <v>216</v>
      </c>
      <c r="B652" s="26" t="s">
        <v>1520</v>
      </c>
      <c r="C652" s="26" t="s">
        <v>20</v>
      </c>
      <c r="D652" s="28" t="s">
        <v>1521</v>
      </c>
      <c r="E652" s="26">
        <v>13658</v>
      </c>
      <c r="F652" s="29" t="s">
        <v>223</v>
      </c>
    </row>
    <row r="653" spans="1:6" ht="58" x14ac:dyDescent="0.35">
      <c r="A653" s="26" t="s">
        <v>216</v>
      </c>
      <c r="B653" s="26" t="s">
        <v>1522</v>
      </c>
      <c r="C653" s="26" t="s">
        <v>25</v>
      </c>
      <c r="D653" s="28" t="s">
        <v>1523</v>
      </c>
      <c r="E653" s="26">
        <v>0</v>
      </c>
      <c r="F653" s="29" t="s">
        <v>226</v>
      </c>
    </row>
    <row r="654" spans="1:6" ht="43.5" x14ac:dyDescent="0.35">
      <c r="A654" s="26" t="s">
        <v>216</v>
      </c>
      <c r="B654" s="26" t="s">
        <v>1524</v>
      </c>
      <c r="C654" s="26" t="s">
        <v>27</v>
      </c>
      <c r="D654" s="28" t="s">
        <v>1525</v>
      </c>
      <c r="E654" s="26">
        <v>0</v>
      </c>
      <c r="F654" s="29" t="s">
        <v>229</v>
      </c>
    </row>
    <row r="655" spans="1:6" ht="29" x14ac:dyDescent="0.35">
      <c r="A655" s="26" t="s">
        <v>216</v>
      </c>
      <c r="B655" s="26" t="s">
        <v>1526</v>
      </c>
      <c r="C655" s="26" t="s">
        <v>24</v>
      </c>
      <c r="D655" s="28" t="s">
        <v>1527</v>
      </c>
      <c r="E655" s="26">
        <v>0</v>
      </c>
      <c r="F655" s="29" t="s">
        <v>232</v>
      </c>
    </row>
    <row r="656" spans="1:6" ht="43.5" x14ac:dyDescent="0.35">
      <c r="A656" s="26" t="s">
        <v>216</v>
      </c>
      <c r="B656" s="26" t="s">
        <v>1528</v>
      </c>
      <c r="C656" s="26" t="s">
        <v>15</v>
      </c>
      <c r="D656" s="28" t="s">
        <v>218</v>
      </c>
      <c r="E656" s="26" t="s">
        <v>1529</v>
      </c>
      <c r="F656" s="29" t="s">
        <v>220</v>
      </c>
    </row>
    <row r="657" spans="1:6" ht="29" x14ac:dyDescent="0.35">
      <c r="A657" s="26" t="s">
        <v>216</v>
      </c>
      <c r="B657" s="26" t="s">
        <v>1530</v>
      </c>
      <c r="C657" s="26" t="s">
        <v>17</v>
      </c>
      <c r="D657" s="28" t="s">
        <v>1531</v>
      </c>
      <c r="E657" s="26">
        <v>13658</v>
      </c>
      <c r="F657" s="29" t="s">
        <v>247</v>
      </c>
    </row>
    <row r="658" spans="1:6" ht="29" x14ac:dyDescent="0.35">
      <c r="A658" s="26" t="s">
        <v>216</v>
      </c>
      <c r="B658" s="26" t="s">
        <v>1532</v>
      </c>
      <c r="C658" s="26" t="s">
        <v>20</v>
      </c>
      <c r="D658" s="28" t="s">
        <v>1533</v>
      </c>
      <c r="E658" s="26">
        <v>13658</v>
      </c>
      <c r="F658" s="29" t="s">
        <v>223</v>
      </c>
    </row>
    <row r="659" spans="1:6" ht="58" x14ac:dyDescent="0.35">
      <c r="A659" s="26" t="s">
        <v>216</v>
      </c>
      <c r="B659" s="26" t="s">
        <v>1534</v>
      </c>
      <c r="C659" s="26" t="s">
        <v>25</v>
      </c>
      <c r="D659" s="28" t="s">
        <v>1535</v>
      </c>
      <c r="E659" s="26">
        <v>0</v>
      </c>
      <c r="F659" s="29" t="s">
        <v>226</v>
      </c>
    </row>
    <row r="660" spans="1:6" ht="43.5" x14ac:dyDescent="0.35">
      <c r="A660" s="26" t="s">
        <v>216</v>
      </c>
      <c r="B660" s="26" t="s">
        <v>1536</v>
      </c>
      <c r="C660" s="26" t="s">
        <v>27</v>
      </c>
      <c r="D660" s="28" t="s">
        <v>1537</v>
      </c>
      <c r="E660" s="26">
        <v>0</v>
      </c>
      <c r="F660" s="29" t="s">
        <v>229</v>
      </c>
    </row>
    <row r="661" spans="1:6" ht="29" x14ac:dyDescent="0.35">
      <c r="A661" s="26" t="s">
        <v>216</v>
      </c>
      <c r="B661" s="26" t="s">
        <v>1538</v>
      </c>
      <c r="C661" s="26" t="s">
        <v>24</v>
      </c>
      <c r="D661" s="28" t="s">
        <v>1539</v>
      </c>
      <c r="E661" s="26">
        <v>0</v>
      </c>
      <c r="F661" s="29" t="s">
        <v>232</v>
      </c>
    </row>
    <row r="662" spans="1:6" ht="43.5" x14ac:dyDescent="0.35">
      <c r="A662" s="26" t="s">
        <v>216</v>
      </c>
      <c r="B662" s="26" t="s">
        <v>1540</v>
      </c>
      <c r="C662" s="26" t="s">
        <v>15</v>
      </c>
      <c r="D662" s="28" t="s">
        <v>218</v>
      </c>
      <c r="E662" s="26" t="s">
        <v>1541</v>
      </c>
      <c r="F662" s="29" t="s">
        <v>220</v>
      </c>
    </row>
    <row r="663" spans="1:6" ht="29" x14ac:dyDescent="0.35">
      <c r="A663" s="26" t="s">
        <v>216</v>
      </c>
      <c r="B663" s="26" t="s">
        <v>1542</v>
      </c>
      <c r="C663" s="26" t="s">
        <v>17</v>
      </c>
      <c r="D663" s="28" t="s">
        <v>1543</v>
      </c>
      <c r="E663" s="26">
        <v>13658</v>
      </c>
      <c r="F663" s="29" t="s">
        <v>247</v>
      </c>
    </row>
    <row r="664" spans="1:6" ht="29" x14ac:dyDescent="0.35">
      <c r="A664" s="26" t="s">
        <v>216</v>
      </c>
      <c r="B664" s="26" t="s">
        <v>1544</v>
      </c>
      <c r="C664" s="26" t="s">
        <v>20</v>
      </c>
      <c r="D664" s="28" t="s">
        <v>1545</v>
      </c>
      <c r="E664" s="26">
        <v>13658</v>
      </c>
      <c r="F664" s="29" t="s">
        <v>223</v>
      </c>
    </row>
    <row r="665" spans="1:6" ht="58" x14ac:dyDescent="0.35">
      <c r="A665" s="26" t="s">
        <v>216</v>
      </c>
      <c r="B665" s="26" t="s">
        <v>1546</v>
      </c>
      <c r="C665" s="26" t="s">
        <v>25</v>
      </c>
      <c r="D665" s="28" t="s">
        <v>1547</v>
      </c>
      <c r="E665" s="26">
        <v>0</v>
      </c>
      <c r="F665" s="29" t="s">
        <v>226</v>
      </c>
    </row>
    <row r="666" spans="1:6" ht="43.5" x14ac:dyDescent="0.35">
      <c r="A666" s="26" t="s">
        <v>216</v>
      </c>
      <c r="B666" s="26" t="s">
        <v>1548</v>
      </c>
      <c r="C666" s="26" t="s">
        <v>27</v>
      </c>
      <c r="D666" s="28" t="s">
        <v>1549</v>
      </c>
      <c r="E666" s="26">
        <v>0</v>
      </c>
      <c r="F666" s="29" t="s">
        <v>229</v>
      </c>
    </row>
    <row r="667" spans="1:6" ht="29" x14ac:dyDescent="0.35">
      <c r="A667" s="26" t="s">
        <v>216</v>
      </c>
      <c r="B667" s="26" t="s">
        <v>1550</v>
      </c>
      <c r="C667" s="26" t="s">
        <v>24</v>
      </c>
      <c r="D667" s="28" t="s">
        <v>1551</v>
      </c>
      <c r="E667" s="26">
        <v>0</v>
      </c>
      <c r="F667" s="29" t="s">
        <v>232</v>
      </c>
    </row>
    <row r="668" spans="1:6" ht="43.5" x14ac:dyDescent="0.35">
      <c r="A668" s="26" t="s">
        <v>216</v>
      </c>
      <c r="B668" s="26" t="s">
        <v>1552</v>
      </c>
      <c r="C668" s="26" t="s">
        <v>15</v>
      </c>
      <c r="D668" s="28" t="s">
        <v>218</v>
      </c>
      <c r="E668" s="26" t="s">
        <v>1553</v>
      </c>
      <c r="F668" s="29" t="s">
        <v>220</v>
      </c>
    </row>
    <row r="669" spans="1:6" ht="29" x14ac:dyDescent="0.35">
      <c r="A669" s="26" t="s">
        <v>216</v>
      </c>
      <c r="B669" s="26" t="s">
        <v>1554</v>
      </c>
      <c r="C669" s="26" t="s">
        <v>17</v>
      </c>
      <c r="D669" s="28" t="s">
        <v>1555</v>
      </c>
      <c r="E669" s="26">
        <v>13658</v>
      </c>
      <c r="F669" s="29" t="s">
        <v>247</v>
      </c>
    </row>
    <row r="670" spans="1:6" ht="29" x14ac:dyDescent="0.35">
      <c r="A670" s="26" t="s">
        <v>216</v>
      </c>
      <c r="B670" s="26" t="s">
        <v>1556</v>
      </c>
      <c r="C670" s="26" t="s">
        <v>20</v>
      </c>
      <c r="D670" s="28" t="s">
        <v>1557</v>
      </c>
      <c r="E670" s="26">
        <v>13658</v>
      </c>
      <c r="F670" s="29" t="s">
        <v>223</v>
      </c>
    </row>
    <row r="671" spans="1:6" ht="58" x14ac:dyDescent="0.35">
      <c r="A671" s="26" t="s">
        <v>216</v>
      </c>
      <c r="B671" s="26" t="s">
        <v>1558</v>
      </c>
      <c r="C671" s="26" t="s">
        <v>25</v>
      </c>
      <c r="D671" s="28" t="s">
        <v>1559</v>
      </c>
      <c r="E671" s="26">
        <v>0</v>
      </c>
      <c r="F671" s="29" t="s">
        <v>226</v>
      </c>
    </row>
    <row r="672" spans="1:6" ht="43.5" x14ac:dyDescent="0.35">
      <c r="A672" s="26" t="s">
        <v>216</v>
      </c>
      <c r="B672" s="26" t="s">
        <v>1560</v>
      </c>
      <c r="C672" s="26" t="s">
        <v>27</v>
      </c>
      <c r="D672" s="28" t="s">
        <v>1561</v>
      </c>
      <c r="E672" s="26">
        <v>0</v>
      </c>
      <c r="F672" s="29" t="s">
        <v>229</v>
      </c>
    </row>
    <row r="673" spans="1:6" ht="29" x14ac:dyDescent="0.35">
      <c r="A673" s="26" t="s">
        <v>216</v>
      </c>
      <c r="B673" s="26" t="s">
        <v>1562</v>
      </c>
      <c r="C673" s="26" t="s">
        <v>24</v>
      </c>
      <c r="D673" s="28" t="s">
        <v>1563</v>
      </c>
      <c r="E673" s="26">
        <v>0</v>
      </c>
      <c r="F673" s="29" t="s">
        <v>232</v>
      </c>
    </row>
    <row r="674" spans="1:6" ht="43.5" x14ac:dyDescent="0.35">
      <c r="A674" s="26" t="s">
        <v>216</v>
      </c>
      <c r="B674" s="26" t="s">
        <v>1564</v>
      </c>
      <c r="C674" s="26" t="s">
        <v>15</v>
      </c>
      <c r="D674" s="28" t="s">
        <v>218</v>
      </c>
      <c r="E674" s="26" t="s">
        <v>1565</v>
      </c>
      <c r="F674" s="29" t="s">
        <v>220</v>
      </c>
    </row>
    <row r="675" spans="1:6" ht="29" x14ac:dyDescent="0.35">
      <c r="A675" s="26" t="s">
        <v>216</v>
      </c>
      <c r="B675" s="26" t="s">
        <v>1566</v>
      </c>
      <c r="C675" s="26" t="s">
        <v>17</v>
      </c>
      <c r="D675" s="28" t="s">
        <v>1567</v>
      </c>
      <c r="E675" s="26">
        <v>13658</v>
      </c>
      <c r="F675" s="29" t="s">
        <v>247</v>
      </c>
    </row>
    <row r="676" spans="1:6" ht="29" x14ac:dyDescent="0.35">
      <c r="A676" s="26" t="s">
        <v>216</v>
      </c>
      <c r="B676" s="26" t="s">
        <v>1568</v>
      </c>
      <c r="C676" s="26" t="s">
        <v>20</v>
      </c>
      <c r="D676" s="28" t="s">
        <v>1569</v>
      </c>
      <c r="E676" s="26">
        <v>13658</v>
      </c>
      <c r="F676" s="29" t="s">
        <v>223</v>
      </c>
    </row>
    <row r="677" spans="1:6" ht="58" x14ac:dyDescent="0.35">
      <c r="A677" s="26" t="s">
        <v>216</v>
      </c>
      <c r="B677" s="26" t="s">
        <v>1570</v>
      </c>
      <c r="C677" s="26" t="s">
        <v>25</v>
      </c>
      <c r="D677" s="28" t="s">
        <v>1571</v>
      </c>
      <c r="E677" s="26">
        <v>0</v>
      </c>
      <c r="F677" s="29" t="s">
        <v>226</v>
      </c>
    </row>
    <row r="678" spans="1:6" ht="43.5" x14ac:dyDescent="0.35">
      <c r="A678" s="26" t="s">
        <v>216</v>
      </c>
      <c r="B678" s="26" t="s">
        <v>1572</v>
      </c>
      <c r="C678" s="26" t="s">
        <v>27</v>
      </c>
      <c r="D678" s="28" t="s">
        <v>1573</v>
      </c>
      <c r="E678" s="26">
        <v>0</v>
      </c>
      <c r="F678" s="29" t="s">
        <v>229</v>
      </c>
    </row>
    <row r="679" spans="1:6" ht="29" x14ac:dyDescent="0.35">
      <c r="A679" s="26" t="s">
        <v>216</v>
      </c>
      <c r="B679" s="26" t="s">
        <v>1574</v>
      </c>
      <c r="C679" s="26" t="s">
        <v>24</v>
      </c>
      <c r="D679" s="28" t="s">
        <v>1575</v>
      </c>
      <c r="E679" s="26">
        <v>0</v>
      </c>
      <c r="F679" s="29" t="s">
        <v>232</v>
      </c>
    </row>
    <row r="680" spans="1:6" ht="43.5" x14ac:dyDescent="0.35">
      <c r="A680" s="26" t="s">
        <v>216</v>
      </c>
      <c r="B680" s="26" t="s">
        <v>1576</v>
      </c>
      <c r="C680" s="26" t="s">
        <v>15</v>
      </c>
      <c r="D680" s="28" t="s">
        <v>218</v>
      </c>
      <c r="E680" s="26" t="s">
        <v>1577</v>
      </c>
      <c r="F680" s="29" t="s">
        <v>220</v>
      </c>
    </row>
    <row r="681" spans="1:6" ht="29" x14ac:dyDescent="0.35">
      <c r="A681" s="26" t="s">
        <v>216</v>
      </c>
      <c r="B681" s="26" t="s">
        <v>1578</v>
      </c>
      <c r="C681" s="26" t="s">
        <v>17</v>
      </c>
      <c r="D681" s="28" t="s">
        <v>1579</v>
      </c>
      <c r="E681" s="26">
        <v>13658</v>
      </c>
      <c r="F681" s="29" t="s">
        <v>247</v>
      </c>
    </row>
    <row r="682" spans="1:6" ht="29" x14ac:dyDescent="0.35">
      <c r="A682" s="26" t="s">
        <v>216</v>
      </c>
      <c r="B682" s="26" t="s">
        <v>1580</v>
      </c>
      <c r="C682" s="26" t="s">
        <v>20</v>
      </c>
      <c r="D682" s="28" t="s">
        <v>1581</v>
      </c>
      <c r="E682" s="26">
        <v>13658</v>
      </c>
      <c r="F682" s="29" t="s">
        <v>223</v>
      </c>
    </row>
    <row r="683" spans="1:6" ht="58" x14ac:dyDescent="0.35">
      <c r="A683" s="26" t="s">
        <v>216</v>
      </c>
      <c r="B683" s="26" t="s">
        <v>1582</v>
      </c>
      <c r="C683" s="26" t="s">
        <v>25</v>
      </c>
      <c r="D683" s="28" t="s">
        <v>1583</v>
      </c>
      <c r="E683" s="26">
        <v>0</v>
      </c>
      <c r="F683" s="29" t="s">
        <v>226</v>
      </c>
    </row>
    <row r="684" spans="1:6" ht="43.5" x14ac:dyDescent="0.35">
      <c r="A684" s="26" t="s">
        <v>216</v>
      </c>
      <c r="B684" s="26" t="s">
        <v>1584</v>
      </c>
      <c r="C684" s="26" t="s">
        <v>27</v>
      </c>
      <c r="D684" s="28" t="s">
        <v>1585</v>
      </c>
      <c r="E684" s="26">
        <v>0</v>
      </c>
      <c r="F684" s="29" t="s">
        <v>229</v>
      </c>
    </row>
    <row r="685" spans="1:6" ht="29" x14ac:dyDescent="0.35">
      <c r="A685" s="26" t="s">
        <v>216</v>
      </c>
      <c r="B685" s="26" t="s">
        <v>1586</v>
      </c>
      <c r="C685" s="26" t="s">
        <v>24</v>
      </c>
      <c r="D685" s="28" t="s">
        <v>1587</v>
      </c>
      <c r="E685" s="26">
        <v>0</v>
      </c>
      <c r="F685" s="29" t="s">
        <v>232</v>
      </c>
    </row>
    <row r="686" spans="1:6" ht="43.5" x14ac:dyDescent="0.35">
      <c r="A686" s="26" t="s">
        <v>216</v>
      </c>
      <c r="B686" s="26" t="s">
        <v>1588</v>
      </c>
      <c r="C686" s="26" t="s">
        <v>15</v>
      </c>
      <c r="D686" s="28" t="s">
        <v>218</v>
      </c>
      <c r="E686" s="26" t="s">
        <v>1589</v>
      </c>
      <c r="F686" s="29" t="s">
        <v>220</v>
      </c>
    </row>
    <row r="687" spans="1:6" ht="29" x14ac:dyDescent="0.35">
      <c r="A687" s="26" t="s">
        <v>216</v>
      </c>
      <c r="B687" s="26" t="s">
        <v>1590</v>
      </c>
      <c r="C687" s="26" t="s">
        <v>17</v>
      </c>
      <c r="D687" s="28" t="s">
        <v>1591</v>
      </c>
      <c r="E687" s="26">
        <v>13658</v>
      </c>
      <c r="F687" s="29" t="s">
        <v>247</v>
      </c>
    </row>
    <row r="688" spans="1:6" ht="29" x14ac:dyDescent="0.35">
      <c r="A688" s="26" t="s">
        <v>216</v>
      </c>
      <c r="B688" s="26" t="s">
        <v>1592</v>
      </c>
      <c r="C688" s="26" t="s">
        <v>20</v>
      </c>
      <c r="D688" s="28" t="s">
        <v>1593</v>
      </c>
      <c r="E688" s="26">
        <v>13658</v>
      </c>
      <c r="F688" s="29" t="s">
        <v>223</v>
      </c>
    </row>
    <row r="689" spans="1:6" ht="58" x14ac:dyDescent="0.35">
      <c r="A689" s="26" t="s">
        <v>216</v>
      </c>
      <c r="B689" s="26" t="s">
        <v>1594</v>
      </c>
      <c r="C689" s="26" t="s">
        <v>25</v>
      </c>
      <c r="D689" s="28" t="s">
        <v>1595</v>
      </c>
      <c r="E689" s="26">
        <v>0</v>
      </c>
      <c r="F689" s="29" t="s">
        <v>226</v>
      </c>
    </row>
    <row r="690" spans="1:6" ht="43.5" x14ac:dyDescent="0.35">
      <c r="A690" s="26" t="s">
        <v>216</v>
      </c>
      <c r="B690" s="26" t="s">
        <v>1596</v>
      </c>
      <c r="C690" s="26" t="s">
        <v>27</v>
      </c>
      <c r="D690" s="28" t="s">
        <v>1597</v>
      </c>
      <c r="E690" s="26">
        <v>0</v>
      </c>
      <c r="F690" s="29" t="s">
        <v>229</v>
      </c>
    </row>
    <row r="691" spans="1:6" ht="29" x14ac:dyDescent="0.35">
      <c r="A691" s="26" t="s">
        <v>216</v>
      </c>
      <c r="B691" s="26" t="s">
        <v>1598</v>
      </c>
      <c r="C691" s="26" t="s">
        <v>24</v>
      </c>
      <c r="D691" s="28" t="s">
        <v>1599</v>
      </c>
      <c r="E691" s="26">
        <v>0</v>
      </c>
      <c r="F691" s="29" t="s">
        <v>232</v>
      </c>
    </row>
    <row r="692" spans="1:6" ht="43.5" x14ac:dyDescent="0.35">
      <c r="A692" s="26" t="s">
        <v>216</v>
      </c>
      <c r="B692" s="26" t="s">
        <v>1600</v>
      </c>
      <c r="C692" s="26" t="s">
        <v>15</v>
      </c>
      <c r="D692" s="28" t="s">
        <v>218</v>
      </c>
      <c r="E692" s="26" t="s">
        <v>1601</v>
      </c>
      <c r="F692" s="29" t="s">
        <v>220</v>
      </c>
    </row>
    <row r="693" spans="1:6" ht="29" x14ac:dyDescent="0.35">
      <c r="A693" s="26" t="s">
        <v>216</v>
      </c>
      <c r="B693" s="26" t="s">
        <v>1602</v>
      </c>
      <c r="C693" s="26" t="s">
        <v>17</v>
      </c>
      <c r="D693" s="28" t="s">
        <v>1603</v>
      </c>
      <c r="E693" s="26">
        <v>13658</v>
      </c>
      <c r="F693" s="29" t="s">
        <v>247</v>
      </c>
    </row>
    <row r="694" spans="1:6" ht="29" x14ac:dyDescent="0.35">
      <c r="A694" s="26" t="s">
        <v>216</v>
      </c>
      <c r="B694" s="26" t="s">
        <v>1604</v>
      </c>
      <c r="C694" s="26" t="s">
        <v>20</v>
      </c>
      <c r="D694" s="28" t="s">
        <v>1605</v>
      </c>
      <c r="E694" s="26">
        <v>13658</v>
      </c>
      <c r="F694" s="29" t="s">
        <v>223</v>
      </c>
    </row>
    <row r="695" spans="1:6" ht="58" x14ac:dyDescent="0.35">
      <c r="A695" s="26" t="s">
        <v>216</v>
      </c>
      <c r="B695" s="26" t="s">
        <v>1606</v>
      </c>
      <c r="C695" s="26" t="s">
        <v>25</v>
      </c>
      <c r="D695" s="28" t="s">
        <v>1607</v>
      </c>
      <c r="E695" s="26">
        <v>0</v>
      </c>
      <c r="F695" s="29" t="s">
        <v>226</v>
      </c>
    </row>
    <row r="696" spans="1:6" ht="43.5" x14ac:dyDescent="0.35">
      <c r="A696" s="26" t="s">
        <v>216</v>
      </c>
      <c r="B696" s="26" t="s">
        <v>1608</v>
      </c>
      <c r="C696" s="26" t="s">
        <v>27</v>
      </c>
      <c r="D696" s="28" t="s">
        <v>1609</v>
      </c>
      <c r="E696" s="26">
        <v>0</v>
      </c>
      <c r="F696" s="29" t="s">
        <v>229</v>
      </c>
    </row>
    <row r="697" spans="1:6" ht="29" x14ac:dyDescent="0.35">
      <c r="A697" s="26" t="s">
        <v>216</v>
      </c>
      <c r="B697" s="26" t="s">
        <v>1610</v>
      </c>
      <c r="C697" s="26" t="s">
        <v>24</v>
      </c>
      <c r="D697" s="28" t="s">
        <v>1611</v>
      </c>
      <c r="E697" s="26">
        <v>0</v>
      </c>
      <c r="F697" s="29" t="s">
        <v>232</v>
      </c>
    </row>
    <row r="698" spans="1:6" ht="43.5" x14ac:dyDescent="0.35">
      <c r="A698" s="26" t="s">
        <v>216</v>
      </c>
      <c r="B698" s="26" t="s">
        <v>1612</v>
      </c>
      <c r="C698" s="26" t="s">
        <v>15</v>
      </c>
      <c r="D698" s="28" t="s">
        <v>218</v>
      </c>
      <c r="E698" s="26" t="s">
        <v>1613</v>
      </c>
      <c r="F698" s="29" t="s">
        <v>220</v>
      </c>
    </row>
    <row r="699" spans="1:6" ht="29" x14ac:dyDescent="0.35">
      <c r="A699" s="26" t="s">
        <v>216</v>
      </c>
      <c r="B699" s="26" t="s">
        <v>1614</v>
      </c>
      <c r="C699" s="26" t="s">
        <v>17</v>
      </c>
      <c r="D699" s="28" t="s">
        <v>1615</v>
      </c>
      <c r="E699" s="26">
        <v>13658</v>
      </c>
      <c r="F699" s="29" t="s">
        <v>247</v>
      </c>
    </row>
    <row r="700" spans="1:6" ht="29" x14ac:dyDescent="0.35">
      <c r="A700" s="26" t="s">
        <v>216</v>
      </c>
      <c r="B700" s="26" t="s">
        <v>1616</v>
      </c>
      <c r="C700" s="26" t="s">
        <v>20</v>
      </c>
      <c r="D700" s="28" t="s">
        <v>1617</v>
      </c>
      <c r="E700" s="26">
        <v>13658</v>
      </c>
      <c r="F700" s="29" t="s">
        <v>223</v>
      </c>
    </row>
    <row r="701" spans="1:6" ht="58" x14ac:dyDescent="0.35">
      <c r="A701" s="26" t="s">
        <v>216</v>
      </c>
      <c r="B701" s="26" t="s">
        <v>1618</v>
      </c>
      <c r="C701" s="26" t="s">
        <v>25</v>
      </c>
      <c r="D701" s="28" t="s">
        <v>1619</v>
      </c>
      <c r="E701" s="26">
        <v>0</v>
      </c>
      <c r="F701" s="29" t="s">
        <v>226</v>
      </c>
    </row>
    <row r="702" spans="1:6" ht="43.5" x14ac:dyDescent="0.35">
      <c r="A702" s="26" t="s">
        <v>216</v>
      </c>
      <c r="B702" s="26" t="s">
        <v>1620</v>
      </c>
      <c r="C702" s="26" t="s">
        <v>27</v>
      </c>
      <c r="D702" s="28" t="s">
        <v>1621</v>
      </c>
      <c r="E702" s="26">
        <v>0</v>
      </c>
      <c r="F702" s="29" t="s">
        <v>229</v>
      </c>
    </row>
    <row r="703" spans="1:6" ht="29" x14ac:dyDescent="0.35">
      <c r="A703" s="26" t="s">
        <v>216</v>
      </c>
      <c r="B703" s="26" t="s">
        <v>1622</v>
      </c>
      <c r="C703" s="26" t="s">
        <v>24</v>
      </c>
      <c r="D703" s="28" t="s">
        <v>1623</v>
      </c>
      <c r="E703" s="26">
        <v>0</v>
      </c>
      <c r="F703" s="29" t="s">
        <v>232</v>
      </c>
    </row>
    <row r="704" spans="1:6" ht="43.5" x14ac:dyDescent="0.35">
      <c r="A704" s="26" t="s">
        <v>216</v>
      </c>
      <c r="B704" s="26" t="s">
        <v>1624</v>
      </c>
      <c r="C704" s="26" t="s">
        <v>15</v>
      </c>
      <c r="D704" s="28" t="s">
        <v>218</v>
      </c>
      <c r="E704" s="26" t="s">
        <v>1625</v>
      </c>
      <c r="F704" s="29" t="s">
        <v>220</v>
      </c>
    </row>
    <row r="705" spans="1:6" ht="29" x14ac:dyDescent="0.35">
      <c r="A705" s="26" t="s">
        <v>216</v>
      </c>
      <c r="B705" s="26" t="s">
        <v>1626</v>
      </c>
      <c r="C705" s="26" t="s">
        <v>17</v>
      </c>
      <c r="D705" s="28" t="s">
        <v>1627</v>
      </c>
      <c r="E705" s="26">
        <v>13658</v>
      </c>
      <c r="F705" s="29" t="s">
        <v>247</v>
      </c>
    </row>
    <row r="706" spans="1:6" ht="29" x14ac:dyDescent="0.35">
      <c r="A706" s="26" t="s">
        <v>216</v>
      </c>
      <c r="B706" s="26" t="s">
        <v>1628</v>
      </c>
      <c r="C706" s="26" t="s">
        <v>20</v>
      </c>
      <c r="D706" s="28" t="s">
        <v>1629</v>
      </c>
      <c r="E706" s="26">
        <v>13658</v>
      </c>
      <c r="F706" s="29" t="s">
        <v>223</v>
      </c>
    </row>
    <row r="707" spans="1:6" ht="58" x14ac:dyDescent="0.35">
      <c r="A707" s="26" t="s">
        <v>216</v>
      </c>
      <c r="B707" s="26" t="s">
        <v>1630</v>
      </c>
      <c r="C707" s="26" t="s">
        <v>25</v>
      </c>
      <c r="D707" s="28" t="s">
        <v>1631</v>
      </c>
      <c r="E707" s="26">
        <v>0</v>
      </c>
      <c r="F707" s="29" t="s">
        <v>226</v>
      </c>
    </row>
    <row r="708" spans="1:6" ht="43.5" x14ac:dyDescent="0.35">
      <c r="A708" s="26" t="s">
        <v>216</v>
      </c>
      <c r="B708" s="26" t="s">
        <v>1632</v>
      </c>
      <c r="C708" s="26" t="s">
        <v>27</v>
      </c>
      <c r="D708" s="28" t="s">
        <v>1633</v>
      </c>
      <c r="E708" s="26">
        <v>0</v>
      </c>
      <c r="F708" s="29" t="s">
        <v>229</v>
      </c>
    </row>
    <row r="709" spans="1:6" ht="29" x14ac:dyDescent="0.35">
      <c r="A709" s="26" t="s">
        <v>216</v>
      </c>
      <c r="B709" s="26" t="s">
        <v>1634</v>
      </c>
      <c r="C709" s="26" t="s">
        <v>24</v>
      </c>
      <c r="D709" s="28" t="s">
        <v>1635</v>
      </c>
      <c r="E709" s="26">
        <v>0</v>
      </c>
      <c r="F709" s="29" t="s">
        <v>232</v>
      </c>
    </row>
    <row r="710" spans="1:6" ht="43.5" x14ac:dyDescent="0.35">
      <c r="A710" s="26" t="s">
        <v>216</v>
      </c>
      <c r="B710" s="26" t="s">
        <v>1636</v>
      </c>
      <c r="C710" s="26" t="s">
        <v>15</v>
      </c>
      <c r="D710" s="28" t="s">
        <v>218</v>
      </c>
      <c r="E710" s="26" t="s">
        <v>1637</v>
      </c>
      <c r="F710" s="29" t="s">
        <v>220</v>
      </c>
    </row>
    <row r="711" spans="1:6" ht="29" x14ac:dyDescent="0.35">
      <c r="A711" s="26" t="s">
        <v>216</v>
      </c>
      <c r="B711" s="26" t="s">
        <v>1638</v>
      </c>
      <c r="C711" s="26" t="s">
        <v>17</v>
      </c>
      <c r="D711" s="28" t="s">
        <v>1639</v>
      </c>
      <c r="E711" s="26">
        <v>13658</v>
      </c>
      <c r="F711" s="29" t="s">
        <v>247</v>
      </c>
    </row>
    <row r="712" spans="1:6" ht="29" x14ac:dyDescent="0.35">
      <c r="A712" s="26" t="s">
        <v>216</v>
      </c>
      <c r="B712" s="26" t="s">
        <v>1640</v>
      </c>
      <c r="C712" s="26" t="s">
        <v>20</v>
      </c>
      <c r="D712" s="28" t="s">
        <v>1641</v>
      </c>
      <c r="E712" s="26">
        <v>13658</v>
      </c>
      <c r="F712" s="29" t="s">
        <v>223</v>
      </c>
    </row>
    <row r="713" spans="1:6" ht="58" x14ac:dyDescent="0.35">
      <c r="A713" s="26" t="s">
        <v>216</v>
      </c>
      <c r="B713" s="26" t="s">
        <v>1642</v>
      </c>
      <c r="C713" s="26" t="s">
        <v>25</v>
      </c>
      <c r="D713" s="28" t="s">
        <v>1643</v>
      </c>
      <c r="E713" s="26">
        <v>0</v>
      </c>
      <c r="F713" s="29" t="s">
        <v>226</v>
      </c>
    </row>
    <row r="714" spans="1:6" ht="43.5" x14ac:dyDescent="0.35">
      <c r="A714" s="26" t="s">
        <v>216</v>
      </c>
      <c r="B714" s="26" t="s">
        <v>1644</v>
      </c>
      <c r="C714" s="26" t="s">
        <v>27</v>
      </c>
      <c r="D714" s="28" t="s">
        <v>1645</v>
      </c>
      <c r="E714" s="26">
        <v>0</v>
      </c>
      <c r="F714" s="29" t="s">
        <v>229</v>
      </c>
    </row>
    <row r="715" spans="1:6" ht="29" x14ac:dyDescent="0.35">
      <c r="A715" s="26" t="s">
        <v>216</v>
      </c>
      <c r="B715" s="26" t="s">
        <v>1646</v>
      </c>
      <c r="C715" s="26" t="s">
        <v>24</v>
      </c>
      <c r="D715" s="28" t="s">
        <v>1647</v>
      </c>
      <c r="E715" s="26">
        <v>0</v>
      </c>
      <c r="F715" s="29" t="s">
        <v>232</v>
      </c>
    </row>
    <row r="716" spans="1:6" ht="43.5" x14ac:dyDescent="0.35">
      <c r="A716" s="26" t="s">
        <v>216</v>
      </c>
      <c r="B716" s="26" t="s">
        <v>1648</v>
      </c>
      <c r="C716" s="26" t="s">
        <v>15</v>
      </c>
      <c r="D716" s="28" t="s">
        <v>218</v>
      </c>
      <c r="E716" s="26" t="s">
        <v>1649</v>
      </c>
      <c r="F716" s="29" t="s">
        <v>220</v>
      </c>
    </row>
    <row r="717" spans="1:6" ht="29" x14ac:dyDescent="0.35">
      <c r="A717" s="26" t="s">
        <v>216</v>
      </c>
      <c r="B717" s="26" t="s">
        <v>1650</v>
      </c>
      <c r="C717" s="26" t="s">
        <v>17</v>
      </c>
      <c r="D717" s="28" t="s">
        <v>1651</v>
      </c>
      <c r="E717" s="26">
        <v>13658</v>
      </c>
      <c r="F717" s="29" t="s">
        <v>247</v>
      </c>
    </row>
    <row r="718" spans="1:6" ht="29" x14ac:dyDescent="0.35">
      <c r="A718" s="26" t="s">
        <v>216</v>
      </c>
      <c r="B718" s="26" t="s">
        <v>1652</v>
      </c>
      <c r="C718" s="26" t="s">
        <v>20</v>
      </c>
      <c r="D718" s="28" t="s">
        <v>1653</v>
      </c>
      <c r="E718" s="26">
        <v>13658</v>
      </c>
      <c r="F718" s="29" t="s">
        <v>223</v>
      </c>
    </row>
    <row r="719" spans="1:6" ht="58" x14ac:dyDescent="0.35">
      <c r="A719" s="26" t="s">
        <v>216</v>
      </c>
      <c r="B719" s="26" t="s">
        <v>1654</v>
      </c>
      <c r="C719" s="26" t="s">
        <v>25</v>
      </c>
      <c r="D719" s="28" t="s">
        <v>1655</v>
      </c>
      <c r="E719" s="26">
        <v>0</v>
      </c>
      <c r="F719" s="29" t="s">
        <v>226</v>
      </c>
    </row>
    <row r="720" spans="1:6" ht="43.5" x14ac:dyDescent="0.35">
      <c r="A720" s="26" t="s">
        <v>216</v>
      </c>
      <c r="B720" s="26" t="s">
        <v>1656</v>
      </c>
      <c r="C720" s="26" t="s">
        <v>27</v>
      </c>
      <c r="D720" s="28" t="s">
        <v>1657</v>
      </c>
      <c r="E720" s="26">
        <v>0</v>
      </c>
      <c r="F720" s="29" t="s">
        <v>229</v>
      </c>
    </row>
    <row r="721" spans="1:6" ht="29" x14ac:dyDescent="0.35">
      <c r="A721" s="26" t="s">
        <v>216</v>
      </c>
      <c r="B721" s="26" t="s">
        <v>1658</v>
      </c>
      <c r="C721" s="26" t="s">
        <v>24</v>
      </c>
      <c r="D721" s="28" t="s">
        <v>1659</v>
      </c>
      <c r="E721" s="26">
        <v>0</v>
      </c>
      <c r="F721" s="29" t="s">
        <v>232</v>
      </c>
    </row>
    <row r="722" spans="1:6" ht="43.5" x14ac:dyDescent="0.35">
      <c r="A722" s="26" t="s">
        <v>216</v>
      </c>
      <c r="B722" s="26" t="s">
        <v>1660</v>
      </c>
      <c r="C722" s="26" t="s">
        <v>15</v>
      </c>
      <c r="D722" s="28" t="s">
        <v>218</v>
      </c>
      <c r="E722" s="26" t="s">
        <v>1661</v>
      </c>
      <c r="F722" s="29" t="s">
        <v>220</v>
      </c>
    </row>
    <row r="723" spans="1:6" ht="29" x14ac:dyDescent="0.35">
      <c r="A723" s="26" t="s">
        <v>216</v>
      </c>
      <c r="B723" s="26" t="s">
        <v>1662</v>
      </c>
      <c r="C723" s="26" t="s">
        <v>17</v>
      </c>
      <c r="D723" s="28" t="s">
        <v>1663</v>
      </c>
      <c r="E723" s="26">
        <v>13658</v>
      </c>
      <c r="F723" s="29" t="s">
        <v>247</v>
      </c>
    </row>
    <row r="724" spans="1:6" ht="29" x14ac:dyDescent="0.35">
      <c r="A724" s="26" t="s">
        <v>216</v>
      </c>
      <c r="B724" s="26" t="s">
        <v>1664</v>
      </c>
      <c r="C724" s="26" t="s">
        <v>20</v>
      </c>
      <c r="D724" s="28" t="s">
        <v>1665</v>
      </c>
      <c r="E724" s="26">
        <v>13658</v>
      </c>
      <c r="F724" s="29" t="s">
        <v>223</v>
      </c>
    </row>
    <row r="725" spans="1:6" ht="58" x14ac:dyDescent="0.35">
      <c r="A725" s="26" t="s">
        <v>216</v>
      </c>
      <c r="B725" s="26" t="s">
        <v>1666</v>
      </c>
      <c r="C725" s="26" t="s">
        <v>25</v>
      </c>
      <c r="D725" s="28" t="s">
        <v>1667</v>
      </c>
      <c r="E725" s="26">
        <v>0</v>
      </c>
      <c r="F725" s="29" t="s">
        <v>226</v>
      </c>
    </row>
    <row r="726" spans="1:6" ht="43.5" x14ac:dyDescent="0.35">
      <c r="A726" s="26" t="s">
        <v>216</v>
      </c>
      <c r="B726" s="26" t="s">
        <v>1668</v>
      </c>
      <c r="C726" s="26" t="s">
        <v>27</v>
      </c>
      <c r="D726" s="28" t="s">
        <v>1669</v>
      </c>
      <c r="E726" s="26">
        <v>0</v>
      </c>
      <c r="F726" s="29" t="s">
        <v>229</v>
      </c>
    </row>
    <row r="727" spans="1:6" ht="29" x14ac:dyDescent="0.35">
      <c r="A727" s="26" t="s">
        <v>216</v>
      </c>
      <c r="B727" s="26" t="s">
        <v>1670</v>
      </c>
      <c r="C727" s="26" t="s">
        <v>24</v>
      </c>
      <c r="D727" s="28" t="s">
        <v>1671</v>
      </c>
      <c r="E727" s="26">
        <v>0</v>
      </c>
      <c r="F727" s="29" t="s">
        <v>232</v>
      </c>
    </row>
    <row r="728" spans="1:6" ht="43.5" x14ac:dyDescent="0.35">
      <c r="A728" s="26" t="s">
        <v>216</v>
      </c>
      <c r="B728" s="26" t="s">
        <v>1672</v>
      </c>
      <c r="C728" s="26" t="s">
        <v>15</v>
      </c>
      <c r="D728" s="28" t="s">
        <v>218</v>
      </c>
      <c r="E728" s="26" t="s">
        <v>1673</v>
      </c>
      <c r="F728" s="29" t="s">
        <v>220</v>
      </c>
    </row>
    <row r="729" spans="1:6" ht="29" x14ac:dyDescent="0.35">
      <c r="A729" s="26" t="s">
        <v>216</v>
      </c>
      <c r="B729" s="26" t="s">
        <v>1674</v>
      </c>
      <c r="C729" s="26" t="s">
        <v>17</v>
      </c>
      <c r="D729" s="28" t="s">
        <v>1675</v>
      </c>
      <c r="E729" s="26">
        <v>13658</v>
      </c>
      <c r="F729" s="29" t="s">
        <v>247</v>
      </c>
    </row>
    <row r="730" spans="1:6" ht="29" x14ac:dyDescent="0.35">
      <c r="A730" s="26" t="s">
        <v>216</v>
      </c>
      <c r="B730" s="26" t="s">
        <v>1676</v>
      </c>
      <c r="C730" s="26" t="s">
        <v>20</v>
      </c>
      <c r="D730" s="28" t="s">
        <v>1677</v>
      </c>
      <c r="E730" s="26">
        <v>13658</v>
      </c>
      <c r="F730" s="29" t="s">
        <v>223</v>
      </c>
    </row>
    <row r="731" spans="1:6" ht="58" x14ac:dyDescent="0.35">
      <c r="A731" s="26" t="s">
        <v>216</v>
      </c>
      <c r="B731" s="26" t="s">
        <v>1678</v>
      </c>
      <c r="C731" s="26" t="s">
        <v>25</v>
      </c>
      <c r="D731" s="28" t="s">
        <v>1679</v>
      </c>
      <c r="E731" s="26">
        <v>0</v>
      </c>
      <c r="F731" s="29" t="s">
        <v>226</v>
      </c>
    </row>
    <row r="732" spans="1:6" ht="43.5" x14ac:dyDescent="0.35">
      <c r="A732" s="26" t="s">
        <v>216</v>
      </c>
      <c r="B732" s="26" t="s">
        <v>1680</v>
      </c>
      <c r="C732" s="26" t="s">
        <v>27</v>
      </c>
      <c r="D732" s="28" t="s">
        <v>1681</v>
      </c>
      <c r="E732" s="26">
        <v>0</v>
      </c>
      <c r="F732" s="29" t="s">
        <v>229</v>
      </c>
    </row>
    <row r="733" spans="1:6" ht="29" x14ac:dyDescent="0.35">
      <c r="A733" s="26" t="s">
        <v>216</v>
      </c>
      <c r="B733" s="26" t="s">
        <v>1682</v>
      </c>
      <c r="C733" s="26" t="s">
        <v>24</v>
      </c>
      <c r="D733" s="28" t="s">
        <v>1683</v>
      </c>
      <c r="E733" s="26">
        <v>0</v>
      </c>
      <c r="F733" s="29" t="s">
        <v>232</v>
      </c>
    </row>
    <row r="734" spans="1:6" ht="43.5" x14ac:dyDescent="0.35">
      <c r="A734" s="26" t="s">
        <v>216</v>
      </c>
      <c r="B734" s="26" t="s">
        <v>1684</v>
      </c>
      <c r="C734" s="26" t="s">
        <v>15</v>
      </c>
      <c r="D734" s="28" t="s">
        <v>218</v>
      </c>
      <c r="E734" s="26" t="s">
        <v>1685</v>
      </c>
      <c r="F734" s="29" t="s">
        <v>220</v>
      </c>
    </row>
    <row r="735" spans="1:6" ht="29" x14ac:dyDescent="0.35">
      <c r="A735" s="26" t="s">
        <v>216</v>
      </c>
      <c r="B735" s="26" t="s">
        <v>1686</v>
      </c>
      <c r="C735" s="26" t="s">
        <v>17</v>
      </c>
      <c r="D735" s="28" t="s">
        <v>1687</v>
      </c>
      <c r="E735" s="26">
        <v>13658</v>
      </c>
      <c r="F735" s="29" t="s">
        <v>247</v>
      </c>
    </row>
    <row r="736" spans="1:6" ht="29" x14ac:dyDescent="0.35">
      <c r="A736" s="26" t="s">
        <v>216</v>
      </c>
      <c r="B736" s="26" t="s">
        <v>1688</v>
      </c>
      <c r="C736" s="26" t="s">
        <v>20</v>
      </c>
      <c r="D736" s="28" t="s">
        <v>1689</v>
      </c>
      <c r="E736" s="26">
        <v>13658</v>
      </c>
      <c r="F736" s="29" t="s">
        <v>223</v>
      </c>
    </row>
    <row r="737" spans="1:6" ht="58" x14ac:dyDescent="0.35">
      <c r="A737" s="26" t="s">
        <v>216</v>
      </c>
      <c r="B737" s="26" t="s">
        <v>1690</v>
      </c>
      <c r="C737" s="26" t="s">
        <v>25</v>
      </c>
      <c r="D737" s="28" t="s">
        <v>1691</v>
      </c>
      <c r="E737" s="26">
        <v>0</v>
      </c>
      <c r="F737" s="29" t="s">
        <v>226</v>
      </c>
    </row>
    <row r="738" spans="1:6" ht="43.5" x14ac:dyDescent="0.35">
      <c r="A738" s="26" t="s">
        <v>216</v>
      </c>
      <c r="B738" s="26" t="s">
        <v>1692</v>
      </c>
      <c r="C738" s="26" t="s">
        <v>27</v>
      </c>
      <c r="D738" s="28" t="s">
        <v>1693</v>
      </c>
      <c r="E738" s="26">
        <v>0</v>
      </c>
      <c r="F738" s="29" t="s">
        <v>229</v>
      </c>
    </row>
    <row r="739" spans="1:6" ht="29" x14ac:dyDescent="0.35">
      <c r="A739" s="26" t="s">
        <v>216</v>
      </c>
      <c r="B739" s="26" t="s">
        <v>1694</v>
      </c>
      <c r="C739" s="26" t="s">
        <v>24</v>
      </c>
      <c r="D739" s="28" t="s">
        <v>1695</v>
      </c>
      <c r="E739" s="26">
        <v>0</v>
      </c>
      <c r="F739" s="29" t="s">
        <v>232</v>
      </c>
    </row>
    <row r="740" spans="1:6" ht="43.5" x14ac:dyDescent="0.35">
      <c r="A740" s="26" t="s">
        <v>216</v>
      </c>
      <c r="B740" s="26" t="s">
        <v>1696</v>
      </c>
      <c r="C740" s="26" t="s">
        <v>15</v>
      </c>
      <c r="D740" s="28" t="s">
        <v>218</v>
      </c>
      <c r="E740" s="26" t="s">
        <v>1697</v>
      </c>
      <c r="F740" s="29" t="s">
        <v>220</v>
      </c>
    </row>
    <row r="741" spans="1:6" ht="29" x14ac:dyDescent="0.35">
      <c r="A741" s="26" t="s">
        <v>216</v>
      </c>
      <c r="B741" s="26" t="s">
        <v>1698</v>
      </c>
      <c r="C741" s="26" t="s">
        <v>17</v>
      </c>
      <c r="D741" s="28" t="s">
        <v>1699</v>
      </c>
      <c r="E741" s="26">
        <v>13658</v>
      </c>
      <c r="F741" s="29" t="s">
        <v>247</v>
      </c>
    </row>
    <row r="742" spans="1:6" ht="29" x14ac:dyDescent="0.35">
      <c r="A742" s="26" t="s">
        <v>216</v>
      </c>
      <c r="B742" s="26" t="s">
        <v>1700</v>
      </c>
      <c r="C742" s="26" t="s">
        <v>20</v>
      </c>
      <c r="D742" s="28" t="s">
        <v>1701</v>
      </c>
      <c r="E742" s="26">
        <v>13658</v>
      </c>
      <c r="F742" s="29" t="s">
        <v>223</v>
      </c>
    </row>
    <row r="743" spans="1:6" ht="58" x14ac:dyDescent="0.35">
      <c r="A743" s="26" t="s">
        <v>216</v>
      </c>
      <c r="B743" s="26" t="s">
        <v>1702</v>
      </c>
      <c r="C743" s="26" t="s">
        <v>25</v>
      </c>
      <c r="D743" s="28" t="s">
        <v>1703</v>
      </c>
      <c r="E743" s="26">
        <v>0</v>
      </c>
      <c r="F743" s="29" t="s">
        <v>226</v>
      </c>
    </row>
    <row r="744" spans="1:6" ht="43.5" x14ac:dyDescent="0.35">
      <c r="A744" s="26" t="s">
        <v>216</v>
      </c>
      <c r="B744" s="26" t="s">
        <v>1704</v>
      </c>
      <c r="C744" s="26" t="s">
        <v>27</v>
      </c>
      <c r="D744" s="28" t="s">
        <v>1705</v>
      </c>
      <c r="E744" s="26">
        <v>0</v>
      </c>
      <c r="F744" s="29" t="s">
        <v>229</v>
      </c>
    </row>
    <row r="745" spans="1:6" ht="29" x14ac:dyDescent="0.35">
      <c r="A745" s="26" t="s">
        <v>216</v>
      </c>
      <c r="B745" s="26" t="s">
        <v>1706</v>
      </c>
      <c r="C745" s="26" t="s">
        <v>24</v>
      </c>
      <c r="D745" s="28" t="s">
        <v>1707</v>
      </c>
      <c r="E745" s="26">
        <v>0</v>
      </c>
      <c r="F745" s="29" t="s">
        <v>232</v>
      </c>
    </row>
    <row r="746" spans="1:6" ht="43.5" x14ac:dyDescent="0.35">
      <c r="A746" s="26" t="s">
        <v>216</v>
      </c>
      <c r="B746" s="26" t="s">
        <v>1708</v>
      </c>
      <c r="C746" s="26" t="s">
        <v>15</v>
      </c>
      <c r="D746" s="28" t="s">
        <v>218</v>
      </c>
      <c r="E746" s="26" t="s">
        <v>1709</v>
      </c>
      <c r="F746" s="29" t="s">
        <v>220</v>
      </c>
    </row>
    <row r="747" spans="1:6" ht="29" x14ac:dyDescent="0.35">
      <c r="A747" s="26" t="s">
        <v>216</v>
      </c>
      <c r="B747" s="26" t="s">
        <v>1710</v>
      </c>
      <c r="C747" s="26" t="s">
        <v>17</v>
      </c>
      <c r="D747" s="28" t="s">
        <v>1711</v>
      </c>
      <c r="E747" s="26">
        <v>13658</v>
      </c>
      <c r="F747" s="29" t="s">
        <v>247</v>
      </c>
    </row>
    <row r="748" spans="1:6" ht="29" x14ac:dyDescent="0.35">
      <c r="A748" s="26" t="s">
        <v>216</v>
      </c>
      <c r="B748" s="26" t="s">
        <v>1712</v>
      </c>
      <c r="C748" s="26" t="s">
        <v>20</v>
      </c>
      <c r="D748" s="28" t="s">
        <v>1713</v>
      </c>
      <c r="E748" s="26">
        <v>13658</v>
      </c>
      <c r="F748" s="29" t="s">
        <v>223</v>
      </c>
    </row>
    <row r="749" spans="1:6" ht="58" x14ac:dyDescent="0.35">
      <c r="A749" s="26" t="s">
        <v>216</v>
      </c>
      <c r="B749" s="26" t="s">
        <v>1714</v>
      </c>
      <c r="C749" s="26" t="s">
        <v>25</v>
      </c>
      <c r="D749" s="28" t="s">
        <v>1715</v>
      </c>
      <c r="E749" s="26">
        <v>0</v>
      </c>
      <c r="F749" s="29" t="s">
        <v>226</v>
      </c>
    </row>
    <row r="750" spans="1:6" ht="43.5" x14ac:dyDescent="0.35">
      <c r="A750" s="26" t="s">
        <v>216</v>
      </c>
      <c r="B750" s="26" t="s">
        <v>1716</v>
      </c>
      <c r="C750" s="26" t="s">
        <v>27</v>
      </c>
      <c r="D750" s="28" t="s">
        <v>1717</v>
      </c>
      <c r="E750" s="26">
        <v>0</v>
      </c>
      <c r="F750" s="29" t="s">
        <v>229</v>
      </c>
    </row>
    <row r="751" spans="1:6" ht="29" x14ac:dyDescent="0.35">
      <c r="A751" s="26" t="s">
        <v>216</v>
      </c>
      <c r="B751" s="26" t="s">
        <v>1718</v>
      </c>
      <c r="C751" s="26" t="s">
        <v>24</v>
      </c>
      <c r="D751" s="28" t="s">
        <v>1719</v>
      </c>
      <c r="E751" s="26">
        <v>0</v>
      </c>
      <c r="F751" s="29" t="s">
        <v>232</v>
      </c>
    </row>
    <row r="752" spans="1:6" ht="43.5" x14ac:dyDescent="0.35">
      <c r="A752" s="26" t="s">
        <v>216</v>
      </c>
      <c r="B752" s="26" t="s">
        <v>1720</v>
      </c>
      <c r="C752" s="26" t="s">
        <v>15</v>
      </c>
      <c r="D752" s="28" t="s">
        <v>218</v>
      </c>
      <c r="E752" s="26" t="s">
        <v>1721</v>
      </c>
      <c r="F752" s="29" t="s">
        <v>220</v>
      </c>
    </row>
    <row r="753" spans="1:6" ht="29" x14ac:dyDescent="0.35">
      <c r="A753" s="26" t="s">
        <v>216</v>
      </c>
      <c r="B753" s="26" t="s">
        <v>1722</v>
      </c>
      <c r="C753" s="26" t="s">
        <v>17</v>
      </c>
      <c r="D753" s="28" t="s">
        <v>1723</v>
      </c>
      <c r="E753" s="26">
        <v>13658</v>
      </c>
      <c r="F753" s="29" t="s">
        <v>247</v>
      </c>
    </row>
    <row r="754" spans="1:6" ht="29" x14ac:dyDescent="0.35">
      <c r="A754" s="26" t="s">
        <v>216</v>
      </c>
      <c r="B754" s="26" t="s">
        <v>1724</v>
      </c>
      <c r="C754" s="26" t="s">
        <v>20</v>
      </c>
      <c r="D754" s="28" t="s">
        <v>1725</v>
      </c>
      <c r="E754" s="26">
        <v>13658</v>
      </c>
      <c r="F754" s="29" t="s">
        <v>223</v>
      </c>
    </row>
    <row r="755" spans="1:6" ht="58" x14ac:dyDescent="0.35">
      <c r="A755" s="26" t="s">
        <v>216</v>
      </c>
      <c r="B755" s="26" t="s">
        <v>1726</v>
      </c>
      <c r="C755" s="26" t="s">
        <v>25</v>
      </c>
      <c r="D755" s="28" t="s">
        <v>1727</v>
      </c>
      <c r="E755" s="26">
        <v>0</v>
      </c>
      <c r="F755" s="29" t="s">
        <v>226</v>
      </c>
    </row>
    <row r="756" spans="1:6" ht="43.5" x14ac:dyDescent="0.35">
      <c r="A756" s="26" t="s">
        <v>216</v>
      </c>
      <c r="B756" s="26" t="s">
        <v>1728</v>
      </c>
      <c r="C756" s="26" t="s">
        <v>27</v>
      </c>
      <c r="D756" s="28" t="s">
        <v>1729</v>
      </c>
      <c r="E756" s="26">
        <v>0</v>
      </c>
      <c r="F756" s="29" t="s">
        <v>229</v>
      </c>
    </row>
    <row r="757" spans="1:6" ht="29" x14ac:dyDescent="0.35">
      <c r="A757" s="26" t="s">
        <v>216</v>
      </c>
      <c r="B757" s="26" t="s">
        <v>1730</v>
      </c>
      <c r="C757" s="26" t="s">
        <v>24</v>
      </c>
      <c r="D757" s="28" t="s">
        <v>1731</v>
      </c>
      <c r="E757" s="26">
        <v>0</v>
      </c>
      <c r="F757" s="29" t="s">
        <v>232</v>
      </c>
    </row>
    <row r="758" spans="1:6" ht="43.5" x14ac:dyDescent="0.35">
      <c r="A758" s="26" t="s">
        <v>216</v>
      </c>
      <c r="B758" s="26" t="s">
        <v>1732</v>
      </c>
      <c r="C758" s="26" t="s">
        <v>15</v>
      </c>
      <c r="D758" s="28" t="s">
        <v>218</v>
      </c>
      <c r="E758" s="26" t="s">
        <v>1733</v>
      </c>
      <c r="F758" s="29" t="s">
        <v>220</v>
      </c>
    </row>
    <row r="759" spans="1:6" ht="29" x14ac:dyDescent="0.35">
      <c r="A759" s="26" t="s">
        <v>216</v>
      </c>
      <c r="B759" s="26" t="s">
        <v>1734</v>
      </c>
      <c r="C759" s="26" t="s">
        <v>17</v>
      </c>
      <c r="D759" s="28" t="s">
        <v>1735</v>
      </c>
      <c r="E759" s="26">
        <v>13658</v>
      </c>
      <c r="F759" s="29" t="s">
        <v>247</v>
      </c>
    </row>
    <row r="760" spans="1:6" ht="29" x14ac:dyDescent="0.35">
      <c r="A760" s="26" t="s">
        <v>216</v>
      </c>
      <c r="B760" s="26" t="s">
        <v>1736</v>
      </c>
      <c r="C760" s="26" t="s">
        <v>20</v>
      </c>
      <c r="D760" s="28" t="s">
        <v>1737</v>
      </c>
      <c r="E760" s="26">
        <v>13651</v>
      </c>
      <c r="F760" s="29" t="s">
        <v>223</v>
      </c>
    </row>
    <row r="761" spans="1:6" ht="58" x14ac:dyDescent="0.35">
      <c r="A761" s="26" t="s">
        <v>216</v>
      </c>
      <c r="B761" s="26" t="s">
        <v>1738</v>
      </c>
      <c r="C761" s="26" t="s">
        <v>25</v>
      </c>
      <c r="D761" s="28" t="s">
        <v>1739</v>
      </c>
      <c r="E761" s="26">
        <v>4.43190975</v>
      </c>
      <c r="F761" s="29" t="s">
        <v>226</v>
      </c>
    </row>
    <row r="762" spans="1:6" ht="43.5" x14ac:dyDescent="0.35">
      <c r="A762" s="26" t="s">
        <v>216</v>
      </c>
      <c r="B762" s="26" t="s">
        <v>1740</v>
      </c>
      <c r="C762" s="26" t="s">
        <v>27</v>
      </c>
      <c r="D762" s="28" t="s">
        <v>1741</v>
      </c>
      <c r="E762" s="26">
        <v>4.43190975</v>
      </c>
      <c r="F762" s="29" t="s">
        <v>229</v>
      </c>
    </row>
    <row r="763" spans="1:6" ht="29" x14ac:dyDescent="0.35">
      <c r="A763" s="26" t="s">
        <v>216</v>
      </c>
      <c r="B763" s="26" t="s">
        <v>1742</v>
      </c>
      <c r="C763" s="26" t="s">
        <v>24</v>
      </c>
      <c r="D763" s="28" t="s">
        <v>1743</v>
      </c>
      <c r="E763" s="26">
        <v>0</v>
      </c>
      <c r="F763" s="29" t="s">
        <v>232</v>
      </c>
    </row>
    <row r="764" spans="1:6" ht="43.5" x14ac:dyDescent="0.35">
      <c r="A764" s="26" t="s">
        <v>216</v>
      </c>
      <c r="B764" s="26" t="s">
        <v>1744</v>
      </c>
      <c r="C764" s="26" t="s">
        <v>15</v>
      </c>
      <c r="D764" s="28" t="s">
        <v>218</v>
      </c>
      <c r="E764" s="26" t="s">
        <v>1745</v>
      </c>
      <c r="F764" s="29" t="s">
        <v>220</v>
      </c>
    </row>
    <row r="765" spans="1:6" ht="29" x14ac:dyDescent="0.35">
      <c r="A765" s="26" t="s">
        <v>216</v>
      </c>
      <c r="B765" s="26" t="s">
        <v>1746</v>
      </c>
      <c r="C765" s="26" t="s">
        <v>17</v>
      </c>
      <c r="D765" s="28" t="s">
        <v>1747</v>
      </c>
      <c r="E765" s="26">
        <v>13651</v>
      </c>
      <c r="F765" s="29" t="s">
        <v>247</v>
      </c>
    </row>
    <row r="766" spans="1:6" ht="29" x14ac:dyDescent="0.35">
      <c r="A766" s="26" t="s">
        <v>216</v>
      </c>
      <c r="B766" s="26" t="s">
        <v>1748</v>
      </c>
      <c r="C766" s="26" t="s">
        <v>20</v>
      </c>
      <c r="D766" s="28" t="s">
        <v>1749</v>
      </c>
      <c r="E766" s="26">
        <v>13638</v>
      </c>
      <c r="F766" s="29" t="s">
        <v>223</v>
      </c>
    </row>
    <row r="767" spans="1:6" ht="58" x14ac:dyDescent="0.35">
      <c r="A767" s="26" t="s">
        <v>216</v>
      </c>
      <c r="B767" s="26" t="s">
        <v>1750</v>
      </c>
      <c r="C767" s="26" t="s">
        <v>25</v>
      </c>
      <c r="D767" s="28" t="s">
        <v>1751</v>
      </c>
      <c r="E767" s="26">
        <v>5.9319548319999997</v>
      </c>
      <c r="F767" s="29" t="s">
        <v>226</v>
      </c>
    </row>
    <row r="768" spans="1:6" ht="43.5" x14ac:dyDescent="0.35">
      <c r="A768" s="26" t="s">
        <v>216</v>
      </c>
      <c r="B768" s="26" t="s">
        <v>1752</v>
      </c>
      <c r="C768" s="26" t="s">
        <v>27</v>
      </c>
      <c r="D768" s="28" t="s">
        <v>1753</v>
      </c>
      <c r="E768" s="26">
        <v>5.9319548319999997</v>
      </c>
      <c r="F768" s="29" t="s">
        <v>229</v>
      </c>
    </row>
    <row r="769" spans="1:6" ht="29" x14ac:dyDescent="0.35">
      <c r="A769" s="26" t="s">
        <v>216</v>
      </c>
      <c r="B769" s="26" t="s">
        <v>1754</v>
      </c>
      <c r="C769" s="26" t="s">
        <v>24</v>
      </c>
      <c r="D769" s="28" t="s">
        <v>1755</v>
      </c>
      <c r="E769" s="26">
        <v>0</v>
      </c>
      <c r="F769" s="29" t="s">
        <v>232</v>
      </c>
    </row>
    <row r="770" spans="1:6" ht="43.5" x14ac:dyDescent="0.35">
      <c r="A770" s="26" t="s">
        <v>216</v>
      </c>
      <c r="B770" s="26" t="s">
        <v>1756</v>
      </c>
      <c r="C770" s="26" t="s">
        <v>15</v>
      </c>
      <c r="D770" s="28" t="s">
        <v>218</v>
      </c>
      <c r="E770" s="26" t="s">
        <v>1757</v>
      </c>
      <c r="F770" s="29" t="s">
        <v>220</v>
      </c>
    </row>
    <row r="771" spans="1:6" ht="29" x14ac:dyDescent="0.35">
      <c r="A771" s="26" t="s">
        <v>216</v>
      </c>
      <c r="B771" s="26" t="s">
        <v>1758</v>
      </c>
      <c r="C771" s="26" t="s">
        <v>17</v>
      </c>
      <c r="D771" s="28" t="s">
        <v>1759</v>
      </c>
      <c r="E771" s="26">
        <v>13638</v>
      </c>
      <c r="F771" s="29" t="s">
        <v>247</v>
      </c>
    </row>
    <row r="772" spans="1:6" ht="29" x14ac:dyDescent="0.35">
      <c r="A772" s="26" t="s">
        <v>216</v>
      </c>
      <c r="B772" s="26" t="s">
        <v>1760</v>
      </c>
      <c r="C772" s="26" t="s">
        <v>20</v>
      </c>
      <c r="D772" s="28" t="s">
        <v>1761</v>
      </c>
      <c r="E772" s="26">
        <v>13604</v>
      </c>
      <c r="F772" s="29" t="s">
        <v>223</v>
      </c>
    </row>
    <row r="773" spans="1:6" ht="58" x14ac:dyDescent="0.35">
      <c r="A773" s="26" t="s">
        <v>216</v>
      </c>
      <c r="B773" s="26" t="s">
        <v>1762</v>
      </c>
      <c r="C773" s="26" t="s">
        <v>25</v>
      </c>
      <c r="D773" s="28" t="s">
        <v>1763</v>
      </c>
      <c r="E773" s="26">
        <v>11.143781239999999</v>
      </c>
      <c r="F773" s="29" t="s">
        <v>226</v>
      </c>
    </row>
    <row r="774" spans="1:6" ht="43.5" x14ac:dyDescent="0.35">
      <c r="A774" s="26" t="s">
        <v>216</v>
      </c>
      <c r="B774" s="26" t="s">
        <v>1764</v>
      </c>
      <c r="C774" s="26" t="s">
        <v>27</v>
      </c>
      <c r="D774" s="28" t="s">
        <v>1765</v>
      </c>
      <c r="E774" s="26">
        <v>11.143781239999999</v>
      </c>
      <c r="F774" s="29" t="s">
        <v>229</v>
      </c>
    </row>
    <row r="775" spans="1:6" ht="29" x14ac:dyDescent="0.35">
      <c r="A775" s="26" t="s">
        <v>216</v>
      </c>
      <c r="B775" s="26" t="s">
        <v>1766</v>
      </c>
      <c r="C775" s="26" t="s">
        <v>24</v>
      </c>
      <c r="D775" s="28" t="s">
        <v>1767</v>
      </c>
      <c r="E775" s="26">
        <v>0</v>
      </c>
      <c r="F775" s="29" t="s">
        <v>232</v>
      </c>
    </row>
    <row r="776" spans="1:6" ht="43.5" x14ac:dyDescent="0.35">
      <c r="A776" s="26" t="s">
        <v>216</v>
      </c>
      <c r="B776" s="26" t="s">
        <v>1768</v>
      </c>
      <c r="C776" s="26" t="s">
        <v>15</v>
      </c>
      <c r="D776" s="28" t="s">
        <v>218</v>
      </c>
      <c r="E776" s="26" t="s">
        <v>1769</v>
      </c>
      <c r="F776" s="29" t="s">
        <v>220</v>
      </c>
    </row>
    <row r="777" spans="1:6" ht="29" x14ac:dyDescent="0.35">
      <c r="A777" s="26" t="s">
        <v>216</v>
      </c>
      <c r="B777" s="26" t="s">
        <v>1770</v>
      </c>
      <c r="C777" s="26" t="s">
        <v>17</v>
      </c>
      <c r="D777" s="28" t="s">
        <v>1771</v>
      </c>
      <c r="E777" s="26">
        <v>13604</v>
      </c>
      <c r="F777" s="29" t="s">
        <v>247</v>
      </c>
    </row>
    <row r="778" spans="1:6" ht="29" x14ac:dyDescent="0.35">
      <c r="A778" s="26" t="s">
        <v>216</v>
      </c>
      <c r="B778" s="26" t="s">
        <v>1772</v>
      </c>
      <c r="C778" s="26" t="s">
        <v>20</v>
      </c>
      <c r="D778" s="28" t="s">
        <v>1773</v>
      </c>
      <c r="E778" s="26">
        <v>13550</v>
      </c>
      <c r="F778" s="29" t="s">
        <v>223</v>
      </c>
    </row>
    <row r="779" spans="1:6" ht="58" x14ac:dyDescent="0.35">
      <c r="A779" s="26" t="s">
        <v>216</v>
      </c>
      <c r="B779" s="26" t="s">
        <v>1774</v>
      </c>
      <c r="C779" s="26" t="s">
        <v>25</v>
      </c>
      <c r="D779" s="28" t="s">
        <v>1775</v>
      </c>
      <c r="E779" s="26">
        <v>17.32103321</v>
      </c>
      <c r="F779" s="29" t="s">
        <v>226</v>
      </c>
    </row>
    <row r="780" spans="1:6" ht="43.5" x14ac:dyDescent="0.35">
      <c r="A780" s="26" t="s">
        <v>216</v>
      </c>
      <c r="B780" s="26" t="s">
        <v>1776</v>
      </c>
      <c r="C780" s="26" t="s">
        <v>27</v>
      </c>
      <c r="D780" s="28" t="s">
        <v>1777</v>
      </c>
      <c r="E780" s="26">
        <v>17.32103321</v>
      </c>
      <c r="F780" s="29" t="s">
        <v>229</v>
      </c>
    </row>
    <row r="781" spans="1:6" ht="29" x14ac:dyDescent="0.35">
      <c r="A781" s="26" t="s">
        <v>216</v>
      </c>
      <c r="B781" s="26" t="s">
        <v>1778</v>
      </c>
      <c r="C781" s="26" t="s">
        <v>24</v>
      </c>
      <c r="D781" s="28" t="s">
        <v>1779</v>
      </c>
      <c r="E781" s="26">
        <v>0</v>
      </c>
      <c r="F781" s="29" t="s">
        <v>232</v>
      </c>
    </row>
    <row r="782" spans="1:6" ht="43.5" x14ac:dyDescent="0.35">
      <c r="A782" s="26" t="s">
        <v>216</v>
      </c>
      <c r="B782" s="26" t="s">
        <v>1780</v>
      </c>
      <c r="C782" s="26" t="s">
        <v>15</v>
      </c>
      <c r="D782" s="28" t="s">
        <v>218</v>
      </c>
      <c r="E782" s="26" t="s">
        <v>1781</v>
      </c>
      <c r="F782" s="29" t="s">
        <v>220</v>
      </c>
    </row>
    <row r="783" spans="1:6" ht="29" x14ac:dyDescent="0.35">
      <c r="A783" s="26" t="s">
        <v>216</v>
      </c>
      <c r="B783" s="26" t="s">
        <v>1782</v>
      </c>
      <c r="C783" s="26" t="s">
        <v>17</v>
      </c>
      <c r="D783" s="28" t="s">
        <v>1783</v>
      </c>
      <c r="E783" s="26">
        <v>13550</v>
      </c>
      <c r="F783" s="29" t="s">
        <v>247</v>
      </c>
    </row>
    <row r="784" spans="1:6" ht="29" x14ac:dyDescent="0.35">
      <c r="A784" s="26" t="s">
        <v>216</v>
      </c>
      <c r="B784" s="26" t="s">
        <v>1784</v>
      </c>
      <c r="C784" s="26" t="s">
        <v>20</v>
      </c>
      <c r="D784" s="28" t="s">
        <v>1785</v>
      </c>
      <c r="E784" s="26">
        <v>13527</v>
      </c>
      <c r="F784" s="29" t="s">
        <v>223</v>
      </c>
    </row>
    <row r="785" spans="1:6" ht="58" x14ac:dyDescent="0.35">
      <c r="A785" s="26" t="s">
        <v>216</v>
      </c>
      <c r="B785" s="26" t="s">
        <v>1786</v>
      </c>
      <c r="C785" s="26" t="s">
        <v>25</v>
      </c>
      <c r="D785" s="28" t="s">
        <v>1787</v>
      </c>
      <c r="E785" s="26">
        <v>23.915132700000001</v>
      </c>
      <c r="F785" s="29" t="s">
        <v>226</v>
      </c>
    </row>
    <row r="786" spans="1:6" ht="43.5" x14ac:dyDescent="0.35">
      <c r="A786" s="26" t="s">
        <v>216</v>
      </c>
      <c r="B786" s="26" t="s">
        <v>1788</v>
      </c>
      <c r="C786" s="26" t="s">
        <v>27</v>
      </c>
      <c r="D786" s="28" t="s">
        <v>1789</v>
      </c>
      <c r="E786" s="26">
        <v>23.915132700000001</v>
      </c>
      <c r="F786" s="29" t="s">
        <v>229</v>
      </c>
    </row>
    <row r="787" spans="1:6" ht="29" x14ac:dyDescent="0.35">
      <c r="A787" s="26" t="s">
        <v>216</v>
      </c>
      <c r="B787" s="26" t="s">
        <v>1790</v>
      </c>
      <c r="C787" s="26" t="s">
        <v>24</v>
      </c>
      <c r="D787" s="28" t="s">
        <v>1791</v>
      </c>
      <c r="E787" s="26">
        <v>0</v>
      </c>
      <c r="F787" s="29" t="s">
        <v>232</v>
      </c>
    </row>
    <row r="788" spans="1:6" ht="43.5" x14ac:dyDescent="0.35">
      <c r="A788" s="26" t="s">
        <v>216</v>
      </c>
      <c r="B788" s="26" t="s">
        <v>1792</v>
      </c>
      <c r="C788" s="26" t="s">
        <v>15</v>
      </c>
      <c r="D788" s="28" t="s">
        <v>218</v>
      </c>
      <c r="E788" s="26" t="s">
        <v>1793</v>
      </c>
      <c r="F788" s="29" t="s">
        <v>220</v>
      </c>
    </row>
    <row r="789" spans="1:6" ht="29" x14ac:dyDescent="0.35">
      <c r="A789" s="26" t="s">
        <v>216</v>
      </c>
      <c r="B789" s="26" t="s">
        <v>1794</v>
      </c>
      <c r="C789" s="26" t="s">
        <v>17</v>
      </c>
      <c r="D789" s="28" t="s">
        <v>1795</v>
      </c>
      <c r="E789" s="26">
        <v>13527</v>
      </c>
      <c r="F789" s="29" t="s">
        <v>247</v>
      </c>
    </row>
    <row r="790" spans="1:6" ht="29" x14ac:dyDescent="0.35">
      <c r="A790" s="26" t="s">
        <v>216</v>
      </c>
      <c r="B790" s="26" t="s">
        <v>1796</v>
      </c>
      <c r="C790" s="26" t="s">
        <v>20</v>
      </c>
      <c r="D790" s="28" t="s">
        <v>1797</v>
      </c>
      <c r="E790" s="26">
        <v>13493</v>
      </c>
      <c r="F790" s="29" t="s">
        <v>223</v>
      </c>
    </row>
    <row r="791" spans="1:6" ht="58" x14ac:dyDescent="0.35">
      <c r="A791" s="26" t="s">
        <v>216</v>
      </c>
      <c r="B791" s="26" t="s">
        <v>1798</v>
      </c>
      <c r="C791" s="26" t="s">
        <v>25</v>
      </c>
      <c r="D791" s="28" t="s">
        <v>1799</v>
      </c>
      <c r="E791" s="26">
        <v>32.031423699999998</v>
      </c>
      <c r="F791" s="29" t="s">
        <v>226</v>
      </c>
    </row>
    <row r="792" spans="1:6" ht="43.5" x14ac:dyDescent="0.35">
      <c r="A792" s="26" t="s">
        <v>216</v>
      </c>
      <c r="B792" s="26" t="s">
        <v>1800</v>
      </c>
      <c r="C792" s="26" t="s">
        <v>27</v>
      </c>
      <c r="D792" s="28" t="s">
        <v>1801</v>
      </c>
      <c r="E792" s="26">
        <v>32.031423699999998</v>
      </c>
      <c r="F792" s="29" t="s">
        <v>229</v>
      </c>
    </row>
    <row r="793" spans="1:6" ht="29" x14ac:dyDescent="0.35">
      <c r="A793" s="26" t="s">
        <v>216</v>
      </c>
      <c r="B793" s="26" t="s">
        <v>1802</v>
      </c>
      <c r="C793" s="26" t="s">
        <v>24</v>
      </c>
      <c r="D793" s="28" t="s">
        <v>1803</v>
      </c>
      <c r="E793" s="26">
        <v>0</v>
      </c>
      <c r="F793" s="29" t="s">
        <v>232</v>
      </c>
    </row>
    <row r="794" spans="1:6" ht="43.5" x14ac:dyDescent="0.35">
      <c r="A794" s="26" t="s">
        <v>216</v>
      </c>
      <c r="B794" s="26" t="s">
        <v>1804</v>
      </c>
      <c r="C794" s="26" t="s">
        <v>15</v>
      </c>
      <c r="D794" s="28" t="s">
        <v>218</v>
      </c>
      <c r="E794" s="26" t="s">
        <v>1805</v>
      </c>
      <c r="F794" s="29" t="s">
        <v>220</v>
      </c>
    </row>
    <row r="795" spans="1:6" ht="29" x14ac:dyDescent="0.35">
      <c r="A795" s="26" t="s">
        <v>216</v>
      </c>
      <c r="B795" s="26" t="s">
        <v>1806</v>
      </c>
      <c r="C795" s="26" t="s">
        <v>17</v>
      </c>
      <c r="D795" s="28" t="s">
        <v>1807</v>
      </c>
      <c r="E795" s="26">
        <v>13493</v>
      </c>
      <c r="F795" s="29" t="s">
        <v>247</v>
      </c>
    </row>
    <row r="796" spans="1:6" ht="29" x14ac:dyDescent="0.35">
      <c r="A796" s="26" t="s">
        <v>216</v>
      </c>
      <c r="B796" s="26" t="s">
        <v>1808</v>
      </c>
      <c r="C796" s="26" t="s">
        <v>20</v>
      </c>
      <c r="D796" s="28" t="s">
        <v>1809</v>
      </c>
      <c r="E796" s="26">
        <v>13436</v>
      </c>
      <c r="F796" s="29" t="s">
        <v>223</v>
      </c>
    </row>
    <row r="797" spans="1:6" ht="58" x14ac:dyDescent="0.35">
      <c r="A797" s="26" t="s">
        <v>216</v>
      </c>
      <c r="B797" s="26" t="s">
        <v>1810</v>
      </c>
      <c r="C797" s="26" t="s">
        <v>25</v>
      </c>
      <c r="D797" s="28" t="s">
        <v>1811</v>
      </c>
      <c r="E797" s="26">
        <v>17.445668349999998</v>
      </c>
      <c r="F797" s="29" t="s">
        <v>226</v>
      </c>
    </row>
    <row r="798" spans="1:6" ht="43.5" x14ac:dyDescent="0.35">
      <c r="A798" s="26" t="s">
        <v>216</v>
      </c>
      <c r="B798" s="26" t="s">
        <v>1812</v>
      </c>
      <c r="C798" s="26" t="s">
        <v>27</v>
      </c>
      <c r="D798" s="28" t="s">
        <v>1813</v>
      </c>
      <c r="E798" s="26">
        <v>17.445668349999998</v>
      </c>
      <c r="F798" s="29" t="s">
        <v>229</v>
      </c>
    </row>
    <row r="799" spans="1:6" ht="29" x14ac:dyDescent="0.35">
      <c r="A799" s="26" t="s">
        <v>216</v>
      </c>
      <c r="B799" s="26" t="s">
        <v>1814</v>
      </c>
      <c r="C799" s="26" t="s">
        <v>24</v>
      </c>
      <c r="D799" s="28" t="s">
        <v>1815</v>
      </c>
      <c r="E799" s="26">
        <v>0</v>
      </c>
      <c r="F799" s="29" t="s">
        <v>232</v>
      </c>
    </row>
    <row r="800" spans="1:6" ht="43.5" x14ac:dyDescent="0.35">
      <c r="A800" s="26" t="s">
        <v>216</v>
      </c>
      <c r="B800" s="26" t="s">
        <v>1816</v>
      </c>
      <c r="C800" s="26" t="s">
        <v>15</v>
      </c>
      <c r="D800" s="28" t="s">
        <v>218</v>
      </c>
      <c r="E800" s="26" t="s">
        <v>1817</v>
      </c>
      <c r="F800" s="29" t="s">
        <v>220</v>
      </c>
    </row>
    <row r="801" spans="1:6" ht="29" x14ac:dyDescent="0.35">
      <c r="A801" s="26" t="s">
        <v>216</v>
      </c>
      <c r="B801" s="26" t="s">
        <v>1818</v>
      </c>
      <c r="C801" s="26" t="s">
        <v>17</v>
      </c>
      <c r="D801" s="28" t="s">
        <v>1819</v>
      </c>
      <c r="E801" s="26">
        <v>13436</v>
      </c>
      <c r="F801" s="29" t="s">
        <v>247</v>
      </c>
    </row>
    <row r="802" spans="1:6" ht="29" x14ac:dyDescent="0.35">
      <c r="A802" s="26" t="s">
        <v>216</v>
      </c>
      <c r="B802" s="26" t="s">
        <v>1820</v>
      </c>
      <c r="C802" s="26" t="s">
        <v>20</v>
      </c>
      <c r="D802" s="28" t="s">
        <v>1821</v>
      </c>
      <c r="E802" s="26">
        <v>13436</v>
      </c>
      <c r="F802" s="29" t="s">
        <v>223</v>
      </c>
    </row>
    <row r="803" spans="1:6" ht="58" x14ac:dyDescent="0.35">
      <c r="A803" s="26" t="s">
        <v>216</v>
      </c>
      <c r="B803" s="26" t="s">
        <v>1822</v>
      </c>
      <c r="C803" s="26" t="s">
        <v>25</v>
      </c>
      <c r="D803" s="28" t="s">
        <v>1823</v>
      </c>
      <c r="E803" s="26">
        <v>0</v>
      </c>
      <c r="F803" s="29" t="s">
        <v>226</v>
      </c>
    </row>
    <row r="804" spans="1:6" ht="43.5" x14ac:dyDescent="0.35">
      <c r="A804" s="26" t="s">
        <v>216</v>
      </c>
      <c r="B804" s="26" t="s">
        <v>1824</v>
      </c>
      <c r="C804" s="26" t="s">
        <v>27</v>
      </c>
      <c r="D804" s="28" t="s">
        <v>1825</v>
      </c>
      <c r="E804" s="26">
        <v>0</v>
      </c>
      <c r="F804" s="29" t="s">
        <v>229</v>
      </c>
    </row>
    <row r="805" spans="1:6" ht="29" x14ac:dyDescent="0.35">
      <c r="A805" s="26" t="s">
        <v>216</v>
      </c>
      <c r="B805" s="26" t="s">
        <v>1826</v>
      </c>
      <c r="C805" s="26" t="s">
        <v>24</v>
      </c>
      <c r="D805" s="28" t="s">
        <v>1827</v>
      </c>
      <c r="E805" s="26">
        <v>0</v>
      </c>
      <c r="F805" s="29" t="s">
        <v>232</v>
      </c>
    </row>
    <row r="806" spans="1:6" ht="43.5" x14ac:dyDescent="0.35">
      <c r="A806" s="26" t="s">
        <v>216</v>
      </c>
      <c r="B806" s="26" t="s">
        <v>1828</v>
      </c>
      <c r="C806" s="26" t="s">
        <v>15</v>
      </c>
      <c r="D806" s="28" t="s">
        <v>218</v>
      </c>
      <c r="E806" s="26" t="s">
        <v>1829</v>
      </c>
      <c r="F806" s="29" t="s">
        <v>220</v>
      </c>
    </row>
    <row r="807" spans="1:6" ht="29" x14ac:dyDescent="0.35">
      <c r="A807" s="26" t="s">
        <v>216</v>
      </c>
      <c r="B807" s="26" t="s">
        <v>1830</v>
      </c>
      <c r="C807" s="26" t="s">
        <v>17</v>
      </c>
      <c r="D807" s="28" t="s">
        <v>1831</v>
      </c>
      <c r="E807" s="26">
        <v>13436</v>
      </c>
      <c r="F807" s="29" t="s">
        <v>247</v>
      </c>
    </row>
    <row r="808" spans="1:6" ht="29" x14ac:dyDescent="0.35">
      <c r="A808" s="26" t="s">
        <v>216</v>
      </c>
      <c r="B808" s="26" t="s">
        <v>1832</v>
      </c>
      <c r="C808" s="26" t="s">
        <v>20</v>
      </c>
      <c r="D808" s="28" t="s">
        <v>1833</v>
      </c>
      <c r="E808" s="26">
        <v>13436</v>
      </c>
      <c r="F808" s="29" t="s">
        <v>223</v>
      </c>
    </row>
    <row r="809" spans="1:6" ht="58" x14ac:dyDescent="0.35">
      <c r="A809" s="26" t="s">
        <v>216</v>
      </c>
      <c r="B809" s="26" t="s">
        <v>1834</v>
      </c>
      <c r="C809" s="26" t="s">
        <v>25</v>
      </c>
      <c r="D809" s="28" t="s">
        <v>1835</v>
      </c>
      <c r="E809" s="26">
        <v>0</v>
      </c>
      <c r="F809" s="29" t="s">
        <v>226</v>
      </c>
    </row>
    <row r="810" spans="1:6" ht="43.5" x14ac:dyDescent="0.35">
      <c r="A810" s="26" t="s">
        <v>216</v>
      </c>
      <c r="B810" s="26" t="s">
        <v>1836</v>
      </c>
      <c r="C810" s="26" t="s">
        <v>27</v>
      </c>
      <c r="D810" s="28" t="s">
        <v>1837</v>
      </c>
      <c r="E810" s="26">
        <v>0</v>
      </c>
      <c r="F810" s="29" t="s">
        <v>229</v>
      </c>
    </row>
    <row r="811" spans="1:6" ht="29" x14ac:dyDescent="0.35">
      <c r="A811" s="26" t="s">
        <v>216</v>
      </c>
      <c r="B811" s="26" t="s">
        <v>1838</v>
      </c>
      <c r="C811" s="26" t="s">
        <v>24</v>
      </c>
      <c r="D811" s="28" t="s">
        <v>1839</v>
      </c>
      <c r="E811" s="26">
        <v>0</v>
      </c>
      <c r="F811" s="29" t="s">
        <v>232</v>
      </c>
    </row>
    <row r="812" spans="1:6" ht="43.5" x14ac:dyDescent="0.35">
      <c r="A812" s="26" t="s">
        <v>216</v>
      </c>
      <c r="B812" s="26" t="s">
        <v>1840</v>
      </c>
      <c r="C812" s="26" t="s">
        <v>15</v>
      </c>
      <c r="D812" s="28" t="s">
        <v>218</v>
      </c>
      <c r="E812" s="26" t="s">
        <v>1841</v>
      </c>
      <c r="F812" s="29" t="s">
        <v>220</v>
      </c>
    </row>
    <row r="813" spans="1:6" ht="29" x14ac:dyDescent="0.35">
      <c r="A813" s="26" t="s">
        <v>216</v>
      </c>
      <c r="B813" s="26" t="s">
        <v>1842</v>
      </c>
      <c r="C813" s="26" t="s">
        <v>17</v>
      </c>
      <c r="D813" s="28" t="s">
        <v>1843</v>
      </c>
      <c r="E813" s="26">
        <v>13436</v>
      </c>
      <c r="F813" s="29" t="s">
        <v>247</v>
      </c>
    </row>
    <row r="814" spans="1:6" ht="29" x14ac:dyDescent="0.35">
      <c r="A814" s="26" t="s">
        <v>216</v>
      </c>
      <c r="B814" s="26" t="s">
        <v>1844</v>
      </c>
      <c r="C814" s="26" t="s">
        <v>20</v>
      </c>
      <c r="D814" s="28" t="s">
        <v>1845</v>
      </c>
      <c r="E814" s="26">
        <v>13436</v>
      </c>
      <c r="F814" s="29" t="s">
        <v>223</v>
      </c>
    </row>
    <row r="815" spans="1:6" ht="58" x14ac:dyDescent="0.35">
      <c r="A815" s="26" t="s">
        <v>216</v>
      </c>
      <c r="B815" s="26" t="s">
        <v>1846</v>
      </c>
      <c r="C815" s="26" t="s">
        <v>25</v>
      </c>
      <c r="D815" s="28" t="s">
        <v>1847</v>
      </c>
      <c r="E815" s="26">
        <v>0</v>
      </c>
      <c r="F815" s="29" t="s">
        <v>226</v>
      </c>
    </row>
    <row r="816" spans="1:6" ht="43.5" x14ac:dyDescent="0.35">
      <c r="A816" s="26" t="s">
        <v>216</v>
      </c>
      <c r="B816" s="26" t="s">
        <v>1848</v>
      </c>
      <c r="C816" s="26" t="s">
        <v>27</v>
      </c>
      <c r="D816" s="28" t="s">
        <v>1849</v>
      </c>
      <c r="E816" s="26">
        <v>0</v>
      </c>
      <c r="F816" s="29" t="s">
        <v>229</v>
      </c>
    </row>
    <row r="817" spans="1:6" ht="29" x14ac:dyDescent="0.35">
      <c r="A817" s="26" t="s">
        <v>216</v>
      </c>
      <c r="B817" s="26" t="s">
        <v>1850</v>
      </c>
      <c r="C817" s="26" t="s">
        <v>24</v>
      </c>
      <c r="D817" s="28" t="s">
        <v>1851</v>
      </c>
      <c r="E817" s="26">
        <v>0</v>
      </c>
      <c r="F817" s="29" t="s">
        <v>232</v>
      </c>
    </row>
    <row r="818" spans="1:6" ht="43.5" x14ac:dyDescent="0.35">
      <c r="A818" s="26" t="s">
        <v>216</v>
      </c>
      <c r="B818" s="26" t="s">
        <v>1852</v>
      </c>
      <c r="C818" s="26" t="s">
        <v>15</v>
      </c>
      <c r="D818" s="28" t="s">
        <v>218</v>
      </c>
      <c r="E818" s="26" t="s">
        <v>1853</v>
      </c>
      <c r="F818" s="29" t="s">
        <v>220</v>
      </c>
    </row>
    <row r="819" spans="1:6" ht="29" x14ac:dyDescent="0.35">
      <c r="A819" s="26" t="s">
        <v>216</v>
      </c>
      <c r="B819" s="26" t="s">
        <v>1854</v>
      </c>
      <c r="C819" s="26" t="s">
        <v>17</v>
      </c>
      <c r="D819" s="28" t="s">
        <v>1855</v>
      </c>
      <c r="E819" s="26">
        <v>13436</v>
      </c>
      <c r="F819" s="29" t="s">
        <v>247</v>
      </c>
    </row>
    <row r="820" spans="1:6" ht="29" x14ac:dyDescent="0.35">
      <c r="A820" s="26" t="s">
        <v>216</v>
      </c>
      <c r="B820" s="26" t="s">
        <v>1856</v>
      </c>
      <c r="C820" s="26" t="s">
        <v>20</v>
      </c>
      <c r="D820" s="28" t="s">
        <v>1857</v>
      </c>
      <c r="E820" s="26">
        <v>13436</v>
      </c>
      <c r="F820" s="29" t="s">
        <v>223</v>
      </c>
    </row>
    <row r="821" spans="1:6" ht="58" x14ac:dyDescent="0.35">
      <c r="A821" s="26" t="s">
        <v>216</v>
      </c>
      <c r="B821" s="26" t="s">
        <v>1858</v>
      </c>
      <c r="C821" s="26" t="s">
        <v>25</v>
      </c>
      <c r="D821" s="28" t="s">
        <v>1859</v>
      </c>
      <c r="E821" s="26">
        <v>0</v>
      </c>
      <c r="F821" s="29" t="s">
        <v>226</v>
      </c>
    </row>
    <row r="822" spans="1:6" ht="43.5" x14ac:dyDescent="0.35">
      <c r="A822" s="26" t="s">
        <v>216</v>
      </c>
      <c r="B822" s="26" t="s">
        <v>1860</v>
      </c>
      <c r="C822" s="26" t="s">
        <v>27</v>
      </c>
      <c r="D822" s="28" t="s">
        <v>1861</v>
      </c>
      <c r="E822" s="26">
        <v>0</v>
      </c>
      <c r="F822" s="29" t="s">
        <v>229</v>
      </c>
    </row>
    <row r="823" spans="1:6" ht="29" x14ac:dyDescent="0.35">
      <c r="A823" s="26" t="s">
        <v>216</v>
      </c>
      <c r="B823" s="26" t="s">
        <v>1862</v>
      </c>
      <c r="C823" s="26" t="s">
        <v>24</v>
      </c>
      <c r="D823" s="28" t="s">
        <v>1863</v>
      </c>
      <c r="E823" s="26">
        <v>0</v>
      </c>
      <c r="F823" s="29" t="s">
        <v>232</v>
      </c>
    </row>
    <row r="824" spans="1:6" ht="43.5" x14ac:dyDescent="0.35">
      <c r="A824" s="26" t="s">
        <v>216</v>
      </c>
      <c r="B824" s="26" t="s">
        <v>1864</v>
      </c>
      <c r="C824" s="26" t="s">
        <v>15</v>
      </c>
      <c r="D824" s="28" t="s">
        <v>218</v>
      </c>
      <c r="E824" s="26" t="s">
        <v>1865</v>
      </c>
      <c r="F824" s="29" t="s">
        <v>220</v>
      </c>
    </row>
    <row r="825" spans="1:6" ht="29" x14ac:dyDescent="0.35">
      <c r="A825" s="26" t="s">
        <v>216</v>
      </c>
      <c r="B825" s="26" t="s">
        <v>1866</v>
      </c>
      <c r="C825" s="26" t="s">
        <v>17</v>
      </c>
      <c r="D825" s="28" t="s">
        <v>1867</v>
      </c>
      <c r="E825" s="26">
        <v>13436</v>
      </c>
      <c r="F825" s="29" t="s">
        <v>247</v>
      </c>
    </row>
    <row r="826" spans="1:6" ht="29" x14ac:dyDescent="0.35">
      <c r="A826" s="26" t="s">
        <v>216</v>
      </c>
      <c r="B826" s="26" t="s">
        <v>1868</v>
      </c>
      <c r="C826" s="26" t="s">
        <v>20</v>
      </c>
      <c r="D826" s="28" t="s">
        <v>1869</v>
      </c>
      <c r="E826" s="26">
        <v>13436</v>
      </c>
      <c r="F826" s="29" t="s">
        <v>223</v>
      </c>
    </row>
    <row r="827" spans="1:6" ht="58" x14ac:dyDescent="0.35">
      <c r="A827" s="26" t="s">
        <v>216</v>
      </c>
      <c r="B827" s="26" t="s">
        <v>1870</v>
      </c>
      <c r="C827" s="26" t="s">
        <v>25</v>
      </c>
      <c r="D827" s="28" t="s">
        <v>1871</v>
      </c>
      <c r="E827" s="26">
        <v>0</v>
      </c>
      <c r="F827" s="29" t="s">
        <v>226</v>
      </c>
    </row>
    <row r="828" spans="1:6" ht="43.5" x14ac:dyDescent="0.35">
      <c r="A828" s="26" t="s">
        <v>216</v>
      </c>
      <c r="B828" s="26" t="s">
        <v>1872</v>
      </c>
      <c r="C828" s="26" t="s">
        <v>27</v>
      </c>
      <c r="D828" s="28" t="s">
        <v>1873</v>
      </c>
      <c r="E828" s="26">
        <v>0</v>
      </c>
      <c r="F828" s="29" t="s">
        <v>229</v>
      </c>
    </row>
    <row r="829" spans="1:6" ht="29" x14ac:dyDescent="0.35">
      <c r="A829" s="26" t="s">
        <v>216</v>
      </c>
      <c r="B829" s="26" t="s">
        <v>1874</v>
      </c>
      <c r="C829" s="26" t="s">
        <v>24</v>
      </c>
      <c r="D829" s="28" t="s">
        <v>1875</v>
      </c>
      <c r="E829" s="26">
        <v>0</v>
      </c>
      <c r="F829" s="29" t="s">
        <v>232</v>
      </c>
    </row>
    <row r="830" spans="1:6" ht="43.5" x14ac:dyDescent="0.35">
      <c r="A830" s="26" t="s">
        <v>216</v>
      </c>
      <c r="B830" s="26" t="s">
        <v>1876</v>
      </c>
      <c r="C830" s="26" t="s">
        <v>15</v>
      </c>
      <c r="D830" s="28" t="s">
        <v>218</v>
      </c>
      <c r="E830" s="26" t="s">
        <v>1877</v>
      </c>
      <c r="F830" s="29" t="s">
        <v>220</v>
      </c>
    </row>
    <row r="831" spans="1:6" ht="29" x14ac:dyDescent="0.35">
      <c r="A831" s="26" t="s">
        <v>216</v>
      </c>
      <c r="B831" s="26" t="s">
        <v>1878</v>
      </c>
      <c r="C831" s="26" t="s">
        <v>17</v>
      </c>
      <c r="D831" s="28" t="s">
        <v>1879</v>
      </c>
      <c r="E831" s="26">
        <v>13436</v>
      </c>
      <c r="F831" s="29" t="s">
        <v>247</v>
      </c>
    </row>
    <row r="832" spans="1:6" ht="29" x14ac:dyDescent="0.35">
      <c r="A832" s="26" t="s">
        <v>216</v>
      </c>
      <c r="B832" s="26" t="s">
        <v>1880</v>
      </c>
      <c r="C832" s="26" t="s">
        <v>20</v>
      </c>
      <c r="D832" s="28" t="s">
        <v>1881</v>
      </c>
      <c r="E832" s="26">
        <v>13436</v>
      </c>
      <c r="F832" s="29" t="s">
        <v>223</v>
      </c>
    </row>
    <row r="833" spans="1:6" ht="58" x14ac:dyDescent="0.35">
      <c r="A833" s="26" t="s">
        <v>216</v>
      </c>
      <c r="B833" s="26" t="s">
        <v>1882</v>
      </c>
      <c r="C833" s="26" t="s">
        <v>25</v>
      </c>
      <c r="D833" s="28" t="s">
        <v>1883</v>
      </c>
      <c r="E833" s="26">
        <v>0</v>
      </c>
      <c r="F833" s="29" t="s">
        <v>226</v>
      </c>
    </row>
    <row r="834" spans="1:6" ht="43.5" x14ac:dyDescent="0.35">
      <c r="A834" s="26" t="s">
        <v>216</v>
      </c>
      <c r="B834" s="26" t="s">
        <v>1884</v>
      </c>
      <c r="C834" s="26" t="s">
        <v>27</v>
      </c>
      <c r="D834" s="28" t="s">
        <v>1885</v>
      </c>
      <c r="E834" s="26">
        <v>0</v>
      </c>
      <c r="F834" s="29" t="s">
        <v>229</v>
      </c>
    </row>
    <row r="835" spans="1:6" ht="29" x14ac:dyDescent="0.35">
      <c r="A835" s="26" t="s">
        <v>216</v>
      </c>
      <c r="B835" s="26" t="s">
        <v>1886</v>
      </c>
      <c r="C835" s="26" t="s">
        <v>24</v>
      </c>
      <c r="D835" s="28" t="s">
        <v>1887</v>
      </c>
      <c r="E835" s="26">
        <v>0</v>
      </c>
      <c r="F835" s="29" t="s">
        <v>232</v>
      </c>
    </row>
    <row r="836" spans="1:6" ht="43.5" x14ac:dyDescent="0.35">
      <c r="A836" s="26" t="s">
        <v>216</v>
      </c>
      <c r="B836" s="26" t="s">
        <v>1888</v>
      </c>
      <c r="C836" s="26" t="s">
        <v>15</v>
      </c>
      <c r="D836" s="28" t="s">
        <v>218</v>
      </c>
      <c r="E836" s="26" t="s">
        <v>1889</v>
      </c>
      <c r="F836" s="29" t="s">
        <v>220</v>
      </c>
    </row>
    <row r="837" spans="1:6" ht="29" x14ac:dyDescent="0.35">
      <c r="A837" s="26" t="s">
        <v>216</v>
      </c>
      <c r="B837" s="26" t="s">
        <v>1890</v>
      </c>
      <c r="C837" s="26" t="s">
        <v>17</v>
      </c>
      <c r="D837" s="28" t="s">
        <v>1891</v>
      </c>
      <c r="E837" s="26">
        <v>13436</v>
      </c>
      <c r="F837" s="29" t="s">
        <v>247</v>
      </c>
    </row>
    <row r="838" spans="1:6" ht="29" x14ac:dyDescent="0.35">
      <c r="A838" s="26" t="s">
        <v>216</v>
      </c>
      <c r="B838" s="26" t="s">
        <v>1892</v>
      </c>
      <c r="C838" s="26" t="s">
        <v>20</v>
      </c>
      <c r="D838" s="28" t="s">
        <v>1893</v>
      </c>
      <c r="E838" s="26">
        <v>13436</v>
      </c>
      <c r="F838" s="29" t="s">
        <v>223</v>
      </c>
    </row>
    <row r="839" spans="1:6" ht="58" x14ac:dyDescent="0.35">
      <c r="A839" s="26" t="s">
        <v>216</v>
      </c>
      <c r="B839" s="26" t="s">
        <v>1894</v>
      </c>
      <c r="C839" s="26" t="s">
        <v>25</v>
      </c>
      <c r="D839" s="28" t="s">
        <v>1895</v>
      </c>
      <c r="E839" s="26">
        <v>0</v>
      </c>
      <c r="F839" s="29" t="s">
        <v>226</v>
      </c>
    </row>
    <row r="840" spans="1:6" ht="43.5" x14ac:dyDescent="0.35">
      <c r="A840" s="26" t="s">
        <v>216</v>
      </c>
      <c r="B840" s="26" t="s">
        <v>1896</v>
      </c>
      <c r="C840" s="26" t="s">
        <v>27</v>
      </c>
      <c r="D840" s="28" t="s">
        <v>1897</v>
      </c>
      <c r="E840" s="26">
        <v>0</v>
      </c>
      <c r="F840" s="29" t="s">
        <v>229</v>
      </c>
    </row>
    <row r="841" spans="1:6" ht="29" x14ac:dyDescent="0.35">
      <c r="A841" s="26" t="s">
        <v>216</v>
      </c>
      <c r="B841" s="26" t="s">
        <v>1898</v>
      </c>
      <c r="C841" s="26" t="s">
        <v>24</v>
      </c>
      <c r="D841" s="28" t="s">
        <v>1899</v>
      </c>
      <c r="E841" s="26">
        <v>0</v>
      </c>
      <c r="F841" s="29" t="s">
        <v>232</v>
      </c>
    </row>
    <row r="842" spans="1:6" ht="43.5" x14ac:dyDescent="0.35">
      <c r="A842" s="26" t="s">
        <v>216</v>
      </c>
      <c r="B842" s="26" t="s">
        <v>1900</v>
      </c>
      <c r="C842" s="26" t="s">
        <v>15</v>
      </c>
      <c r="D842" s="28" t="s">
        <v>218</v>
      </c>
      <c r="E842" s="26" t="s">
        <v>1901</v>
      </c>
      <c r="F842" s="29" t="s">
        <v>220</v>
      </c>
    </row>
    <row r="843" spans="1:6" ht="29" x14ac:dyDescent="0.35">
      <c r="A843" s="26" t="s">
        <v>216</v>
      </c>
      <c r="B843" s="26" t="s">
        <v>1902</v>
      </c>
      <c r="C843" s="26" t="s">
        <v>17</v>
      </c>
      <c r="D843" s="28" t="s">
        <v>1903</v>
      </c>
      <c r="E843" s="26">
        <v>13436</v>
      </c>
      <c r="F843" s="29" t="s">
        <v>247</v>
      </c>
    </row>
    <row r="844" spans="1:6" ht="29" x14ac:dyDescent="0.35">
      <c r="A844" s="26" t="s">
        <v>216</v>
      </c>
      <c r="B844" s="26" t="s">
        <v>1904</v>
      </c>
      <c r="C844" s="26" t="s">
        <v>20</v>
      </c>
      <c r="D844" s="28" t="s">
        <v>1905</v>
      </c>
      <c r="E844" s="26">
        <v>13436</v>
      </c>
      <c r="F844" s="29" t="s">
        <v>223</v>
      </c>
    </row>
    <row r="845" spans="1:6" ht="58" x14ac:dyDescent="0.35">
      <c r="A845" s="26" t="s">
        <v>216</v>
      </c>
      <c r="B845" s="26" t="s">
        <v>1906</v>
      </c>
      <c r="C845" s="26" t="s">
        <v>25</v>
      </c>
      <c r="D845" s="28" t="s">
        <v>1907</v>
      </c>
      <c r="E845" s="26">
        <v>0</v>
      </c>
      <c r="F845" s="29" t="s">
        <v>226</v>
      </c>
    </row>
    <row r="846" spans="1:6" ht="43.5" x14ac:dyDescent="0.35">
      <c r="A846" s="26" t="s">
        <v>216</v>
      </c>
      <c r="B846" s="26" t="s">
        <v>1908</v>
      </c>
      <c r="C846" s="26" t="s">
        <v>27</v>
      </c>
      <c r="D846" s="28" t="s">
        <v>1909</v>
      </c>
      <c r="E846" s="26">
        <v>0</v>
      </c>
      <c r="F846" s="29" t="s">
        <v>229</v>
      </c>
    </row>
    <row r="847" spans="1:6" ht="29" x14ac:dyDescent="0.35">
      <c r="A847" s="26" t="s">
        <v>216</v>
      </c>
      <c r="B847" s="26" t="s">
        <v>1910</v>
      </c>
      <c r="C847" s="26" t="s">
        <v>24</v>
      </c>
      <c r="D847" s="28" t="s">
        <v>1911</v>
      </c>
      <c r="E847" s="26">
        <v>0</v>
      </c>
      <c r="F847" s="29" t="s">
        <v>232</v>
      </c>
    </row>
    <row r="848" spans="1:6" ht="43.5" x14ac:dyDescent="0.35">
      <c r="A848" s="26" t="s">
        <v>216</v>
      </c>
      <c r="B848" s="26" t="s">
        <v>1912</v>
      </c>
      <c r="C848" s="26" t="s">
        <v>15</v>
      </c>
      <c r="D848" s="28" t="s">
        <v>218</v>
      </c>
      <c r="E848" s="26" t="s">
        <v>1913</v>
      </c>
      <c r="F848" s="29" t="s">
        <v>220</v>
      </c>
    </row>
    <row r="849" spans="1:6" ht="29" x14ac:dyDescent="0.35">
      <c r="A849" s="26" t="s">
        <v>216</v>
      </c>
      <c r="B849" s="26" t="s">
        <v>1914</v>
      </c>
      <c r="C849" s="26" t="s">
        <v>17</v>
      </c>
      <c r="D849" s="28" t="s">
        <v>1915</v>
      </c>
      <c r="E849" s="26">
        <v>13436</v>
      </c>
      <c r="F849" s="29" t="s">
        <v>247</v>
      </c>
    </row>
    <row r="850" spans="1:6" ht="29" x14ac:dyDescent="0.35">
      <c r="A850" s="26" t="s">
        <v>216</v>
      </c>
      <c r="B850" s="26" t="s">
        <v>1916</v>
      </c>
      <c r="C850" s="26" t="s">
        <v>20</v>
      </c>
      <c r="D850" s="28" t="s">
        <v>1917</v>
      </c>
      <c r="E850" s="26">
        <v>13436</v>
      </c>
      <c r="F850" s="29" t="s">
        <v>223</v>
      </c>
    </row>
    <row r="851" spans="1:6" ht="58" x14ac:dyDescent="0.35">
      <c r="A851" s="26" t="s">
        <v>216</v>
      </c>
      <c r="B851" s="26" t="s">
        <v>1918</v>
      </c>
      <c r="C851" s="26" t="s">
        <v>25</v>
      </c>
      <c r="D851" s="28" t="s">
        <v>1919</v>
      </c>
      <c r="E851" s="26">
        <v>0</v>
      </c>
      <c r="F851" s="29" t="s">
        <v>226</v>
      </c>
    </row>
    <row r="852" spans="1:6" ht="43.5" x14ac:dyDescent="0.35">
      <c r="A852" s="26" t="s">
        <v>216</v>
      </c>
      <c r="B852" s="26" t="s">
        <v>1920</v>
      </c>
      <c r="C852" s="26" t="s">
        <v>27</v>
      </c>
      <c r="D852" s="28" t="s">
        <v>1921</v>
      </c>
      <c r="E852" s="26">
        <v>0</v>
      </c>
      <c r="F852" s="29" t="s">
        <v>229</v>
      </c>
    </row>
    <row r="853" spans="1:6" ht="29" x14ac:dyDescent="0.35">
      <c r="A853" s="26" t="s">
        <v>216</v>
      </c>
      <c r="B853" s="26" t="s">
        <v>1922</v>
      </c>
      <c r="C853" s="26" t="s">
        <v>24</v>
      </c>
      <c r="D853" s="28" t="s">
        <v>1923</v>
      </c>
      <c r="E853" s="26">
        <v>0</v>
      </c>
      <c r="F853" s="29" t="s">
        <v>232</v>
      </c>
    </row>
    <row r="854" spans="1:6" ht="43.5" x14ac:dyDescent="0.35">
      <c r="A854" s="26" t="s">
        <v>216</v>
      </c>
      <c r="B854" s="26" t="s">
        <v>1924</v>
      </c>
      <c r="C854" s="26" t="s">
        <v>15</v>
      </c>
      <c r="D854" s="28" t="s">
        <v>218</v>
      </c>
      <c r="E854" s="26" t="s">
        <v>1925</v>
      </c>
      <c r="F854" s="29" t="s">
        <v>220</v>
      </c>
    </row>
    <row r="855" spans="1:6" ht="29" x14ac:dyDescent="0.35">
      <c r="A855" s="26" t="s">
        <v>216</v>
      </c>
      <c r="B855" s="26" t="s">
        <v>1926</v>
      </c>
      <c r="C855" s="26" t="s">
        <v>17</v>
      </c>
      <c r="D855" s="28" t="s">
        <v>1927</v>
      </c>
      <c r="E855" s="26">
        <v>13436</v>
      </c>
      <c r="F855" s="29" t="s">
        <v>247</v>
      </c>
    </row>
    <row r="856" spans="1:6" ht="29" x14ac:dyDescent="0.35">
      <c r="A856" s="26" t="s">
        <v>216</v>
      </c>
      <c r="B856" s="26" t="s">
        <v>1928</v>
      </c>
      <c r="C856" s="26" t="s">
        <v>20</v>
      </c>
      <c r="D856" s="28" t="s">
        <v>1929</v>
      </c>
      <c r="E856" s="26">
        <v>13436</v>
      </c>
      <c r="F856" s="29" t="s">
        <v>223</v>
      </c>
    </row>
    <row r="857" spans="1:6" ht="58" x14ac:dyDescent="0.35">
      <c r="A857" s="26" t="s">
        <v>216</v>
      </c>
      <c r="B857" s="26" t="s">
        <v>1930</v>
      </c>
      <c r="C857" s="26" t="s">
        <v>25</v>
      </c>
      <c r="D857" s="28" t="s">
        <v>1931</v>
      </c>
      <c r="E857" s="26">
        <v>0</v>
      </c>
      <c r="F857" s="29" t="s">
        <v>226</v>
      </c>
    </row>
    <row r="858" spans="1:6" ht="43.5" x14ac:dyDescent="0.35">
      <c r="A858" s="26" t="s">
        <v>216</v>
      </c>
      <c r="B858" s="26" t="s">
        <v>1932</v>
      </c>
      <c r="C858" s="26" t="s">
        <v>27</v>
      </c>
      <c r="D858" s="28" t="s">
        <v>1933</v>
      </c>
      <c r="E858" s="26">
        <v>0</v>
      </c>
      <c r="F858" s="29" t="s">
        <v>229</v>
      </c>
    </row>
    <row r="859" spans="1:6" ht="29" x14ac:dyDescent="0.35">
      <c r="A859" s="26" t="s">
        <v>216</v>
      </c>
      <c r="B859" s="26" t="s">
        <v>1934</v>
      </c>
      <c r="C859" s="26" t="s">
        <v>24</v>
      </c>
      <c r="D859" s="28" t="s">
        <v>1935</v>
      </c>
      <c r="E859" s="26">
        <v>0</v>
      </c>
      <c r="F859" s="29" t="s">
        <v>232</v>
      </c>
    </row>
    <row r="860" spans="1:6" ht="43.5" x14ac:dyDescent="0.35">
      <c r="A860" s="26" t="s">
        <v>216</v>
      </c>
      <c r="B860" s="26" t="s">
        <v>1936</v>
      </c>
      <c r="C860" s="26" t="s">
        <v>15</v>
      </c>
      <c r="D860" s="28" t="s">
        <v>218</v>
      </c>
      <c r="E860" s="26" t="s">
        <v>1937</v>
      </c>
      <c r="F860" s="29" t="s">
        <v>220</v>
      </c>
    </row>
    <row r="861" spans="1:6" ht="29" x14ac:dyDescent="0.35">
      <c r="A861" s="26" t="s">
        <v>216</v>
      </c>
      <c r="B861" s="26" t="s">
        <v>1938</v>
      </c>
      <c r="C861" s="26" t="s">
        <v>17</v>
      </c>
      <c r="D861" s="28" t="s">
        <v>1939</v>
      </c>
      <c r="E861" s="26">
        <v>13436</v>
      </c>
      <c r="F861" s="29" t="s">
        <v>247</v>
      </c>
    </row>
    <row r="862" spans="1:6" ht="29" x14ac:dyDescent="0.35">
      <c r="A862" s="26" t="s">
        <v>216</v>
      </c>
      <c r="B862" s="26" t="s">
        <v>1940</v>
      </c>
      <c r="C862" s="26" t="s">
        <v>20</v>
      </c>
      <c r="D862" s="28" t="s">
        <v>1941</v>
      </c>
      <c r="E862" s="26">
        <v>13436</v>
      </c>
      <c r="F862" s="29" t="s">
        <v>223</v>
      </c>
    </row>
    <row r="863" spans="1:6" ht="58" x14ac:dyDescent="0.35">
      <c r="A863" s="26" t="s">
        <v>216</v>
      </c>
      <c r="B863" s="26" t="s">
        <v>1942</v>
      </c>
      <c r="C863" s="26" t="s">
        <v>25</v>
      </c>
      <c r="D863" s="28" t="s">
        <v>1943</v>
      </c>
      <c r="E863" s="26">
        <v>0</v>
      </c>
      <c r="F863" s="29" t="s">
        <v>226</v>
      </c>
    </row>
    <row r="864" spans="1:6" ht="43.5" x14ac:dyDescent="0.35">
      <c r="A864" s="26" t="s">
        <v>216</v>
      </c>
      <c r="B864" s="26" t="s">
        <v>1944</v>
      </c>
      <c r="C864" s="26" t="s">
        <v>27</v>
      </c>
      <c r="D864" s="28" t="s">
        <v>1945</v>
      </c>
      <c r="E864" s="26">
        <v>0</v>
      </c>
      <c r="F864" s="29" t="s">
        <v>229</v>
      </c>
    </row>
    <row r="865" spans="1:6" ht="29" x14ac:dyDescent="0.35">
      <c r="A865" s="26" t="s">
        <v>216</v>
      </c>
      <c r="B865" s="26" t="s">
        <v>1946</v>
      </c>
      <c r="C865" s="26" t="s">
        <v>24</v>
      </c>
      <c r="D865" s="28" t="s">
        <v>1947</v>
      </c>
      <c r="E865" s="26">
        <v>0</v>
      </c>
      <c r="F865" s="29" t="s">
        <v>232</v>
      </c>
    </row>
    <row r="866" spans="1:6" ht="43.5" x14ac:dyDescent="0.35">
      <c r="A866" s="26" t="s">
        <v>216</v>
      </c>
      <c r="B866" s="26" t="s">
        <v>1948</v>
      </c>
      <c r="C866" s="26" t="s">
        <v>15</v>
      </c>
      <c r="D866" s="28" t="s">
        <v>218</v>
      </c>
      <c r="E866" s="26" t="s">
        <v>1949</v>
      </c>
      <c r="F866" s="29" t="s">
        <v>220</v>
      </c>
    </row>
    <row r="867" spans="1:6" ht="29" x14ac:dyDescent="0.35">
      <c r="A867" s="26" t="s">
        <v>216</v>
      </c>
      <c r="B867" s="26" t="s">
        <v>1950</v>
      </c>
      <c r="C867" s="26" t="s">
        <v>17</v>
      </c>
      <c r="D867" s="28" t="s">
        <v>1951</v>
      </c>
      <c r="E867" s="26">
        <v>13436</v>
      </c>
      <c r="F867" s="29" t="s">
        <v>247</v>
      </c>
    </row>
    <row r="868" spans="1:6" ht="29" x14ac:dyDescent="0.35">
      <c r="A868" s="26" t="s">
        <v>216</v>
      </c>
      <c r="B868" s="26" t="s">
        <v>1952</v>
      </c>
      <c r="C868" s="26" t="s">
        <v>20</v>
      </c>
      <c r="D868" s="28" t="s">
        <v>1953</v>
      </c>
      <c r="E868" s="26">
        <v>13436</v>
      </c>
      <c r="F868" s="29" t="s">
        <v>223</v>
      </c>
    </row>
    <row r="869" spans="1:6" ht="58" x14ac:dyDescent="0.35">
      <c r="A869" s="26" t="s">
        <v>216</v>
      </c>
      <c r="B869" s="26" t="s">
        <v>1954</v>
      </c>
      <c r="C869" s="26" t="s">
        <v>25</v>
      </c>
      <c r="D869" s="28" t="s">
        <v>1955</v>
      </c>
      <c r="E869" s="26">
        <v>0</v>
      </c>
      <c r="F869" s="29" t="s">
        <v>226</v>
      </c>
    </row>
    <row r="870" spans="1:6" ht="43.5" x14ac:dyDescent="0.35">
      <c r="A870" s="26" t="s">
        <v>216</v>
      </c>
      <c r="B870" s="26" t="s">
        <v>1956</v>
      </c>
      <c r="C870" s="26" t="s">
        <v>27</v>
      </c>
      <c r="D870" s="28" t="s">
        <v>1957</v>
      </c>
      <c r="E870" s="26">
        <v>0</v>
      </c>
      <c r="F870" s="29" t="s">
        <v>229</v>
      </c>
    </row>
    <row r="871" spans="1:6" ht="29" x14ac:dyDescent="0.35">
      <c r="A871" s="26" t="s">
        <v>216</v>
      </c>
      <c r="B871" s="26" t="s">
        <v>1958</v>
      </c>
      <c r="C871" s="26" t="s">
        <v>24</v>
      </c>
      <c r="D871" s="28" t="s">
        <v>1959</v>
      </c>
      <c r="E871" s="26">
        <v>0</v>
      </c>
      <c r="F871" s="29" t="s">
        <v>232</v>
      </c>
    </row>
    <row r="872" spans="1:6" ht="43.5" x14ac:dyDescent="0.35">
      <c r="A872" s="26" t="s">
        <v>216</v>
      </c>
      <c r="B872" s="26" t="s">
        <v>1960</v>
      </c>
      <c r="C872" s="26" t="s">
        <v>15</v>
      </c>
      <c r="D872" s="28" t="s">
        <v>218</v>
      </c>
      <c r="E872" s="26" t="s">
        <v>1961</v>
      </c>
      <c r="F872" s="29" t="s">
        <v>220</v>
      </c>
    </row>
    <row r="873" spans="1:6" ht="29" x14ac:dyDescent="0.35">
      <c r="A873" s="26" t="s">
        <v>216</v>
      </c>
      <c r="B873" s="26" t="s">
        <v>1962</v>
      </c>
      <c r="C873" s="26" t="s">
        <v>17</v>
      </c>
      <c r="D873" s="28" t="s">
        <v>1963</v>
      </c>
      <c r="E873" s="26">
        <v>13436</v>
      </c>
      <c r="F873" s="29" t="s">
        <v>247</v>
      </c>
    </row>
    <row r="874" spans="1:6" ht="29" x14ac:dyDescent="0.35">
      <c r="A874" s="26" t="s">
        <v>216</v>
      </c>
      <c r="B874" s="26" t="s">
        <v>1964</v>
      </c>
      <c r="C874" s="26" t="s">
        <v>20</v>
      </c>
      <c r="D874" s="28" t="s">
        <v>1965</v>
      </c>
      <c r="E874" s="26">
        <v>13436</v>
      </c>
      <c r="F874" s="29" t="s">
        <v>223</v>
      </c>
    </row>
    <row r="875" spans="1:6" ht="58" x14ac:dyDescent="0.35">
      <c r="A875" s="26" t="s">
        <v>216</v>
      </c>
      <c r="B875" s="26" t="s">
        <v>1966</v>
      </c>
      <c r="C875" s="26" t="s">
        <v>25</v>
      </c>
      <c r="D875" s="28" t="s">
        <v>1967</v>
      </c>
      <c r="E875" s="26">
        <v>0</v>
      </c>
      <c r="F875" s="29" t="s">
        <v>226</v>
      </c>
    </row>
    <row r="876" spans="1:6" ht="43.5" x14ac:dyDescent="0.35">
      <c r="A876" s="26" t="s">
        <v>216</v>
      </c>
      <c r="B876" s="26" t="s">
        <v>1968</v>
      </c>
      <c r="C876" s="26" t="s">
        <v>27</v>
      </c>
      <c r="D876" s="28" t="s">
        <v>1969</v>
      </c>
      <c r="E876" s="26">
        <v>0</v>
      </c>
      <c r="F876" s="29" t="s">
        <v>229</v>
      </c>
    </row>
    <row r="877" spans="1:6" ht="29" x14ac:dyDescent="0.35">
      <c r="A877" s="26" t="s">
        <v>216</v>
      </c>
      <c r="B877" s="26" t="s">
        <v>1970</v>
      </c>
      <c r="C877" s="26" t="s">
        <v>24</v>
      </c>
      <c r="D877" s="28" t="s">
        <v>1971</v>
      </c>
      <c r="E877" s="26">
        <v>0</v>
      </c>
      <c r="F877" s="29" t="s">
        <v>232</v>
      </c>
    </row>
    <row r="878" spans="1:6" ht="43.5" x14ac:dyDescent="0.35">
      <c r="A878" s="26" t="s">
        <v>216</v>
      </c>
      <c r="B878" s="26" t="s">
        <v>1972</v>
      </c>
      <c r="C878" s="26" t="s">
        <v>15</v>
      </c>
      <c r="D878" s="28" t="s">
        <v>218</v>
      </c>
      <c r="E878" s="26" t="s">
        <v>1973</v>
      </c>
      <c r="F878" s="29" t="s">
        <v>220</v>
      </c>
    </row>
    <row r="879" spans="1:6" ht="29" x14ac:dyDescent="0.35">
      <c r="A879" s="26" t="s">
        <v>216</v>
      </c>
      <c r="B879" s="26" t="s">
        <v>1974</v>
      </c>
      <c r="C879" s="26" t="s">
        <v>17</v>
      </c>
      <c r="D879" s="28" t="s">
        <v>1975</v>
      </c>
      <c r="E879" s="26">
        <v>13436</v>
      </c>
      <c r="F879" s="29" t="s">
        <v>247</v>
      </c>
    </row>
    <row r="880" spans="1:6" ht="29" x14ac:dyDescent="0.35">
      <c r="A880" s="26" t="s">
        <v>216</v>
      </c>
      <c r="B880" s="26" t="s">
        <v>1976</v>
      </c>
      <c r="C880" s="26" t="s">
        <v>20</v>
      </c>
      <c r="D880" s="28" t="s">
        <v>1977</v>
      </c>
      <c r="E880" s="26">
        <v>13436</v>
      </c>
      <c r="F880" s="29" t="s">
        <v>223</v>
      </c>
    </row>
    <row r="881" spans="1:6" ht="58" x14ac:dyDescent="0.35">
      <c r="A881" s="26" t="s">
        <v>216</v>
      </c>
      <c r="B881" s="26" t="s">
        <v>1978</v>
      </c>
      <c r="C881" s="26" t="s">
        <v>25</v>
      </c>
      <c r="D881" s="28" t="s">
        <v>1979</v>
      </c>
      <c r="E881" s="26">
        <v>0</v>
      </c>
      <c r="F881" s="29" t="s">
        <v>226</v>
      </c>
    </row>
    <row r="882" spans="1:6" ht="43.5" x14ac:dyDescent="0.35">
      <c r="A882" s="26" t="s">
        <v>216</v>
      </c>
      <c r="B882" s="26" t="s">
        <v>1980</v>
      </c>
      <c r="C882" s="26" t="s">
        <v>27</v>
      </c>
      <c r="D882" s="28" t="s">
        <v>1981</v>
      </c>
      <c r="E882" s="26">
        <v>0</v>
      </c>
      <c r="F882" s="29" t="s">
        <v>229</v>
      </c>
    </row>
    <row r="883" spans="1:6" ht="29" x14ac:dyDescent="0.35">
      <c r="A883" s="26" t="s">
        <v>216</v>
      </c>
      <c r="B883" s="26" t="s">
        <v>1982</v>
      </c>
      <c r="C883" s="26" t="s">
        <v>24</v>
      </c>
      <c r="D883" s="28" t="s">
        <v>1983</v>
      </c>
      <c r="E883" s="26">
        <v>0</v>
      </c>
      <c r="F883" s="29" t="s">
        <v>232</v>
      </c>
    </row>
    <row r="884" spans="1:6" ht="43.5" x14ac:dyDescent="0.35">
      <c r="A884" s="26" t="s">
        <v>216</v>
      </c>
      <c r="B884" s="26" t="s">
        <v>1984</v>
      </c>
      <c r="C884" s="26" t="s">
        <v>15</v>
      </c>
      <c r="D884" s="28" t="s">
        <v>218</v>
      </c>
      <c r="E884" s="26" t="s">
        <v>1985</v>
      </c>
      <c r="F884" s="29" t="s">
        <v>220</v>
      </c>
    </row>
    <row r="885" spans="1:6" ht="29" x14ac:dyDescent="0.35">
      <c r="A885" s="26" t="s">
        <v>216</v>
      </c>
      <c r="B885" s="26" t="s">
        <v>1986</v>
      </c>
      <c r="C885" s="26" t="s">
        <v>17</v>
      </c>
      <c r="D885" s="28" t="s">
        <v>1987</v>
      </c>
      <c r="E885" s="26">
        <v>13436</v>
      </c>
      <c r="F885" s="29" t="s">
        <v>247</v>
      </c>
    </row>
    <row r="886" spans="1:6" ht="29" x14ac:dyDescent="0.35">
      <c r="A886" s="26" t="s">
        <v>216</v>
      </c>
      <c r="B886" s="26" t="s">
        <v>1988</v>
      </c>
      <c r="C886" s="26" t="s">
        <v>20</v>
      </c>
      <c r="D886" s="28" t="s">
        <v>1989</v>
      </c>
      <c r="E886" s="26">
        <v>13436</v>
      </c>
      <c r="F886" s="29" t="s">
        <v>223</v>
      </c>
    </row>
    <row r="887" spans="1:6" ht="58" x14ac:dyDescent="0.35">
      <c r="A887" s="26" t="s">
        <v>216</v>
      </c>
      <c r="B887" s="26" t="s">
        <v>1990</v>
      </c>
      <c r="C887" s="26" t="s">
        <v>25</v>
      </c>
      <c r="D887" s="28" t="s">
        <v>1991</v>
      </c>
      <c r="E887" s="26">
        <v>0</v>
      </c>
      <c r="F887" s="29" t="s">
        <v>226</v>
      </c>
    </row>
    <row r="888" spans="1:6" ht="43.5" x14ac:dyDescent="0.35">
      <c r="A888" s="26" t="s">
        <v>216</v>
      </c>
      <c r="B888" s="26" t="s">
        <v>1992</v>
      </c>
      <c r="C888" s="26" t="s">
        <v>27</v>
      </c>
      <c r="D888" s="28" t="s">
        <v>1993</v>
      </c>
      <c r="E888" s="26">
        <v>0</v>
      </c>
      <c r="F888" s="29" t="s">
        <v>229</v>
      </c>
    </row>
    <row r="889" spans="1:6" ht="29" x14ac:dyDescent="0.35">
      <c r="A889" s="26" t="s">
        <v>216</v>
      </c>
      <c r="B889" s="26" t="s">
        <v>1994</v>
      </c>
      <c r="C889" s="26" t="s">
        <v>24</v>
      </c>
      <c r="D889" s="28" t="s">
        <v>1995</v>
      </c>
      <c r="E889" s="26">
        <v>0</v>
      </c>
      <c r="F889" s="29" t="s">
        <v>232</v>
      </c>
    </row>
    <row r="890" spans="1:6" ht="43.5" x14ac:dyDescent="0.35">
      <c r="A890" s="26" t="s">
        <v>216</v>
      </c>
      <c r="B890" s="26" t="s">
        <v>1996</v>
      </c>
      <c r="C890" s="26" t="s">
        <v>15</v>
      </c>
      <c r="D890" s="28" t="s">
        <v>218</v>
      </c>
      <c r="E890" s="26" t="s">
        <v>1997</v>
      </c>
      <c r="F890" s="29" t="s">
        <v>220</v>
      </c>
    </row>
    <row r="891" spans="1:6" ht="29" x14ac:dyDescent="0.35">
      <c r="A891" s="26" t="s">
        <v>216</v>
      </c>
      <c r="B891" s="26" t="s">
        <v>1998</v>
      </c>
      <c r="C891" s="26" t="s">
        <v>17</v>
      </c>
      <c r="D891" s="28" t="s">
        <v>1999</v>
      </c>
      <c r="E891" s="26">
        <v>13436</v>
      </c>
      <c r="F891" s="29" t="s">
        <v>247</v>
      </c>
    </row>
    <row r="892" spans="1:6" ht="29" x14ac:dyDescent="0.35">
      <c r="A892" s="26" t="s">
        <v>216</v>
      </c>
      <c r="B892" s="26" t="s">
        <v>2000</v>
      </c>
      <c r="C892" s="26" t="s">
        <v>20</v>
      </c>
      <c r="D892" s="28" t="s">
        <v>2001</v>
      </c>
      <c r="E892" s="26">
        <v>13436</v>
      </c>
      <c r="F892" s="29" t="s">
        <v>223</v>
      </c>
    </row>
    <row r="893" spans="1:6" ht="58" x14ac:dyDescent="0.35">
      <c r="A893" s="26" t="s">
        <v>216</v>
      </c>
      <c r="B893" s="26" t="s">
        <v>2002</v>
      </c>
      <c r="C893" s="26" t="s">
        <v>25</v>
      </c>
      <c r="D893" s="28" t="s">
        <v>2003</v>
      </c>
      <c r="E893" s="26">
        <v>0</v>
      </c>
      <c r="F893" s="29" t="s">
        <v>226</v>
      </c>
    </row>
    <row r="894" spans="1:6" ht="43.5" x14ac:dyDescent="0.35">
      <c r="A894" s="26" t="s">
        <v>216</v>
      </c>
      <c r="B894" s="26" t="s">
        <v>2004</v>
      </c>
      <c r="C894" s="26" t="s">
        <v>27</v>
      </c>
      <c r="D894" s="28" t="s">
        <v>2005</v>
      </c>
      <c r="E894" s="26">
        <v>0</v>
      </c>
      <c r="F894" s="29" t="s">
        <v>229</v>
      </c>
    </row>
    <row r="895" spans="1:6" ht="29" x14ac:dyDescent="0.35">
      <c r="A895" s="26" t="s">
        <v>216</v>
      </c>
      <c r="B895" s="26" t="s">
        <v>2006</v>
      </c>
      <c r="C895" s="26" t="s">
        <v>24</v>
      </c>
      <c r="D895" s="28" t="s">
        <v>2007</v>
      </c>
      <c r="E895" s="26">
        <v>0</v>
      </c>
      <c r="F895" s="29" t="s">
        <v>232</v>
      </c>
    </row>
    <row r="896" spans="1:6" ht="43.5" x14ac:dyDescent="0.35">
      <c r="A896" s="26" t="s">
        <v>216</v>
      </c>
      <c r="B896" s="26" t="s">
        <v>2008</v>
      </c>
      <c r="C896" s="26" t="s">
        <v>15</v>
      </c>
      <c r="D896" s="28" t="s">
        <v>218</v>
      </c>
      <c r="E896" s="26" t="s">
        <v>2009</v>
      </c>
      <c r="F896" s="29" t="s">
        <v>220</v>
      </c>
    </row>
    <row r="897" spans="1:6" ht="29" x14ac:dyDescent="0.35">
      <c r="A897" s="26" t="s">
        <v>216</v>
      </c>
      <c r="B897" s="26" t="s">
        <v>2010</v>
      </c>
      <c r="C897" s="26" t="s">
        <v>17</v>
      </c>
      <c r="D897" s="28" t="s">
        <v>2011</v>
      </c>
      <c r="E897" s="26">
        <v>13436</v>
      </c>
      <c r="F897" s="29" t="s">
        <v>247</v>
      </c>
    </row>
    <row r="898" spans="1:6" ht="29" x14ac:dyDescent="0.35">
      <c r="A898" s="26" t="s">
        <v>216</v>
      </c>
      <c r="B898" s="26" t="s">
        <v>2012</v>
      </c>
      <c r="C898" s="26" t="s">
        <v>20</v>
      </c>
      <c r="D898" s="28" t="s">
        <v>2013</v>
      </c>
      <c r="E898" s="26">
        <v>13436</v>
      </c>
      <c r="F898" s="29" t="s">
        <v>223</v>
      </c>
    </row>
    <row r="899" spans="1:6" ht="58" x14ac:dyDescent="0.35">
      <c r="A899" s="26" t="s">
        <v>216</v>
      </c>
      <c r="B899" s="26" t="s">
        <v>2014</v>
      </c>
      <c r="C899" s="26" t="s">
        <v>25</v>
      </c>
      <c r="D899" s="28" t="s">
        <v>2015</v>
      </c>
      <c r="E899" s="26">
        <v>0</v>
      </c>
      <c r="F899" s="29" t="s">
        <v>226</v>
      </c>
    </row>
    <row r="900" spans="1:6" ht="43.5" x14ac:dyDescent="0.35">
      <c r="A900" s="26" t="s">
        <v>216</v>
      </c>
      <c r="B900" s="26" t="s">
        <v>2016</v>
      </c>
      <c r="C900" s="26" t="s">
        <v>27</v>
      </c>
      <c r="D900" s="28" t="s">
        <v>2017</v>
      </c>
      <c r="E900" s="26">
        <v>0</v>
      </c>
      <c r="F900" s="29" t="s">
        <v>229</v>
      </c>
    </row>
    <row r="901" spans="1:6" ht="29" x14ac:dyDescent="0.35">
      <c r="A901" s="26" t="s">
        <v>216</v>
      </c>
      <c r="B901" s="26" t="s">
        <v>2018</v>
      </c>
      <c r="C901" s="26" t="s">
        <v>24</v>
      </c>
      <c r="D901" s="28" t="s">
        <v>2019</v>
      </c>
      <c r="E901" s="26">
        <v>0</v>
      </c>
      <c r="F901" s="29" t="s">
        <v>232</v>
      </c>
    </row>
    <row r="902" spans="1:6" ht="43.5" x14ac:dyDescent="0.35">
      <c r="A902" s="26" t="s">
        <v>216</v>
      </c>
      <c r="B902" s="26" t="s">
        <v>2020</v>
      </c>
      <c r="C902" s="26" t="s">
        <v>15</v>
      </c>
      <c r="D902" s="28" t="s">
        <v>218</v>
      </c>
      <c r="E902" s="26" t="s">
        <v>2021</v>
      </c>
      <c r="F902" s="29" t="s">
        <v>220</v>
      </c>
    </row>
    <row r="903" spans="1:6" ht="29" x14ac:dyDescent="0.35">
      <c r="A903" s="26" t="s">
        <v>216</v>
      </c>
      <c r="B903" s="26" t="s">
        <v>2022</v>
      </c>
      <c r="C903" s="26" t="s">
        <v>17</v>
      </c>
      <c r="D903" s="28" t="s">
        <v>2023</v>
      </c>
      <c r="E903" s="26">
        <v>13436</v>
      </c>
      <c r="F903" s="29" t="s">
        <v>247</v>
      </c>
    </row>
    <row r="904" spans="1:6" ht="29" x14ac:dyDescent="0.35">
      <c r="A904" s="26" t="s">
        <v>216</v>
      </c>
      <c r="B904" s="26" t="s">
        <v>2024</v>
      </c>
      <c r="C904" s="26" t="s">
        <v>20</v>
      </c>
      <c r="D904" s="28" t="s">
        <v>2025</v>
      </c>
      <c r="E904" s="26">
        <v>13436</v>
      </c>
      <c r="F904" s="29" t="s">
        <v>223</v>
      </c>
    </row>
    <row r="905" spans="1:6" ht="58" x14ac:dyDescent="0.35">
      <c r="A905" s="26" t="s">
        <v>216</v>
      </c>
      <c r="B905" s="26" t="s">
        <v>2026</v>
      </c>
      <c r="C905" s="26" t="s">
        <v>25</v>
      </c>
      <c r="D905" s="28" t="s">
        <v>2027</v>
      </c>
      <c r="E905" s="26">
        <v>0</v>
      </c>
      <c r="F905" s="29" t="s">
        <v>226</v>
      </c>
    </row>
    <row r="906" spans="1:6" ht="43.5" x14ac:dyDescent="0.35">
      <c r="A906" s="26" t="s">
        <v>216</v>
      </c>
      <c r="B906" s="26" t="s">
        <v>2028</v>
      </c>
      <c r="C906" s="26" t="s">
        <v>27</v>
      </c>
      <c r="D906" s="28" t="s">
        <v>2029</v>
      </c>
      <c r="E906" s="26">
        <v>0</v>
      </c>
      <c r="F906" s="29" t="s">
        <v>229</v>
      </c>
    </row>
    <row r="907" spans="1:6" ht="29" x14ac:dyDescent="0.35">
      <c r="A907" s="26" t="s">
        <v>216</v>
      </c>
      <c r="B907" s="26" t="s">
        <v>2030</v>
      </c>
      <c r="C907" s="26" t="s">
        <v>24</v>
      </c>
      <c r="D907" s="28" t="s">
        <v>2031</v>
      </c>
      <c r="E907" s="26">
        <v>0</v>
      </c>
      <c r="F907" s="29" t="s">
        <v>232</v>
      </c>
    </row>
    <row r="908" spans="1:6" ht="43.5" x14ac:dyDescent="0.35">
      <c r="A908" s="26" t="s">
        <v>216</v>
      </c>
      <c r="B908" s="26" t="s">
        <v>2032</v>
      </c>
      <c r="C908" s="26" t="s">
        <v>15</v>
      </c>
      <c r="D908" s="28" t="s">
        <v>218</v>
      </c>
      <c r="E908" s="26" t="s">
        <v>2033</v>
      </c>
      <c r="F908" s="29" t="s">
        <v>220</v>
      </c>
    </row>
    <row r="909" spans="1:6" ht="29" x14ac:dyDescent="0.35">
      <c r="A909" s="26" t="s">
        <v>216</v>
      </c>
      <c r="B909" s="26" t="s">
        <v>2034</v>
      </c>
      <c r="C909" s="26" t="s">
        <v>17</v>
      </c>
      <c r="D909" s="28" t="s">
        <v>2035</v>
      </c>
      <c r="E909" s="26">
        <v>13436</v>
      </c>
      <c r="F909" s="29" t="s">
        <v>247</v>
      </c>
    </row>
    <row r="910" spans="1:6" ht="29" x14ac:dyDescent="0.35">
      <c r="A910" s="26" t="s">
        <v>216</v>
      </c>
      <c r="B910" s="26" t="s">
        <v>2036</v>
      </c>
      <c r="C910" s="26" t="s">
        <v>20</v>
      </c>
      <c r="D910" s="28" t="s">
        <v>2037</v>
      </c>
      <c r="E910" s="26">
        <v>13436</v>
      </c>
      <c r="F910" s="29" t="s">
        <v>223</v>
      </c>
    </row>
    <row r="911" spans="1:6" ht="58" x14ac:dyDescent="0.35">
      <c r="A911" s="26" t="s">
        <v>216</v>
      </c>
      <c r="B911" s="26" t="s">
        <v>2038</v>
      </c>
      <c r="C911" s="26" t="s">
        <v>25</v>
      </c>
      <c r="D911" s="28" t="s">
        <v>2039</v>
      </c>
      <c r="E911" s="26">
        <v>0</v>
      </c>
      <c r="F911" s="29" t="s">
        <v>226</v>
      </c>
    </row>
    <row r="912" spans="1:6" ht="43.5" x14ac:dyDescent="0.35">
      <c r="A912" s="26" t="s">
        <v>216</v>
      </c>
      <c r="B912" s="26" t="s">
        <v>2040</v>
      </c>
      <c r="C912" s="26" t="s">
        <v>27</v>
      </c>
      <c r="D912" s="28" t="s">
        <v>2041</v>
      </c>
      <c r="E912" s="26">
        <v>0</v>
      </c>
      <c r="F912" s="29" t="s">
        <v>229</v>
      </c>
    </row>
    <row r="913" spans="1:6" ht="29" x14ac:dyDescent="0.35">
      <c r="A913" s="26" t="s">
        <v>216</v>
      </c>
      <c r="B913" s="26" t="s">
        <v>2042</v>
      </c>
      <c r="C913" s="26" t="s">
        <v>24</v>
      </c>
      <c r="D913" s="28" t="s">
        <v>2043</v>
      </c>
      <c r="E913" s="26">
        <v>0</v>
      </c>
      <c r="F913" s="29" t="s">
        <v>232</v>
      </c>
    </row>
    <row r="914" spans="1:6" ht="43.5" x14ac:dyDescent="0.35">
      <c r="A914" s="26" t="s">
        <v>216</v>
      </c>
      <c r="B914" s="26" t="s">
        <v>2044</v>
      </c>
      <c r="C914" s="26" t="s">
        <v>15</v>
      </c>
      <c r="D914" s="28" t="s">
        <v>218</v>
      </c>
      <c r="E914" s="26" t="s">
        <v>2045</v>
      </c>
      <c r="F914" s="29" t="s">
        <v>220</v>
      </c>
    </row>
    <row r="915" spans="1:6" ht="29" x14ac:dyDescent="0.35">
      <c r="A915" s="26" t="s">
        <v>216</v>
      </c>
      <c r="B915" s="26" t="s">
        <v>2046</v>
      </c>
      <c r="C915" s="26" t="s">
        <v>17</v>
      </c>
      <c r="D915" s="28" t="s">
        <v>2047</v>
      </c>
      <c r="E915" s="26">
        <v>13436</v>
      </c>
      <c r="F915" s="29" t="s">
        <v>247</v>
      </c>
    </row>
    <row r="916" spans="1:6" ht="29" x14ac:dyDescent="0.35">
      <c r="A916" s="26" t="s">
        <v>216</v>
      </c>
      <c r="B916" s="26" t="s">
        <v>2048</v>
      </c>
      <c r="C916" s="26" t="s">
        <v>20</v>
      </c>
      <c r="D916" s="28" t="s">
        <v>2049</v>
      </c>
      <c r="E916" s="26">
        <v>13436</v>
      </c>
      <c r="F916" s="29" t="s">
        <v>223</v>
      </c>
    </row>
    <row r="917" spans="1:6" ht="58" x14ac:dyDescent="0.35">
      <c r="A917" s="26" t="s">
        <v>216</v>
      </c>
      <c r="B917" s="26" t="s">
        <v>2050</v>
      </c>
      <c r="C917" s="26" t="s">
        <v>25</v>
      </c>
      <c r="D917" s="28" t="s">
        <v>2051</v>
      </c>
      <c r="E917" s="26">
        <v>0</v>
      </c>
      <c r="F917" s="29" t="s">
        <v>226</v>
      </c>
    </row>
    <row r="918" spans="1:6" ht="43.5" x14ac:dyDescent="0.35">
      <c r="A918" s="26" t="s">
        <v>216</v>
      </c>
      <c r="B918" s="26" t="s">
        <v>2052</v>
      </c>
      <c r="C918" s="26" t="s">
        <v>27</v>
      </c>
      <c r="D918" s="28" t="s">
        <v>2053</v>
      </c>
      <c r="E918" s="26">
        <v>0</v>
      </c>
      <c r="F918" s="29" t="s">
        <v>229</v>
      </c>
    </row>
    <row r="919" spans="1:6" ht="29" x14ac:dyDescent="0.35">
      <c r="A919" s="26" t="s">
        <v>216</v>
      </c>
      <c r="B919" s="26" t="s">
        <v>2054</v>
      </c>
      <c r="C919" s="26" t="s">
        <v>24</v>
      </c>
      <c r="D919" s="28" t="s">
        <v>2055</v>
      </c>
      <c r="E919" s="26">
        <v>0</v>
      </c>
      <c r="F919" s="29" t="s">
        <v>232</v>
      </c>
    </row>
    <row r="920" spans="1:6" ht="43.5" x14ac:dyDescent="0.35">
      <c r="A920" s="26" t="s">
        <v>216</v>
      </c>
      <c r="B920" s="26" t="s">
        <v>2056</v>
      </c>
      <c r="C920" s="26" t="s">
        <v>15</v>
      </c>
      <c r="D920" s="28" t="s">
        <v>218</v>
      </c>
      <c r="E920" s="26" t="s">
        <v>2057</v>
      </c>
      <c r="F920" s="29" t="s">
        <v>220</v>
      </c>
    </row>
    <row r="921" spans="1:6" ht="29" x14ac:dyDescent="0.35">
      <c r="A921" s="26" t="s">
        <v>216</v>
      </c>
      <c r="B921" s="26" t="s">
        <v>2058</v>
      </c>
      <c r="C921" s="26" t="s">
        <v>17</v>
      </c>
      <c r="D921" s="28" t="s">
        <v>2059</v>
      </c>
      <c r="E921" s="26">
        <v>13436</v>
      </c>
      <c r="F921" s="29" t="s">
        <v>247</v>
      </c>
    </row>
    <row r="922" spans="1:6" ht="29" x14ac:dyDescent="0.35">
      <c r="A922" s="26" t="s">
        <v>216</v>
      </c>
      <c r="B922" s="26" t="s">
        <v>2060</v>
      </c>
      <c r="C922" s="26" t="s">
        <v>20</v>
      </c>
      <c r="D922" s="28" t="s">
        <v>2061</v>
      </c>
      <c r="E922" s="26">
        <v>13436</v>
      </c>
      <c r="F922" s="29" t="s">
        <v>223</v>
      </c>
    </row>
    <row r="923" spans="1:6" ht="58" x14ac:dyDescent="0.35">
      <c r="A923" s="26" t="s">
        <v>216</v>
      </c>
      <c r="B923" s="26" t="s">
        <v>2062</v>
      </c>
      <c r="C923" s="26" t="s">
        <v>25</v>
      </c>
      <c r="D923" s="28" t="s">
        <v>2063</v>
      </c>
      <c r="E923" s="26">
        <v>0</v>
      </c>
      <c r="F923" s="29" t="s">
        <v>226</v>
      </c>
    </row>
    <row r="924" spans="1:6" ht="43.5" x14ac:dyDescent="0.35">
      <c r="A924" s="26" t="s">
        <v>216</v>
      </c>
      <c r="B924" s="26" t="s">
        <v>2064</v>
      </c>
      <c r="C924" s="26" t="s">
        <v>27</v>
      </c>
      <c r="D924" s="28" t="s">
        <v>2065</v>
      </c>
      <c r="E924" s="26">
        <v>0</v>
      </c>
      <c r="F924" s="29" t="s">
        <v>229</v>
      </c>
    </row>
    <row r="925" spans="1:6" ht="29" x14ac:dyDescent="0.35">
      <c r="A925" s="26" t="s">
        <v>216</v>
      </c>
      <c r="B925" s="26" t="s">
        <v>2066</v>
      </c>
      <c r="C925" s="26" t="s">
        <v>24</v>
      </c>
      <c r="D925" s="28" t="s">
        <v>2067</v>
      </c>
      <c r="E925" s="26">
        <v>0</v>
      </c>
      <c r="F925" s="29" t="s">
        <v>232</v>
      </c>
    </row>
    <row r="926" spans="1:6" ht="43.5" x14ac:dyDescent="0.35">
      <c r="A926" s="26" t="s">
        <v>216</v>
      </c>
      <c r="B926" s="26" t="s">
        <v>2068</v>
      </c>
      <c r="C926" s="26" t="s">
        <v>15</v>
      </c>
      <c r="D926" s="28" t="s">
        <v>218</v>
      </c>
      <c r="E926" s="26" t="s">
        <v>2069</v>
      </c>
      <c r="F926" s="29" t="s">
        <v>220</v>
      </c>
    </row>
    <row r="927" spans="1:6" ht="29" x14ac:dyDescent="0.35">
      <c r="A927" s="26" t="s">
        <v>216</v>
      </c>
      <c r="B927" s="26" t="s">
        <v>2070</v>
      </c>
      <c r="C927" s="26" t="s">
        <v>17</v>
      </c>
      <c r="D927" s="28" t="s">
        <v>2071</v>
      </c>
      <c r="E927" s="26">
        <v>13436</v>
      </c>
      <c r="F927" s="29" t="s">
        <v>247</v>
      </c>
    </row>
    <row r="928" spans="1:6" ht="29" x14ac:dyDescent="0.35">
      <c r="A928" s="26" t="s">
        <v>216</v>
      </c>
      <c r="B928" s="26" t="s">
        <v>2072</v>
      </c>
      <c r="C928" s="26" t="s">
        <v>20</v>
      </c>
      <c r="D928" s="28" t="s">
        <v>2073</v>
      </c>
      <c r="E928" s="26">
        <v>13436</v>
      </c>
      <c r="F928" s="29" t="s">
        <v>223</v>
      </c>
    </row>
    <row r="929" spans="1:6" ht="58" x14ac:dyDescent="0.35">
      <c r="A929" s="26" t="s">
        <v>216</v>
      </c>
      <c r="B929" s="26" t="s">
        <v>2074</v>
      </c>
      <c r="C929" s="26" t="s">
        <v>25</v>
      </c>
      <c r="D929" s="28" t="s">
        <v>2075</v>
      </c>
      <c r="E929" s="26">
        <v>0</v>
      </c>
      <c r="F929" s="29" t="s">
        <v>226</v>
      </c>
    </row>
    <row r="930" spans="1:6" ht="43.5" x14ac:dyDescent="0.35">
      <c r="A930" s="26" t="s">
        <v>216</v>
      </c>
      <c r="B930" s="26" t="s">
        <v>2076</v>
      </c>
      <c r="C930" s="26" t="s">
        <v>27</v>
      </c>
      <c r="D930" s="28" t="s">
        <v>2077</v>
      </c>
      <c r="E930" s="26">
        <v>0</v>
      </c>
      <c r="F930" s="29" t="s">
        <v>229</v>
      </c>
    </row>
    <row r="931" spans="1:6" ht="29" x14ac:dyDescent="0.35">
      <c r="A931" s="26" t="s">
        <v>216</v>
      </c>
      <c r="B931" s="26" t="s">
        <v>2078</v>
      </c>
      <c r="C931" s="26" t="s">
        <v>24</v>
      </c>
      <c r="D931" s="28" t="s">
        <v>2079</v>
      </c>
      <c r="E931" s="26">
        <v>0</v>
      </c>
      <c r="F931" s="29" t="s">
        <v>232</v>
      </c>
    </row>
    <row r="932" spans="1:6" ht="43.5" x14ac:dyDescent="0.35">
      <c r="A932" s="26" t="s">
        <v>216</v>
      </c>
      <c r="B932" s="26" t="s">
        <v>2080</v>
      </c>
      <c r="C932" s="26" t="s">
        <v>15</v>
      </c>
      <c r="D932" s="28" t="s">
        <v>218</v>
      </c>
      <c r="E932" s="26" t="s">
        <v>2081</v>
      </c>
      <c r="F932" s="29" t="s">
        <v>220</v>
      </c>
    </row>
    <row r="933" spans="1:6" ht="29" x14ac:dyDescent="0.35">
      <c r="A933" s="26" t="s">
        <v>216</v>
      </c>
      <c r="B933" s="26" t="s">
        <v>2082</v>
      </c>
      <c r="C933" s="26" t="s">
        <v>17</v>
      </c>
      <c r="D933" s="28" t="s">
        <v>2083</v>
      </c>
      <c r="E933" s="26">
        <v>13436</v>
      </c>
      <c r="F933" s="29" t="s">
        <v>247</v>
      </c>
    </row>
    <row r="934" spans="1:6" ht="29" x14ac:dyDescent="0.35">
      <c r="A934" s="26" t="s">
        <v>216</v>
      </c>
      <c r="B934" s="26" t="s">
        <v>2084</v>
      </c>
      <c r="C934" s="26" t="s">
        <v>20</v>
      </c>
      <c r="D934" s="28" t="s">
        <v>2085</v>
      </c>
      <c r="E934" s="26">
        <v>13436</v>
      </c>
      <c r="F934" s="29" t="s">
        <v>223</v>
      </c>
    </row>
    <row r="935" spans="1:6" ht="58" x14ac:dyDescent="0.35">
      <c r="A935" s="26" t="s">
        <v>216</v>
      </c>
      <c r="B935" s="26" t="s">
        <v>2086</v>
      </c>
      <c r="C935" s="26" t="s">
        <v>25</v>
      </c>
      <c r="D935" s="28" t="s">
        <v>2087</v>
      </c>
      <c r="E935" s="26">
        <v>0</v>
      </c>
      <c r="F935" s="29" t="s">
        <v>226</v>
      </c>
    </row>
    <row r="936" spans="1:6" ht="43.5" x14ac:dyDescent="0.35">
      <c r="A936" s="26" t="s">
        <v>216</v>
      </c>
      <c r="B936" s="26" t="s">
        <v>2088</v>
      </c>
      <c r="C936" s="26" t="s">
        <v>27</v>
      </c>
      <c r="D936" s="28" t="s">
        <v>2089</v>
      </c>
      <c r="E936" s="26">
        <v>0</v>
      </c>
      <c r="F936" s="29" t="s">
        <v>229</v>
      </c>
    </row>
    <row r="937" spans="1:6" ht="29" x14ac:dyDescent="0.35">
      <c r="A937" s="26" t="s">
        <v>216</v>
      </c>
      <c r="B937" s="26" t="s">
        <v>2090</v>
      </c>
      <c r="C937" s="26" t="s">
        <v>24</v>
      </c>
      <c r="D937" s="28" t="s">
        <v>2091</v>
      </c>
      <c r="E937" s="26">
        <v>0</v>
      </c>
      <c r="F937" s="29" t="s">
        <v>232</v>
      </c>
    </row>
    <row r="938" spans="1:6" ht="43.5" x14ac:dyDescent="0.35">
      <c r="A938" s="26" t="s">
        <v>216</v>
      </c>
      <c r="B938" s="26" t="s">
        <v>2092</v>
      </c>
      <c r="C938" s="26" t="s">
        <v>15</v>
      </c>
      <c r="D938" s="28" t="s">
        <v>218</v>
      </c>
      <c r="E938" s="26" t="s">
        <v>2093</v>
      </c>
      <c r="F938" s="29" t="s">
        <v>220</v>
      </c>
    </row>
    <row r="939" spans="1:6" ht="29" x14ac:dyDescent="0.35">
      <c r="A939" s="26" t="s">
        <v>216</v>
      </c>
      <c r="B939" s="26" t="s">
        <v>2094</v>
      </c>
      <c r="C939" s="26" t="s">
        <v>17</v>
      </c>
      <c r="D939" s="28" t="s">
        <v>2095</v>
      </c>
      <c r="E939" s="26">
        <v>13436</v>
      </c>
      <c r="F939" s="29" t="s">
        <v>247</v>
      </c>
    </row>
    <row r="940" spans="1:6" ht="29" x14ac:dyDescent="0.35">
      <c r="A940" s="26" t="s">
        <v>216</v>
      </c>
      <c r="B940" s="26" t="s">
        <v>2096</v>
      </c>
      <c r="C940" s="26" t="s">
        <v>20</v>
      </c>
      <c r="D940" s="28" t="s">
        <v>2097</v>
      </c>
      <c r="E940" s="26">
        <v>13436</v>
      </c>
      <c r="F940" s="29" t="s">
        <v>223</v>
      </c>
    </row>
    <row r="941" spans="1:6" ht="58" x14ac:dyDescent="0.35">
      <c r="A941" s="26" t="s">
        <v>216</v>
      </c>
      <c r="B941" s="26" t="s">
        <v>2098</v>
      </c>
      <c r="C941" s="26" t="s">
        <v>25</v>
      </c>
      <c r="D941" s="28" t="s">
        <v>2099</v>
      </c>
      <c r="E941" s="26">
        <v>0</v>
      </c>
      <c r="F941" s="29" t="s">
        <v>226</v>
      </c>
    </row>
    <row r="942" spans="1:6" ht="43.5" x14ac:dyDescent="0.35">
      <c r="A942" s="26" t="s">
        <v>216</v>
      </c>
      <c r="B942" s="26" t="s">
        <v>2100</v>
      </c>
      <c r="C942" s="26" t="s">
        <v>27</v>
      </c>
      <c r="D942" s="28" t="s">
        <v>2101</v>
      </c>
      <c r="E942" s="26">
        <v>0</v>
      </c>
      <c r="F942" s="29" t="s">
        <v>229</v>
      </c>
    </row>
    <row r="943" spans="1:6" ht="29" x14ac:dyDescent="0.35">
      <c r="A943" s="26" t="s">
        <v>216</v>
      </c>
      <c r="B943" s="26" t="s">
        <v>2102</v>
      </c>
      <c r="C943" s="26" t="s">
        <v>24</v>
      </c>
      <c r="D943" s="28" t="s">
        <v>2103</v>
      </c>
      <c r="E943" s="26">
        <v>0</v>
      </c>
      <c r="F943" s="29" t="s">
        <v>232</v>
      </c>
    </row>
    <row r="944" spans="1:6" ht="43.5" x14ac:dyDescent="0.35">
      <c r="A944" s="26" t="s">
        <v>216</v>
      </c>
      <c r="B944" s="26" t="s">
        <v>2104</v>
      </c>
      <c r="C944" s="26" t="s">
        <v>15</v>
      </c>
      <c r="D944" s="28" t="s">
        <v>218</v>
      </c>
      <c r="E944" s="26" t="s">
        <v>2105</v>
      </c>
      <c r="F944" s="29" t="s">
        <v>220</v>
      </c>
    </row>
    <row r="945" spans="1:6" ht="29" x14ac:dyDescent="0.35">
      <c r="A945" s="26" t="s">
        <v>216</v>
      </c>
      <c r="B945" s="26" t="s">
        <v>2106</v>
      </c>
      <c r="C945" s="26" t="s">
        <v>17</v>
      </c>
      <c r="D945" s="28" t="s">
        <v>2107</v>
      </c>
      <c r="E945" s="26">
        <v>13436</v>
      </c>
      <c r="F945" s="29" t="s">
        <v>247</v>
      </c>
    </row>
    <row r="946" spans="1:6" ht="29" x14ac:dyDescent="0.35">
      <c r="A946" s="26" t="s">
        <v>216</v>
      </c>
      <c r="B946" s="26" t="s">
        <v>2108</v>
      </c>
      <c r="C946" s="26" t="s">
        <v>20</v>
      </c>
      <c r="D946" s="28" t="s">
        <v>2109</v>
      </c>
      <c r="E946" s="26">
        <v>13436</v>
      </c>
      <c r="F946" s="29" t="s">
        <v>223</v>
      </c>
    </row>
    <row r="947" spans="1:6" ht="58" x14ac:dyDescent="0.35">
      <c r="A947" s="26" t="s">
        <v>216</v>
      </c>
      <c r="B947" s="26" t="s">
        <v>2110</v>
      </c>
      <c r="C947" s="26" t="s">
        <v>25</v>
      </c>
      <c r="D947" s="28" t="s">
        <v>2111</v>
      </c>
      <c r="E947" s="26">
        <v>0</v>
      </c>
      <c r="F947" s="29" t="s">
        <v>226</v>
      </c>
    </row>
    <row r="948" spans="1:6" ht="43.5" x14ac:dyDescent="0.35">
      <c r="A948" s="26" t="s">
        <v>216</v>
      </c>
      <c r="B948" s="26" t="s">
        <v>2112</v>
      </c>
      <c r="C948" s="26" t="s">
        <v>27</v>
      </c>
      <c r="D948" s="28" t="s">
        <v>2113</v>
      </c>
      <c r="E948" s="26">
        <v>0</v>
      </c>
      <c r="F948" s="29" t="s">
        <v>229</v>
      </c>
    </row>
    <row r="949" spans="1:6" ht="29" x14ac:dyDescent="0.35">
      <c r="A949" s="26" t="s">
        <v>216</v>
      </c>
      <c r="B949" s="26" t="s">
        <v>2114</v>
      </c>
      <c r="C949" s="26" t="s">
        <v>24</v>
      </c>
      <c r="D949" s="28" t="s">
        <v>2115</v>
      </c>
      <c r="E949" s="26">
        <v>0</v>
      </c>
      <c r="F949" s="29" t="s">
        <v>232</v>
      </c>
    </row>
    <row r="950" spans="1:6" ht="43.5" x14ac:dyDescent="0.35">
      <c r="A950" s="26" t="s">
        <v>216</v>
      </c>
      <c r="B950" s="26" t="s">
        <v>2116</v>
      </c>
      <c r="C950" s="26" t="s">
        <v>15</v>
      </c>
      <c r="D950" s="28" t="s">
        <v>218</v>
      </c>
      <c r="E950" s="26" t="s">
        <v>2117</v>
      </c>
      <c r="F950" s="29" t="s">
        <v>220</v>
      </c>
    </row>
    <row r="951" spans="1:6" ht="29" x14ac:dyDescent="0.35">
      <c r="A951" s="26" t="s">
        <v>216</v>
      </c>
      <c r="B951" s="26" t="s">
        <v>2118</v>
      </c>
      <c r="C951" s="26" t="s">
        <v>17</v>
      </c>
      <c r="D951" s="28" t="s">
        <v>2119</v>
      </c>
      <c r="E951" s="26">
        <v>13436</v>
      </c>
      <c r="F951" s="29" t="s">
        <v>247</v>
      </c>
    </row>
    <row r="952" spans="1:6" ht="29" x14ac:dyDescent="0.35">
      <c r="A952" s="26" t="s">
        <v>216</v>
      </c>
      <c r="B952" s="26" t="s">
        <v>2120</v>
      </c>
      <c r="C952" s="26" t="s">
        <v>20</v>
      </c>
      <c r="D952" s="28" t="s">
        <v>2121</v>
      </c>
      <c r="E952" s="26">
        <v>13436</v>
      </c>
      <c r="F952" s="29" t="s">
        <v>223</v>
      </c>
    </row>
    <row r="953" spans="1:6" ht="58" x14ac:dyDescent="0.35">
      <c r="A953" s="26" t="s">
        <v>216</v>
      </c>
      <c r="B953" s="26" t="s">
        <v>2122</v>
      </c>
      <c r="C953" s="26" t="s">
        <v>25</v>
      </c>
      <c r="D953" s="28" t="s">
        <v>2123</v>
      </c>
      <c r="E953" s="26">
        <v>0</v>
      </c>
      <c r="F953" s="29" t="s">
        <v>226</v>
      </c>
    </row>
    <row r="954" spans="1:6" ht="43.5" x14ac:dyDescent="0.35">
      <c r="A954" s="26" t="s">
        <v>216</v>
      </c>
      <c r="B954" s="26" t="s">
        <v>2124</v>
      </c>
      <c r="C954" s="26" t="s">
        <v>27</v>
      </c>
      <c r="D954" s="28" t="s">
        <v>2125</v>
      </c>
      <c r="E954" s="26">
        <v>0</v>
      </c>
      <c r="F954" s="29" t="s">
        <v>229</v>
      </c>
    </row>
    <row r="955" spans="1:6" ht="29" x14ac:dyDescent="0.35">
      <c r="A955" s="26" t="s">
        <v>216</v>
      </c>
      <c r="B955" s="26" t="s">
        <v>2126</v>
      </c>
      <c r="C955" s="26" t="s">
        <v>24</v>
      </c>
      <c r="D955" s="28" t="s">
        <v>2127</v>
      </c>
      <c r="E955" s="26">
        <v>0</v>
      </c>
      <c r="F955" s="29" t="s">
        <v>232</v>
      </c>
    </row>
    <row r="956" spans="1:6" ht="43.5" x14ac:dyDescent="0.35">
      <c r="A956" s="26" t="s">
        <v>216</v>
      </c>
      <c r="B956" s="26" t="s">
        <v>2128</v>
      </c>
      <c r="C956" s="26" t="s">
        <v>15</v>
      </c>
      <c r="D956" s="28" t="s">
        <v>218</v>
      </c>
      <c r="E956" s="26" t="s">
        <v>2129</v>
      </c>
      <c r="F956" s="29" t="s">
        <v>220</v>
      </c>
    </row>
    <row r="957" spans="1:6" ht="29" x14ac:dyDescent="0.35">
      <c r="A957" s="26" t="s">
        <v>216</v>
      </c>
      <c r="B957" s="26" t="s">
        <v>2130</v>
      </c>
      <c r="C957" s="26" t="s">
        <v>17</v>
      </c>
      <c r="D957" s="28" t="s">
        <v>2131</v>
      </c>
      <c r="E957" s="26">
        <v>13436</v>
      </c>
      <c r="F957" s="29" t="s">
        <v>247</v>
      </c>
    </row>
    <row r="958" spans="1:6" ht="29" x14ac:dyDescent="0.35">
      <c r="A958" s="26" t="s">
        <v>216</v>
      </c>
      <c r="B958" s="26" t="s">
        <v>2132</v>
      </c>
      <c r="C958" s="26" t="s">
        <v>20</v>
      </c>
      <c r="D958" s="28" t="s">
        <v>2133</v>
      </c>
      <c r="E958" s="26">
        <v>13436</v>
      </c>
      <c r="F958" s="29" t="s">
        <v>223</v>
      </c>
    </row>
    <row r="959" spans="1:6" ht="58" x14ac:dyDescent="0.35">
      <c r="A959" s="26" t="s">
        <v>216</v>
      </c>
      <c r="B959" s="26" t="s">
        <v>2134</v>
      </c>
      <c r="C959" s="26" t="s">
        <v>25</v>
      </c>
      <c r="D959" s="28" t="s">
        <v>2135</v>
      </c>
      <c r="E959" s="26">
        <v>0</v>
      </c>
      <c r="F959" s="29" t="s">
        <v>226</v>
      </c>
    </row>
    <row r="960" spans="1:6" ht="43.5" x14ac:dyDescent="0.35">
      <c r="A960" s="26" t="s">
        <v>216</v>
      </c>
      <c r="B960" s="26" t="s">
        <v>2136</v>
      </c>
      <c r="C960" s="26" t="s">
        <v>27</v>
      </c>
      <c r="D960" s="28" t="s">
        <v>2137</v>
      </c>
      <c r="E960" s="26">
        <v>0</v>
      </c>
      <c r="F960" s="29" t="s">
        <v>229</v>
      </c>
    </row>
    <row r="961" spans="1:6" ht="29" x14ac:dyDescent="0.35">
      <c r="A961" s="26" t="s">
        <v>216</v>
      </c>
      <c r="B961" s="26" t="s">
        <v>2138</v>
      </c>
      <c r="C961" s="26" t="s">
        <v>24</v>
      </c>
      <c r="D961" s="28" t="s">
        <v>2139</v>
      </c>
      <c r="E961" s="26">
        <v>0</v>
      </c>
      <c r="F961" s="29" t="s">
        <v>232</v>
      </c>
    </row>
    <row r="962" spans="1:6" ht="43.5" x14ac:dyDescent="0.35">
      <c r="A962" s="26" t="s">
        <v>216</v>
      </c>
      <c r="B962" s="26" t="s">
        <v>2140</v>
      </c>
      <c r="C962" s="26" t="s">
        <v>15</v>
      </c>
      <c r="D962" s="28" t="s">
        <v>218</v>
      </c>
      <c r="E962" s="26" t="s">
        <v>2141</v>
      </c>
      <c r="F962" s="29" t="s">
        <v>220</v>
      </c>
    </row>
    <row r="963" spans="1:6" ht="29" x14ac:dyDescent="0.35">
      <c r="A963" s="26" t="s">
        <v>216</v>
      </c>
      <c r="B963" s="26" t="s">
        <v>2142</v>
      </c>
      <c r="C963" s="26" t="s">
        <v>17</v>
      </c>
      <c r="D963" s="28" t="s">
        <v>2143</v>
      </c>
      <c r="E963" s="26">
        <v>13436</v>
      </c>
      <c r="F963" s="29" t="s">
        <v>247</v>
      </c>
    </row>
    <row r="964" spans="1:6" ht="29" x14ac:dyDescent="0.35">
      <c r="A964" s="26" t="s">
        <v>216</v>
      </c>
      <c r="B964" s="26" t="s">
        <v>2144</v>
      </c>
      <c r="C964" s="26" t="s">
        <v>20</v>
      </c>
      <c r="D964" s="28" t="s">
        <v>2145</v>
      </c>
      <c r="E964" s="26">
        <v>13436</v>
      </c>
      <c r="F964" s="29" t="s">
        <v>223</v>
      </c>
    </row>
    <row r="965" spans="1:6" ht="58" x14ac:dyDescent="0.35">
      <c r="A965" s="26" t="s">
        <v>216</v>
      </c>
      <c r="B965" s="26" t="s">
        <v>2146</v>
      </c>
      <c r="C965" s="26" t="s">
        <v>25</v>
      </c>
      <c r="D965" s="28" t="s">
        <v>2147</v>
      </c>
      <c r="E965" s="26">
        <v>0</v>
      </c>
      <c r="F965" s="29" t="s">
        <v>226</v>
      </c>
    </row>
    <row r="966" spans="1:6" ht="43.5" x14ac:dyDescent="0.35">
      <c r="A966" s="26" t="s">
        <v>216</v>
      </c>
      <c r="B966" s="26" t="s">
        <v>2148</v>
      </c>
      <c r="C966" s="26" t="s">
        <v>27</v>
      </c>
      <c r="D966" s="28" t="s">
        <v>2149</v>
      </c>
      <c r="E966" s="26">
        <v>0</v>
      </c>
      <c r="F966" s="29" t="s">
        <v>229</v>
      </c>
    </row>
    <row r="967" spans="1:6" ht="29" x14ac:dyDescent="0.35">
      <c r="A967" s="26" t="s">
        <v>216</v>
      </c>
      <c r="B967" s="26" t="s">
        <v>2150</v>
      </c>
      <c r="C967" s="26" t="s">
        <v>24</v>
      </c>
      <c r="D967" s="28" t="s">
        <v>2151</v>
      </c>
      <c r="E967" s="26">
        <v>0</v>
      </c>
      <c r="F967" s="29" t="s">
        <v>232</v>
      </c>
    </row>
    <row r="968" spans="1:6" ht="43.5" x14ac:dyDescent="0.35">
      <c r="A968" s="26" t="s">
        <v>216</v>
      </c>
      <c r="B968" s="26" t="s">
        <v>2152</v>
      </c>
      <c r="C968" s="26" t="s">
        <v>15</v>
      </c>
      <c r="D968" s="28" t="s">
        <v>218</v>
      </c>
      <c r="E968" s="26" t="s">
        <v>2153</v>
      </c>
      <c r="F968" s="29" t="s">
        <v>220</v>
      </c>
    </row>
    <row r="969" spans="1:6" ht="29" x14ac:dyDescent="0.35">
      <c r="A969" s="26" t="s">
        <v>216</v>
      </c>
      <c r="B969" s="26" t="s">
        <v>2154</v>
      </c>
      <c r="C969" s="26" t="s">
        <v>17</v>
      </c>
      <c r="D969" s="28" t="s">
        <v>2155</v>
      </c>
      <c r="E969" s="26">
        <v>13436</v>
      </c>
      <c r="F969" s="29" t="s">
        <v>247</v>
      </c>
    </row>
    <row r="970" spans="1:6" ht="29" x14ac:dyDescent="0.35">
      <c r="A970" s="26" t="s">
        <v>216</v>
      </c>
      <c r="B970" s="26" t="s">
        <v>2156</v>
      </c>
      <c r="C970" s="26" t="s">
        <v>20</v>
      </c>
      <c r="D970" s="28" t="s">
        <v>2157</v>
      </c>
      <c r="E970" s="26">
        <v>13436</v>
      </c>
      <c r="F970" s="29" t="s">
        <v>223</v>
      </c>
    </row>
    <row r="971" spans="1:6" ht="58" x14ac:dyDescent="0.35">
      <c r="A971" s="26" t="s">
        <v>216</v>
      </c>
      <c r="B971" s="26" t="s">
        <v>2158</v>
      </c>
      <c r="C971" s="26" t="s">
        <v>25</v>
      </c>
      <c r="D971" s="28" t="s">
        <v>2159</v>
      </c>
      <c r="E971" s="26">
        <v>0</v>
      </c>
      <c r="F971" s="29" t="s">
        <v>226</v>
      </c>
    </row>
    <row r="972" spans="1:6" ht="43.5" x14ac:dyDescent="0.35">
      <c r="A972" s="26" t="s">
        <v>216</v>
      </c>
      <c r="B972" s="26" t="s">
        <v>2160</v>
      </c>
      <c r="C972" s="26" t="s">
        <v>27</v>
      </c>
      <c r="D972" s="28" t="s">
        <v>2161</v>
      </c>
      <c r="E972" s="26">
        <v>0</v>
      </c>
      <c r="F972" s="29" t="s">
        <v>229</v>
      </c>
    </row>
    <row r="973" spans="1:6" ht="29" x14ac:dyDescent="0.35">
      <c r="A973" s="26" t="s">
        <v>216</v>
      </c>
      <c r="B973" s="26" t="s">
        <v>2162</v>
      </c>
      <c r="C973" s="26" t="s">
        <v>24</v>
      </c>
      <c r="D973" s="28" t="s">
        <v>2163</v>
      </c>
      <c r="E973" s="26">
        <v>0</v>
      </c>
      <c r="F973" s="29" t="s">
        <v>232</v>
      </c>
    </row>
    <row r="974" spans="1:6" ht="43.5" x14ac:dyDescent="0.35">
      <c r="A974" s="26" t="s">
        <v>216</v>
      </c>
      <c r="B974" s="26" t="s">
        <v>2164</v>
      </c>
      <c r="C974" s="26" t="s">
        <v>15</v>
      </c>
      <c r="D974" s="28" t="s">
        <v>218</v>
      </c>
      <c r="E974" s="26" t="s">
        <v>2165</v>
      </c>
      <c r="F974" s="29" t="s">
        <v>220</v>
      </c>
    </row>
    <row r="975" spans="1:6" ht="29" x14ac:dyDescent="0.35">
      <c r="A975" s="26" t="s">
        <v>216</v>
      </c>
      <c r="B975" s="26" t="s">
        <v>2166</v>
      </c>
      <c r="C975" s="26" t="s">
        <v>17</v>
      </c>
      <c r="D975" s="28" t="s">
        <v>2167</v>
      </c>
      <c r="E975" s="26">
        <v>13436</v>
      </c>
      <c r="F975" s="29" t="s">
        <v>247</v>
      </c>
    </row>
    <row r="976" spans="1:6" ht="29" x14ac:dyDescent="0.35">
      <c r="A976" s="26" t="s">
        <v>216</v>
      </c>
      <c r="B976" s="26" t="s">
        <v>2168</v>
      </c>
      <c r="C976" s="26" t="s">
        <v>20</v>
      </c>
      <c r="D976" s="28" t="s">
        <v>2169</v>
      </c>
      <c r="E976" s="26">
        <v>13436</v>
      </c>
      <c r="F976" s="29" t="s">
        <v>223</v>
      </c>
    </row>
    <row r="977" spans="1:6" ht="58" x14ac:dyDescent="0.35">
      <c r="A977" s="26" t="s">
        <v>216</v>
      </c>
      <c r="B977" s="26" t="s">
        <v>2170</v>
      </c>
      <c r="C977" s="26" t="s">
        <v>25</v>
      </c>
      <c r="D977" s="28" t="s">
        <v>2171</v>
      </c>
      <c r="E977" s="26">
        <v>0</v>
      </c>
      <c r="F977" s="29" t="s">
        <v>226</v>
      </c>
    </row>
    <row r="978" spans="1:6" ht="43.5" x14ac:dyDescent="0.35">
      <c r="A978" s="26" t="s">
        <v>216</v>
      </c>
      <c r="B978" s="26" t="s">
        <v>2172</v>
      </c>
      <c r="C978" s="26" t="s">
        <v>27</v>
      </c>
      <c r="D978" s="28" t="s">
        <v>2173</v>
      </c>
      <c r="E978" s="26">
        <v>0</v>
      </c>
      <c r="F978" s="29" t="s">
        <v>229</v>
      </c>
    </row>
    <row r="979" spans="1:6" ht="29" x14ac:dyDescent="0.35">
      <c r="A979" s="26" t="s">
        <v>216</v>
      </c>
      <c r="B979" s="26" t="s">
        <v>2174</v>
      </c>
      <c r="C979" s="26" t="s">
        <v>24</v>
      </c>
      <c r="D979" s="28" t="s">
        <v>2175</v>
      </c>
      <c r="E979" s="26">
        <v>0</v>
      </c>
      <c r="F979" s="29" t="s">
        <v>232</v>
      </c>
    </row>
    <row r="980" spans="1:6" ht="43.5" x14ac:dyDescent="0.35">
      <c r="A980" s="26" t="s">
        <v>216</v>
      </c>
      <c r="B980" s="26" t="s">
        <v>2176</v>
      </c>
      <c r="C980" s="26" t="s">
        <v>15</v>
      </c>
      <c r="D980" s="28" t="s">
        <v>218</v>
      </c>
      <c r="E980" s="26" t="s">
        <v>2177</v>
      </c>
      <c r="F980" s="29" t="s">
        <v>220</v>
      </c>
    </row>
    <row r="981" spans="1:6" ht="29" x14ac:dyDescent="0.35">
      <c r="A981" s="26" t="s">
        <v>216</v>
      </c>
      <c r="B981" s="26" t="s">
        <v>2178</v>
      </c>
      <c r="C981" s="26" t="s">
        <v>17</v>
      </c>
      <c r="D981" s="28" t="s">
        <v>2179</v>
      </c>
      <c r="E981" s="26">
        <v>13436</v>
      </c>
      <c r="F981" s="29" t="s">
        <v>247</v>
      </c>
    </row>
    <row r="982" spans="1:6" ht="29" x14ac:dyDescent="0.35">
      <c r="A982" s="26" t="s">
        <v>216</v>
      </c>
      <c r="B982" s="26" t="s">
        <v>2180</v>
      </c>
      <c r="C982" s="26" t="s">
        <v>20</v>
      </c>
      <c r="D982" s="28" t="s">
        <v>2181</v>
      </c>
      <c r="E982" s="26">
        <v>13436</v>
      </c>
      <c r="F982" s="29" t="s">
        <v>223</v>
      </c>
    </row>
    <row r="983" spans="1:6" ht="58" x14ac:dyDescent="0.35">
      <c r="A983" s="26" t="s">
        <v>216</v>
      </c>
      <c r="B983" s="26" t="s">
        <v>2182</v>
      </c>
      <c r="C983" s="26" t="s">
        <v>25</v>
      </c>
      <c r="D983" s="28" t="s">
        <v>2183</v>
      </c>
      <c r="E983" s="26">
        <v>0</v>
      </c>
      <c r="F983" s="29" t="s">
        <v>226</v>
      </c>
    </row>
    <row r="984" spans="1:6" ht="43.5" x14ac:dyDescent="0.35">
      <c r="A984" s="26" t="s">
        <v>216</v>
      </c>
      <c r="B984" s="26" t="s">
        <v>2184</v>
      </c>
      <c r="C984" s="26" t="s">
        <v>27</v>
      </c>
      <c r="D984" s="28" t="s">
        <v>2185</v>
      </c>
      <c r="E984" s="26">
        <v>0</v>
      </c>
      <c r="F984" s="29" t="s">
        <v>229</v>
      </c>
    </row>
    <row r="985" spans="1:6" ht="29" x14ac:dyDescent="0.35">
      <c r="A985" s="26" t="s">
        <v>216</v>
      </c>
      <c r="B985" s="26" t="s">
        <v>2186</v>
      </c>
      <c r="C985" s="26" t="s">
        <v>24</v>
      </c>
      <c r="D985" s="28" t="s">
        <v>2187</v>
      </c>
      <c r="E985" s="26">
        <v>0</v>
      </c>
      <c r="F985" s="29" t="s">
        <v>232</v>
      </c>
    </row>
    <row r="986" spans="1:6" ht="43.5" x14ac:dyDescent="0.35">
      <c r="A986" s="26" t="s">
        <v>216</v>
      </c>
      <c r="B986" s="26" t="s">
        <v>2188</v>
      </c>
      <c r="C986" s="26" t="s">
        <v>15</v>
      </c>
      <c r="D986" s="28" t="s">
        <v>218</v>
      </c>
      <c r="E986" s="26" t="s">
        <v>2189</v>
      </c>
      <c r="F986" s="29" t="s">
        <v>220</v>
      </c>
    </row>
    <row r="987" spans="1:6" ht="29" x14ac:dyDescent="0.35">
      <c r="A987" s="26" t="s">
        <v>216</v>
      </c>
      <c r="B987" s="26" t="s">
        <v>2190</v>
      </c>
      <c r="C987" s="26" t="s">
        <v>17</v>
      </c>
      <c r="D987" s="28" t="s">
        <v>2191</v>
      </c>
      <c r="E987" s="26">
        <v>13436</v>
      </c>
      <c r="F987" s="29" t="s">
        <v>247</v>
      </c>
    </row>
    <row r="988" spans="1:6" ht="29" x14ac:dyDescent="0.35">
      <c r="A988" s="26" t="s">
        <v>216</v>
      </c>
      <c r="B988" s="26" t="s">
        <v>2192</v>
      </c>
      <c r="C988" s="26" t="s">
        <v>20</v>
      </c>
      <c r="D988" s="28" t="s">
        <v>2193</v>
      </c>
      <c r="E988" s="26">
        <v>13436</v>
      </c>
      <c r="F988" s="29" t="s">
        <v>223</v>
      </c>
    </row>
    <row r="989" spans="1:6" ht="58" x14ac:dyDescent="0.35">
      <c r="A989" s="26" t="s">
        <v>216</v>
      </c>
      <c r="B989" s="26" t="s">
        <v>2194</v>
      </c>
      <c r="C989" s="26" t="s">
        <v>25</v>
      </c>
      <c r="D989" s="28" t="s">
        <v>2195</v>
      </c>
      <c r="E989" s="26">
        <v>0</v>
      </c>
      <c r="F989" s="29" t="s">
        <v>226</v>
      </c>
    </row>
    <row r="990" spans="1:6" ht="43.5" x14ac:dyDescent="0.35">
      <c r="A990" s="26" t="s">
        <v>216</v>
      </c>
      <c r="B990" s="26" t="s">
        <v>2196</v>
      </c>
      <c r="C990" s="26" t="s">
        <v>27</v>
      </c>
      <c r="D990" s="28" t="s">
        <v>2197</v>
      </c>
      <c r="E990" s="26">
        <v>0</v>
      </c>
      <c r="F990" s="29" t="s">
        <v>229</v>
      </c>
    </row>
    <row r="991" spans="1:6" ht="29" x14ac:dyDescent="0.35">
      <c r="A991" s="26" t="s">
        <v>216</v>
      </c>
      <c r="B991" s="26" t="s">
        <v>2198</v>
      </c>
      <c r="C991" s="26" t="s">
        <v>24</v>
      </c>
      <c r="D991" s="28" t="s">
        <v>2199</v>
      </c>
      <c r="E991" s="26">
        <v>0</v>
      </c>
      <c r="F991" s="29" t="s">
        <v>232</v>
      </c>
    </row>
    <row r="992" spans="1:6" ht="43.5" x14ac:dyDescent="0.35">
      <c r="A992" s="26" t="s">
        <v>216</v>
      </c>
      <c r="B992" s="26" t="s">
        <v>2200</v>
      </c>
      <c r="C992" s="26" t="s">
        <v>15</v>
      </c>
      <c r="D992" s="28" t="s">
        <v>218</v>
      </c>
      <c r="E992" s="26" t="s">
        <v>2201</v>
      </c>
      <c r="F992" s="29" t="s">
        <v>220</v>
      </c>
    </row>
    <row r="993" spans="1:6" ht="29" x14ac:dyDescent="0.35">
      <c r="A993" s="26" t="s">
        <v>216</v>
      </c>
      <c r="B993" s="26" t="s">
        <v>2202</v>
      </c>
      <c r="C993" s="26" t="s">
        <v>17</v>
      </c>
      <c r="D993" s="28" t="s">
        <v>2203</v>
      </c>
      <c r="E993" s="26">
        <v>13436</v>
      </c>
      <c r="F993" s="29" t="s">
        <v>247</v>
      </c>
    </row>
    <row r="994" spans="1:6" ht="29" x14ac:dyDescent="0.35">
      <c r="A994" s="26" t="s">
        <v>216</v>
      </c>
      <c r="B994" s="26" t="s">
        <v>2204</v>
      </c>
      <c r="C994" s="26" t="s">
        <v>20</v>
      </c>
      <c r="D994" s="28" t="s">
        <v>2205</v>
      </c>
      <c r="E994" s="26">
        <v>13436</v>
      </c>
      <c r="F994" s="29" t="s">
        <v>223</v>
      </c>
    </row>
    <row r="995" spans="1:6" ht="58" x14ac:dyDescent="0.35">
      <c r="A995" s="26" t="s">
        <v>216</v>
      </c>
      <c r="B995" s="26" t="s">
        <v>2206</v>
      </c>
      <c r="C995" s="26" t="s">
        <v>25</v>
      </c>
      <c r="D995" s="28" t="s">
        <v>2207</v>
      </c>
      <c r="E995" s="26">
        <v>0</v>
      </c>
      <c r="F995" s="29" t="s">
        <v>226</v>
      </c>
    </row>
    <row r="996" spans="1:6" ht="43.5" x14ac:dyDescent="0.35">
      <c r="A996" s="26" t="s">
        <v>216</v>
      </c>
      <c r="B996" s="26" t="s">
        <v>2208</v>
      </c>
      <c r="C996" s="26" t="s">
        <v>27</v>
      </c>
      <c r="D996" s="28" t="s">
        <v>2209</v>
      </c>
      <c r="E996" s="26">
        <v>0</v>
      </c>
      <c r="F996" s="29" t="s">
        <v>229</v>
      </c>
    </row>
    <row r="997" spans="1:6" ht="29" x14ac:dyDescent="0.35">
      <c r="A997" s="26" t="s">
        <v>216</v>
      </c>
      <c r="B997" s="26" t="s">
        <v>2210</v>
      </c>
      <c r="C997" s="26" t="s">
        <v>24</v>
      </c>
      <c r="D997" s="28" t="s">
        <v>2211</v>
      </c>
      <c r="E997" s="26">
        <v>0</v>
      </c>
      <c r="F997" s="29" t="s">
        <v>232</v>
      </c>
    </row>
    <row r="998" spans="1:6" ht="43.5" x14ac:dyDescent="0.35">
      <c r="A998" s="26" t="s">
        <v>216</v>
      </c>
      <c r="B998" s="26" t="s">
        <v>2212</v>
      </c>
      <c r="C998" s="26" t="s">
        <v>15</v>
      </c>
      <c r="D998" s="28" t="s">
        <v>218</v>
      </c>
      <c r="E998" s="26" t="s">
        <v>2213</v>
      </c>
      <c r="F998" s="29" t="s">
        <v>220</v>
      </c>
    </row>
    <row r="999" spans="1:6" ht="29" x14ac:dyDescent="0.35">
      <c r="A999" s="26" t="s">
        <v>216</v>
      </c>
      <c r="B999" s="26" t="s">
        <v>2214</v>
      </c>
      <c r="C999" s="26" t="s">
        <v>17</v>
      </c>
      <c r="D999" s="28" t="s">
        <v>2215</v>
      </c>
      <c r="E999" s="26">
        <v>13436</v>
      </c>
      <c r="F999" s="29" t="s">
        <v>247</v>
      </c>
    </row>
    <row r="1000" spans="1:6" ht="29" x14ac:dyDescent="0.35">
      <c r="A1000" s="26" t="s">
        <v>216</v>
      </c>
      <c r="B1000" s="26" t="s">
        <v>2216</v>
      </c>
      <c r="C1000" s="26" t="s">
        <v>20</v>
      </c>
      <c r="D1000" s="28" t="s">
        <v>2217</v>
      </c>
      <c r="E1000" s="26">
        <v>13436</v>
      </c>
      <c r="F1000" s="29" t="s">
        <v>223</v>
      </c>
    </row>
    <row r="1001" spans="1:6" ht="58" x14ac:dyDescent="0.35">
      <c r="A1001" s="26" t="s">
        <v>216</v>
      </c>
      <c r="B1001" s="26" t="s">
        <v>2218</v>
      </c>
      <c r="C1001" s="26" t="s">
        <v>25</v>
      </c>
      <c r="D1001" s="28" t="s">
        <v>2219</v>
      </c>
      <c r="E1001" s="26">
        <v>0</v>
      </c>
      <c r="F1001" s="29" t="s">
        <v>226</v>
      </c>
    </row>
    <row r="1002" spans="1:6" ht="43.5" x14ac:dyDescent="0.35">
      <c r="A1002" s="26" t="s">
        <v>216</v>
      </c>
      <c r="B1002" s="26" t="s">
        <v>2220</v>
      </c>
      <c r="C1002" s="26" t="s">
        <v>27</v>
      </c>
      <c r="D1002" s="28" t="s">
        <v>2221</v>
      </c>
      <c r="E1002" s="26">
        <v>0</v>
      </c>
      <c r="F1002" s="29" t="s">
        <v>229</v>
      </c>
    </row>
    <row r="1003" spans="1:6" ht="29" x14ac:dyDescent="0.35">
      <c r="A1003" s="26" t="s">
        <v>216</v>
      </c>
      <c r="B1003" s="26" t="s">
        <v>2222</v>
      </c>
      <c r="C1003" s="26" t="s">
        <v>24</v>
      </c>
      <c r="D1003" s="28" t="s">
        <v>2223</v>
      </c>
      <c r="E1003" s="26">
        <v>0</v>
      </c>
      <c r="F1003" s="29" t="s">
        <v>232</v>
      </c>
    </row>
    <row r="1004" spans="1:6" ht="43.5" x14ac:dyDescent="0.35">
      <c r="A1004" s="26" t="s">
        <v>216</v>
      </c>
      <c r="B1004" s="26" t="s">
        <v>2224</v>
      </c>
      <c r="C1004" s="26" t="s">
        <v>15</v>
      </c>
      <c r="D1004" s="28" t="s">
        <v>218</v>
      </c>
      <c r="E1004" s="26" t="s">
        <v>2225</v>
      </c>
      <c r="F1004" s="29" t="s">
        <v>220</v>
      </c>
    </row>
    <row r="1005" spans="1:6" ht="29" x14ac:dyDescent="0.35">
      <c r="A1005" s="26" t="s">
        <v>216</v>
      </c>
      <c r="B1005" s="26" t="s">
        <v>2226</v>
      </c>
      <c r="C1005" s="26" t="s">
        <v>17</v>
      </c>
      <c r="D1005" s="28" t="s">
        <v>2227</v>
      </c>
      <c r="E1005" s="26">
        <v>13436</v>
      </c>
      <c r="F1005" s="29" t="s">
        <v>247</v>
      </c>
    </row>
    <row r="1006" spans="1:6" ht="29" x14ac:dyDescent="0.35">
      <c r="A1006" s="26" t="s">
        <v>216</v>
      </c>
      <c r="B1006" s="26" t="s">
        <v>2228</v>
      </c>
      <c r="C1006" s="26" t="s">
        <v>20</v>
      </c>
      <c r="D1006" s="28" t="s">
        <v>2229</v>
      </c>
      <c r="E1006" s="26">
        <v>13436</v>
      </c>
      <c r="F1006" s="29" t="s">
        <v>223</v>
      </c>
    </row>
    <row r="1007" spans="1:6" ht="58" x14ac:dyDescent="0.35">
      <c r="A1007" s="26" t="s">
        <v>216</v>
      </c>
      <c r="B1007" s="26" t="s">
        <v>2230</v>
      </c>
      <c r="C1007" s="26" t="s">
        <v>25</v>
      </c>
      <c r="D1007" s="28" t="s">
        <v>2231</v>
      </c>
      <c r="E1007" s="26">
        <v>0</v>
      </c>
      <c r="F1007" s="29" t="s">
        <v>226</v>
      </c>
    </row>
    <row r="1008" spans="1:6" ht="43.5" x14ac:dyDescent="0.35">
      <c r="A1008" s="26" t="s">
        <v>216</v>
      </c>
      <c r="B1008" s="26" t="s">
        <v>2232</v>
      </c>
      <c r="C1008" s="26" t="s">
        <v>27</v>
      </c>
      <c r="D1008" s="28" t="s">
        <v>2233</v>
      </c>
      <c r="E1008" s="26">
        <v>0</v>
      </c>
      <c r="F1008" s="29" t="s">
        <v>229</v>
      </c>
    </row>
    <row r="1009" spans="1:6" ht="29" x14ac:dyDescent="0.35">
      <c r="A1009" s="26" t="s">
        <v>216</v>
      </c>
      <c r="B1009" s="26" t="s">
        <v>2234</v>
      </c>
      <c r="C1009" s="26" t="s">
        <v>24</v>
      </c>
      <c r="D1009" s="28" t="s">
        <v>2235</v>
      </c>
      <c r="E1009" s="26">
        <v>0</v>
      </c>
      <c r="F1009" s="29" t="s">
        <v>232</v>
      </c>
    </row>
    <row r="1010" spans="1:6" ht="43.5" x14ac:dyDescent="0.35">
      <c r="A1010" s="26" t="s">
        <v>216</v>
      </c>
      <c r="B1010" s="26" t="s">
        <v>2236</v>
      </c>
      <c r="C1010" s="26" t="s">
        <v>15</v>
      </c>
      <c r="D1010" s="28" t="s">
        <v>218</v>
      </c>
      <c r="E1010" s="26" t="s">
        <v>2237</v>
      </c>
      <c r="F1010" s="29" t="s">
        <v>220</v>
      </c>
    </row>
    <row r="1011" spans="1:6" ht="29" x14ac:dyDescent="0.35">
      <c r="A1011" s="26" t="s">
        <v>216</v>
      </c>
      <c r="B1011" s="26" t="s">
        <v>2238</v>
      </c>
      <c r="C1011" s="26" t="s">
        <v>17</v>
      </c>
      <c r="D1011" s="28" t="s">
        <v>2239</v>
      </c>
      <c r="E1011" s="26">
        <v>13436</v>
      </c>
      <c r="F1011" s="29" t="s">
        <v>247</v>
      </c>
    </row>
    <row r="1012" spans="1:6" ht="29" x14ac:dyDescent="0.35">
      <c r="A1012" s="26" t="s">
        <v>216</v>
      </c>
      <c r="B1012" s="26" t="s">
        <v>2240</v>
      </c>
      <c r="C1012" s="26" t="s">
        <v>20</v>
      </c>
      <c r="D1012" s="28" t="s">
        <v>2241</v>
      </c>
      <c r="E1012" s="26">
        <v>13436</v>
      </c>
      <c r="F1012" s="29" t="s">
        <v>223</v>
      </c>
    </row>
    <row r="1013" spans="1:6" ht="58" x14ac:dyDescent="0.35">
      <c r="A1013" s="26" t="s">
        <v>216</v>
      </c>
      <c r="B1013" s="26" t="s">
        <v>2242</v>
      </c>
      <c r="C1013" s="26" t="s">
        <v>25</v>
      </c>
      <c r="D1013" s="28" t="s">
        <v>2243</v>
      </c>
      <c r="E1013" s="26">
        <v>0</v>
      </c>
      <c r="F1013" s="29" t="s">
        <v>226</v>
      </c>
    </row>
    <row r="1014" spans="1:6" ht="43.5" x14ac:dyDescent="0.35">
      <c r="A1014" s="26" t="s">
        <v>216</v>
      </c>
      <c r="B1014" s="26" t="s">
        <v>2244</v>
      </c>
      <c r="C1014" s="26" t="s">
        <v>27</v>
      </c>
      <c r="D1014" s="28" t="s">
        <v>2245</v>
      </c>
      <c r="E1014" s="26">
        <v>0</v>
      </c>
      <c r="F1014" s="29" t="s">
        <v>229</v>
      </c>
    </row>
    <row r="1015" spans="1:6" ht="29" x14ac:dyDescent="0.35">
      <c r="A1015" s="26" t="s">
        <v>216</v>
      </c>
      <c r="B1015" s="26" t="s">
        <v>2246</v>
      </c>
      <c r="C1015" s="26" t="s">
        <v>24</v>
      </c>
      <c r="D1015" s="28" t="s">
        <v>2247</v>
      </c>
      <c r="E1015" s="26">
        <v>0</v>
      </c>
      <c r="F1015" s="29" t="s">
        <v>232</v>
      </c>
    </row>
    <row r="1016" spans="1:6" ht="43.5" x14ac:dyDescent="0.35">
      <c r="A1016" s="26" t="s">
        <v>216</v>
      </c>
      <c r="B1016" s="26" t="s">
        <v>2248</v>
      </c>
      <c r="C1016" s="26" t="s">
        <v>15</v>
      </c>
      <c r="D1016" s="28" t="s">
        <v>218</v>
      </c>
      <c r="E1016" s="26" t="s">
        <v>2249</v>
      </c>
      <c r="F1016" s="29" t="s">
        <v>220</v>
      </c>
    </row>
    <row r="1017" spans="1:6" ht="29" x14ac:dyDescent="0.35">
      <c r="A1017" s="26" t="s">
        <v>216</v>
      </c>
      <c r="B1017" s="26" t="s">
        <v>2250</v>
      </c>
      <c r="C1017" s="26" t="s">
        <v>17</v>
      </c>
      <c r="D1017" s="28" t="s">
        <v>2251</v>
      </c>
      <c r="E1017" s="26">
        <v>13436</v>
      </c>
      <c r="F1017" s="29" t="s">
        <v>247</v>
      </c>
    </row>
    <row r="1018" spans="1:6" ht="29" x14ac:dyDescent="0.35">
      <c r="A1018" s="26" t="s">
        <v>216</v>
      </c>
      <c r="B1018" s="26" t="s">
        <v>2252</v>
      </c>
      <c r="C1018" s="26" t="s">
        <v>20</v>
      </c>
      <c r="D1018" s="28" t="s">
        <v>2253</v>
      </c>
      <c r="E1018" s="26">
        <v>13436</v>
      </c>
      <c r="F1018" s="29" t="s">
        <v>223</v>
      </c>
    </row>
    <row r="1019" spans="1:6" ht="58" x14ac:dyDescent="0.35">
      <c r="A1019" s="26" t="s">
        <v>216</v>
      </c>
      <c r="B1019" s="26" t="s">
        <v>2254</v>
      </c>
      <c r="C1019" s="26" t="s">
        <v>25</v>
      </c>
      <c r="D1019" s="28" t="s">
        <v>2255</v>
      </c>
      <c r="E1019" s="26">
        <v>0</v>
      </c>
      <c r="F1019" s="29" t="s">
        <v>226</v>
      </c>
    </row>
    <row r="1020" spans="1:6" ht="43.5" x14ac:dyDescent="0.35">
      <c r="A1020" s="26" t="s">
        <v>216</v>
      </c>
      <c r="B1020" s="26" t="s">
        <v>2256</v>
      </c>
      <c r="C1020" s="26" t="s">
        <v>27</v>
      </c>
      <c r="D1020" s="28" t="s">
        <v>2257</v>
      </c>
      <c r="E1020" s="26">
        <v>0</v>
      </c>
      <c r="F1020" s="29" t="s">
        <v>229</v>
      </c>
    </row>
    <row r="1021" spans="1:6" ht="29" x14ac:dyDescent="0.35">
      <c r="A1021" s="26" t="s">
        <v>216</v>
      </c>
      <c r="B1021" s="26" t="s">
        <v>2258</v>
      </c>
      <c r="C1021" s="26" t="s">
        <v>24</v>
      </c>
      <c r="D1021" s="28" t="s">
        <v>2259</v>
      </c>
      <c r="E1021" s="26">
        <v>0</v>
      </c>
      <c r="F1021" s="29" t="s">
        <v>232</v>
      </c>
    </row>
    <row r="1022" spans="1:6" ht="43.5" x14ac:dyDescent="0.35">
      <c r="A1022" s="26" t="s">
        <v>216</v>
      </c>
      <c r="B1022" s="26" t="s">
        <v>2260</v>
      </c>
      <c r="C1022" s="26" t="s">
        <v>15</v>
      </c>
      <c r="D1022" s="28" t="s">
        <v>218</v>
      </c>
      <c r="E1022" s="26" t="s">
        <v>2261</v>
      </c>
      <c r="F1022" s="29" t="s">
        <v>220</v>
      </c>
    </row>
    <row r="1023" spans="1:6" ht="29" x14ac:dyDescent="0.35">
      <c r="A1023" s="26" t="s">
        <v>216</v>
      </c>
      <c r="B1023" s="26" t="s">
        <v>2262</v>
      </c>
      <c r="C1023" s="26" t="s">
        <v>17</v>
      </c>
      <c r="D1023" s="28" t="s">
        <v>2263</v>
      </c>
      <c r="E1023" s="26">
        <v>13436</v>
      </c>
      <c r="F1023" s="29" t="s">
        <v>247</v>
      </c>
    </row>
    <row r="1024" spans="1:6" ht="29" x14ac:dyDescent="0.35">
      <c r="A1024" s="26" t="s">
        <v>216</v>
      </c>
      <c r="B1024" s="26" t="s">
        <v>2264</v>
      </c>
      <c r="C1024" s="26" t="s">
        <v>20</v>
      </c>
      <c r="D1024" s="28" t="s">
        <v>2265</v>
      </c>
      <c r="E1024" s="26">
        <v>13436</v>
      </c>
      <c r="F1024" s="29" t="s">
        <v>223</v>
      </c>
    </row>
    <row r="1025" spans="1:6" ht="58" x14ac:dyDescent="0.35">
      <c r="A1025" s="26" t="s">
        <v>216</v>
      </c>
      <c r="B1025" s="26" t="s">
        <v>2266</v>
      </c>
      <c r="C1025" s="26" t="s">
        <v>25</v>
      </c>
      <c r="D1025" s="28" t="s">
        <v>2267</v>
      </c>
      <c r="E1025" s="26">
        <v>0</v>
      </c>
      <c r="F1025" s="29" t="s">
        <v>226</v>
      </c>
    </row>
    <row r="1026" spans="1:6" ht="43.5" x14ac:dyDescent="0.35">
      <c r="A1026" s="26" t="s">
        <v>216</v>
      </c>
      <c r="B1026" s="26" t="s">
        <v>2268</v>
      </c>
      <c r="C1026" s="26" t="s">
        <v>27</v>
      </c>
      <c r="D1026" s="28" t="s">
        <v>2269</v>
      </c>
      <c r="E1026" s="26">
        <v>0</v>
      </c>
      <c r="F1026" s="29" t="s">
        <v>229</v>
      </c>
    </row>
    <row r="1027" spans="1:6" ht="29" x14ac:dyDescent="0.35">
      <c r="A1027" s="26" t="s">
        <v>216</v>
      </c>
      <c r="B1027" s="26" t="s">
        <v>2270</v>
      </c>
      <c r="C1027" s="26" t="s">
        <v>24</v>
      </c>
      <c r="D1027" s="28" t="s">
        <v>2271</v>
      </c>
      <c r="E1027" s="26">
        <v>0</v>
      </c>
      <c r="F1027" s="29" t="s">
        <v>232</v>
      </c>
    </row>
    <row r="1028" spans="1:6" ht="43.5" x14ac:dyDescent="0.35">
      <c r="A1028" s="26" t="s">
        <v>216</v>
      </c>
      <c r="B1028" s="26" t="s">
        <v>2272</v>
      </c>
      <c r="C1028" s="26" t="s">
        <v>15</v>
      </c>
      <c r="D1028" s="28" t="s">
        <v>218</v>
      </c>
      <c r="E1028" s="26" t="s">
        <v>2273</v>
      </c>
      <c r="F1028" s="29" t="s">
        <v>220</v>
      </c>
    </row>
    <row r="1029" spans="1:6" ht="29" x14ac:dyDescent="0.35">
      <c r="A1029" s="26" t="s">
        <v>216</v>
      </c>
      <c r="B1029" s="26" t="s">
        <v>2274</v>
      </c>
      <c r="C1029" s="26" t="s">
        <v>17</v>
      </c>
      <c r="D1029" s="28" t="s">
        <v>2275</v>
      </c>
      <c r="E1029" s="26">
        <v>13436</v>
      </c>
      <c r="F1029" s="29" t="s">
        <v>247</v>
      </c>
    </row>
    <row r="1030" spans="1:6" ht="29" x14ac:dyDescent="0.35">
      <c r="A1030" s="26" t="s">
        <v>216</v>
      </c>
      <c r="B1030" s="26" t="s">
        <v>2276</v>
      </c>
      <c r="C1030" s="26" t="s">
        <v>20</v>
      </c>
      <c r="D1030" s="28" t="s">
        <v>2277</v>
      </c>
      <c r="E1030" s="26">
        <v>13436</v>
      </c>
      <c r="F1030" s="29" t="s">
        <v>223</v>
      </c>
    </row>
    <row r="1031" spans="1:6" ht="58" x14ac:dyDescent="0.35">
      <c r="A1031" s="26" t="s">
        <v>216</v>
      </c>
      <c r="B1031" s="26" t="s">
        <v>2278</v>
      </c>
      <c r="C1031" s="26" t="s">
        <v>25</v>
      </c>
      <c r="D1031" s="28" t="s">
        <v>2279</v>
      </c>
      <c r="E1031" s="26">
        <v>0</v>
      </c>
      <c r="F1031" s="29" t="s">
        <v>226</v>
      </c>
    </row>
    <row r="1032" spans="1:6" ht="43.5" x14ac:dyDescent="0.35">
      <c r="A1032" s="26" t="s">
        <v>216</v>
      </c>
      <c r="B1032" s="26" t="s">
        <v>2280</v>
      </c>
      <c r="C1032" s="26" t="s">
        <v>27</v>
      </c>
      <c r="D1032" s="28" t="s">
        <v>2281</v>
      </c>
      <c r="E1032" s="26">
        <v>0</v>
      </c>
      <c r="F1032" s="29" t="s">
        <v>229</v>
      </c>
    </row>
    <row r="1033" spans="1:6" ht="29" x14ac:dyDescent="0.35">
      <c r="A1033" s="26" t="s">
        <v>216</v>
      </c>
      <c r="B1033" s="26" t="s">
        <v>2282</v>
      </c>
      <c r="C1033" s="26" t="s">
        <v>24</v>
      </c>
      <c r="D1033" s="28" t="s">
        <v>2283</v>
      </c>
      <c r="E1033" s="26">
        <v>0</v>
      </c>
      <c r="F1033" s="29" t="s">
        <v>232</v>
      </c>
    </row>
    <row r="1034" spans="1:6" ht="43.5" x14ac:dyDescent="0.35">
      <c r="A1034" s="26" t="s">
        <v>216</v>
      </c>
      <c r="B1034" s="26" t="s">
        <v>2284</v>
      </c>
      <c r="C1034" s="26" t="s">
        <v>15</v>
      </c>
      <c r="D1034" s="28" t="s">
        <v>218</v>
      </c>
      <c r="E1034" s="26" t="s">
        <v>2285</v>
      </c>
      <c r="F1034" s="29" t="s">
        <v>220</v>
      </c>
    </row>
    <row r="1035" spans="1:6" ht="29" x14ac:dyDescent="0.35">
      <c r="A1035" s="26" t="s">
        <v>216</v>
      </c>
      <c r="B1035" s="26" t="s">
        <v>2286</v>
      </c>
      <c r="C1035" s="26" t="s">
        <v>17</v>
      </c>
      <c r="D1035" s="28" t="s">
        <v>2287</v>
      </c>
      <c r="E1035" s="26">
        <v>13436</v>
      </c>
      <c r="F1035" s="29" t="s">
        <v>247</v>
      </c>
    </row>
    <row r="1036" spans="1:6" ht="29" x14ac:dyDescent="0.35">
      <c r="A1036" s="26" t="s">
        <v>216</v>
      </c>
      <c r="B1036" s="26" t="s">
        <v>2288</v>
      </c>
      <c r="C1036" s="26" t="s">
        <v>20</v>
      </c>
      <c r="D1036" s="28" t="s">
        <v>2289</v>
      </c>
      <c r="E1036" s="26">
        <v>13436</v>
      </c>
      <c r="F1036" s="29" t="s">
        <v>223</v>
      </c>
    </row>
    <row r="1037" spans="1:6" ht="58" x14ac:dyDescent="0.35">
      <c r="A1037" s="26" t="s">
        <v>216</v>
      </c>
      <c r="B1037" s="26" t="s">
        <v>2290</v>
      </c>
      <c r="C1037" s="26" t="s">
        <v>25</v>
      </c>
      <c r="D1037" s="28" t="s">
        <v>2291</v>
      </c>
      <c r="E1037" s="26">
        <v>0</v>
      </c>
      <c r="F1037" s="29" t="s">
        <v>226</v>
      </c>
    </row>
    <row r="1038" spans="1:6" ht="43.5" x14ac:dyDescent="0.35">
      <c r="A1038" s="26" t="s">
        <v>216</v>
      </c>
      <c r="B1038" s="26" t="s">
        <v>2292</v>
      </c>
      <c r="C1038" s="26" t="s">
        <v>27</v>
      </c>
      <c r="D1038" s="28" t="s">
        <v>2293</v>
      </c>
      <c r="E1038" s="26">
        <v>0</v>
      </c>
      <c r="F1038" s="29" t="s">
        <v>229</v>
      </c>
    </row>
    <row r="1039" spans="1:6" ht="29" x14ac:dyDescent="0.35">
      <c r="A1039" s="26" t="s">
        <v>216</v>
      </c>
      <c r="B1039" s="26" t="s">
        <v>2294</v>
      </c>
      <c r="C1039" s="26" t="s">
        <v>24</v>
      </c>
      <c r="D1039" s="28" t="s">
        <v>2295</v>
      </c>
      <c r="E1039" s="26">
        <v>0</v>
      </c>
      <c r="F1039" s="29" t="s">
        <v>232</v>
      </c>
    </row>
    <row r="1040" spans="1:6" ht="43.5" x14ac:dyDescent="0.35">
      <c r="A1040" s="26" t="s">
        <v>216</v>
      </c>
      <c r="B1040" s="26" t="s">
        <v>2296</v>
      </c>
      <c r="C1040" s="26" t="s">
        <v>15</v>
      </c>
      <c r="D1040" s="28" t="s">
        <v>218</v>
      </c>
      <c r="E1040" s="26" t="s">
        <v>2297</v>
      </c>
      <c r="F1040" s="29" t="s">
        <v>220</v>
      </c>
    </row>
    <row r="1041" spans="1:6" ht="29" x14ac:dyDescent="0.35">
      <c r="A1041" s="26" t="s">
        <v>216</v>
      </c>
      <c r="B1041" s="26" t="s">
        <v>2298</v>
      </c>
      <c r="C1041" s="26" t="s">
        <v>17</v>
      </c>
      <c r="D1041" s="28" t="s">
        <v>2299</v>
      </c>
      <c r="E1041" s="26">
        <v>13436</v>
      </c>
      <c r="F1041" s="29" t="s">
        <v>247</v>
      </c>
    </row>
    <row r="1042" spans="1:6" ht="29" x14ac:dyDescent="0.35">
      <c r="A1042" s="26" t="s">
        <v>216</v>
      </c>
      <c r="B1042" s="26" t="s">
        <v>2300</v>
      </c>
      <c r="C1042" s="26" t="s">
        <v>20</v>
      </c>
      <c r="D1042" s="28" t="s">
        <v>2301</v>
      </c>
      <c r="E1042" s="26">
        <v>13436</v>
      </c>
      <c r="F1042" s="29" t="s">
        <v>223</v>
      </c>
    </row>
    <row r="1043" spans="1:6" ht="58" x14ac:dyDescent="0.35">
      <c r="A1043" s="26" t="s">
        <v>216</v>
      </c>
      <c r="B1043" s="26" t="s">
        <v>2302</v>
      </c>
      <c r="C1043" s="26" t="s">
        <v>25</v>
      </c>
      <c r="D1043" s="28" t="s">
        <v>2303</v>
      </c>
      <c r="E1043" s="26">
        <v>0</v>
      </c>
      <c r="F1043" s="29" t="s">
        <v>226</v>
      </c>
    </row>
    <row r="1044" spans="1:6" ht="43.5" x14ac:dyDescent="0.35">
      <c r="A1044" s="26" t="s">
        <v>216</v>
      </c>
      <c r="B1044" s="26" t="s">
        <v>2304</v>
      </c>
      <c r="C1044" s="26" t="s">
        <v>27</v>
      </c>
      <c r="D1044" s="28" t="s">
        <v>2305</v>
      </c>
      <c r="E1044" s="26">
        <v>0</v>
      </c>
      <c r="F1044" s="29" t="s">
        <v>229</v>
      </c>
    </row>
    <row r="1045" spans="1:6" ht="29" x14ac:dyDescent="0.35">
      <c r="A1045" s="26" t="s">
        <v>216</v>
      </c>
      <c r="B1045" s="26" t="s">
        <v>2306</v>
      </c>
      <c r="C1045" s="26" t="s">
        <v>24</v>
      </c>
      <c r="D1045" s="28" t="s">
        <v>2307</v>
      </c>
      <c r="E1045" s="26">
        <v>0</v>
      </c>
      <c r="F1045" s="29" t="s">
        <v>232</v>
      </c>
    </row>
    <row r="1046" spans="1:6" ht="43.5" x14ac:dyDescent="0.35">
      <c r="A1046" s="26" t="s">
        <v>216</v>
      </c>
      <c r="B1046" s="26" t="s">
        <v>2308</v>
      </c>
      <c r="C1046" s="26" t="s">
        <v>15</v>
      </c>
      <c r="D1046" s="28" t="s">
        <v>218</v>
      </c>
      <c r="E1046" s="26" t="s">
        <v>2309</v>
      </c>
      <c r="F1046" s="29" t="s">
        <v>220</v>
      </c>
    </row>
    <row r="1047" spans="1:6" ht="29" x14ac:dyDescent="0.35">
      <c r="A1047" s="26" t="s">
        <v>216</v>
      </c>
      <c r="B1047" s="26" t="s">
        <v>2310</v>
      </c>
      <c r="C1047" s="26" t="s">
        <v>17</v>
      </c>
      <c r="D1047" s="28" t="s">
        <v>2311</v>
      </c>
      <c r="E1047" s="26">
        <v>13436</v>
      </c>
      <c r="F1047" s="29" t="s">
        <v>247</v>
      </c>
    </row>
    <row r="1048" spans="1:6" ht="29" x14ac:dyDescent="0.35">
      <c r="A1048" s="26" t="s">
        <v>216</v>
      </c>
      <c r="B1048" s="26" t="s">
        <v>2312</v>
      </c>
      <c r="C1048" s="26" t="s">
        <v>20</v>
      </c>
      <c r="D1048" s="28" t="s">
        <v>2313</v>
      </c>
      <c r="E1048" s="26">
        <v>13436</v>
      </c>
      <c r="F1048" s="29" t="s">
        <v>223</v>
      </c>
    </row>
    <row r="1049" spans="1:6" ht="58" x14ac:dyDescent="0.35">
      <c r="A1049" s="26" t="s">
        <v>216</v>
      </c>
      <c r="B1049" s="26" t="s">
        <v>2314</v>
      </c>
      <c r="C1049" s="26" t="s">
        <v>25</v>
      </c>
      <c r="D1049" s="28" t="s">
        <v>2315</v>
      </c>
      <c r="E1049" s="26">
        <v>0</v>
      </c>
      <c r="F1049" s="29" t="s">
        <v>226</v>
      </c>
    </row>
    <row r="1050" spans="1:6" ht="43.5" x14ac:dyDescent="0.35">
      <c r="A1050" s="26" t="s">
        <v>216</v>
      </c>
      <c r="B1050" s="26" t="s">
        <v>2316</v>
      </c>
      <c r="C1050" s="26" t="s">
        <v>27</v>
      </c>
      <c r="D1050" s="28" t="s">
        <v>2317</v>
      </c>
      <c r="E1050" s="26">
        <v>0</v>
      </c>
      <c r="F1050" s="29" t="s">
        <v>229</v>
      </c>
    </row>
    <row r="1051" spans="1:6" ht="29" x14ac:dyDescent="0.35">
      <c r="A1051" s="26" t="s">
        <v>216</v>
      </c>
      <c r="B1051" s="26" t="s">
        <v>2318</v>
      </c>
      <c r="C1051" s="26" t="s">
        <v>24</v>
      </c>
      <c r="D1051" s="28" t="s">
        <v>2319</v>
      </c>
      <c r="E1051" s="26">
        <v>0</v>
      </c>
      <c r="F1051" s="29" t="s">
        <v>232</v>
      </c>
    </row>
    <row r="1052" spans="1:6" ht="43.5" x14ac:dyDescent="0.35">
      <c r="A1052" s="26" t="s">
        <v>216</v>
      </c>
      <c r="B1052" s="26" t="s">
        <v>2320</v>
      </c>
      <c r="C1052" s="26" t="s">
        <v>15</v>
      </c>
      <c r="D1052" s="28" t="s">
        <v>218</v>
      </c>
      <c r="E1052" s="26" t="s">
        <v>2321</v>
      </c>
      <c r="F1052" s="29" t="s">
        <v>220</v>
      </c>
    </row>
    <row r="1053" spans="1:6" ht="29" x14ac:dyDescent="0.35">
      <c r="A1053" s="26" t="s">
        <v>216</v>
      </c>
      <c r="B1053" s="26" t="s">
        <v>2322</v>
      </c>
      <c r="C1053" s="26" t="s">
        <v>17</v>
      </c>
      <c r="D1053" s="28" t="s">
        <v>2323</v>
      </c>
      <c r="E1053" s="26">
        <v>13436</v>
      </c>
      <c r="F1053" s="29" t="s">
        <v>247</v>
      </c>
    </row>
    <row r="1054" spans="1:6" ht="29" x14ac:dyDescent="0.35">
      <c r="A1054" s="26" t="s">
        <v>216</v>
      </c>
      <c r="B1054" s="26" t="s">
        <v>2324</v>
      </c>
      <c r="C1054" s="26" t="s">
        <v>20</v>
      </c>
      <c r="D1054" s="28" t="s">
        <v>2325</v>
      </c>
      <c r="E1054" s="26">
        <v>13436</v>
      </c>
      <c r="F1054" s="29" t="s">
        <v>223</v>
      </c>
    </row>
    <row r="1055" spans="1:6" ht="58" x14ac:dyDescent="0.35">
      <c r="A1055" s="26" t="s">
        <v>216</v>
      </c>
      <c r="B1055" s="26" t="s">
        <v>2326</v>
      </c>
      <c r="C1055" s="26" t="s">
        <v>25</v>
      </c>
      <c r="D1055" s="28" t="s">
        <v>2327</v>
      </c>
      <c r="E1055" s="26">
        <v>0</v>
      </c>
      <c r="F1055" s="29" t="s">
        <v>226</v>
      </c>
    </row>
    <row r="1056" spans="1:6" ht="43.5" x14ac:dyDescent="0.35">
      <c r="A1056" s="26" t="s">
        <v>216</v>
      </c>
      <c r="B1056" s="26" t="s">
        <v>2328</v>
      </c>
      <c r="C1056" s="26" t="s">
        <v>27</v>
      </c>
      <c r="D1056" s="28" t="s">
        <v>2329</v>
      </c>
      <c r="E1056" s="26">
        <v>0</v>
      </c>
      <c r="F1056" s="29" t="s">
        <v>229</v>
      </c>
    </row>
    <row r="1057" spans="1:6" ht="29" x14ac:dyDescent="0.35">
      <c r="A1057" s="26" t="s">
        <v>216</v>
      </c>
      <c r="B1057" s="26" t="s">
        <v>2330</v>
      </c>
      <c r="C1057" s="26" t="s">
        <v>24</v>
      </c>
      <c r="D1057" s="28" t="s">
        <v>2331</v>
      </c>
      <c r="E1057" s="26">
        <v>0</v>
      </c>
      <c r="F1057" s="29" t="s">
        <v>232</v>
      </c>
    </row>
    <row r="1058" spans="1:6" ht="43.5" x14ac:dyDescent="0.35">
      <c r="A1058" s="26" t="s">
        <v>216</v>
      </c>
      <c r="B1058" s="26" t="s">
        <v>2332</v>
      </c>
      <c r="C1058" s="26" t="s">
        <v>15</v>
      </c>
      <c r="D1058" s="28" t="s">
        <v>218</v>
      </c>
      <c r="E1058" s="26" t="s">
        <v>2333</v>
      </c>
      <c r="F1058" s="29" t="s">
        <v>220</v>
      </c>
    </row>
    <row r="1059" spans="1:6" ht="29" x14ac:dyDescent="0.35">
      <c r="A1059" s="26" t="s">
        <v>216</v>
      </c>
      <c r="B1059" s="26" t="s">
        <v>2334</v>
      </c>
      <c r="C1059" s="26" t="s">
        <v>17</v>
      </c>
      <c r="D1059" s="28" t="s">
        <v>2335</v>
      </c>
      <c r="E1059" s="26">
        <v>13436</v>
      </c>
      <c r="F1059" s="29" t="s">
        <v>247</v>
      </c>
    </row>
    <row r="1060" spans="1:6" ht="29" x14ac:dyDescent="0.35">
      <c r="A1060" s="26" t="s">
        <v>216</v>
      </c>
      <c r="B1060" s="26" t="s">
        <v>2336</v>
      </c>
      <c r="C1060" s="26" t="s">
        <v>20</v>
      </c>
      <c r="D1060" s="28" t="s">
        <v>2337</v>
      </c>
      <c r="E1060" s="26">
        <v>13436</v>
      </c>
      <c r="F1060" s="29" t="s">
        <v>223</v>
      </c>
    </row>
    <row r="1061" spans="1:6" ht="58" x14ac:dyDescent="0.35">
      <c r="A1061" s="26" t="s">
        <v>216</v>
      </c>
      <c r="B1061" s="26" t="s">
        <v>2338</v>
      </c>
      <c r="C1061" s="26" t="s">
        <v>25</v>
      </c>
      <c r="D1061" s="28" t="s">
        <v>2339</v>
      </c>
      <c r="E1061" s="26">
        <v>0</v>
      </c>
      <c r="F1061" s="29" t="s">
        <v>226</v>
      </c>
    </row>
    <row r="1062" spans="1:6" ht="43.5" x14ac:dyDescent="0.35">
      <c r="A1062" s="26" t="s">
        <v>216</v>
      </c>
      <c r="B1062" s="26" t="s">
        <v>2340</v>
      </c>
      <c r="C1062" s="26" t="s">
        <v>27</v>
      </c>
      <c r="D1062" s="28" t="s">
        <v>2341</v>
      </c>
      <c r="E1062" s="26">
        <v>0</v>
      </c>
      <c r="F1062" s="29" t="s">
        <v>229</v>
      </c>
    </row>
    <row r="1063" spans="1:6" ht="29" x14ac:dyDescent="0.35">
      <c r="A1063" s="26" t="s">
        <v>216</v>
      </c>
      <c r="B1063" s="26" t="s">
        <v>2342</v>
      </c>
      <c r="C1063" s="26" t="s">
        <v>24</v>
      </c>
      <c r="D1063" s="28" t="s">
        <v>2343</v>
      </c>
      <c r="E1063" s="26">
        <v>0</v>
      </c>
      <c r="F1063" s="29" t="s">
        <v>232</v>
      </c>
    </row>
    <row r="1064" spans="1:6" ht="43.5" x14ac:dyDescent="0.35">
      <c r="A1064" s="26" t="s">
        <v>216</v>
      </c>
      <c r="B1064" s="26" t="s">
        <v>2344</v>
      </c>
      <c r="C1064" s="26" t="s">
        <v>15</v>
      </c>
      <c r="D1064" s="28" t="s">
        <v>218</v>
      </c>
      <c r="E1064" s="26" t="s">
        <v>2345</v>
      </c>
      <c r="F1064" s="29" t="s">
        <v>220</v>
      </c>
    </row>
    <row r="1065" spans="1:6" ht="29" x14ac:dyDescent="0.35">
      <c r="A1065" s="26" t="s">
        <v>216</v>
      </c>
      <c r="B1065" s="26" t="s">
        <v>2346</v>
      </c>
      <c r="C1065" s="26" t="s">
        <v>17</v>
      </c>
      <c r="D1065" s="28" t="s">
        <v>2347</v>
      </c>
      <c r="E1065" s="26">
        <v>13436</v>
      </c>
      <c r="F1065" s="29" t="s">
        <v>247</v>
      </c>
    </row>
    <row r="1066" spans="1:6" ht="29" x14ac:dyDescent="0.35">
      <c r="A1066" s="26" t="s">
        <v>216</v>
      </c>
      <c r="B1066" s="26" t="s">
        <v>2348</v>
      </c>
      <c r="C1066" s="26" t="s">
        <v>20</v>
      </c>
      <c r="D1066" s="28" t="s">
        <v>2349</v>
      </c>
      <c r="E1066" s="26">
        <v>13436</v>
      </c>
      <c r="F1066" s="29" t="s">
        <v>223</v>
      </c>
    </row>
    <row r="1067" spans="1:6" ht="58" x14ac:dyDescent="0.35">
      <c r="A1067" s="26" t="s">
        <v>216</v>
      </c>
      <c r="B1067" s="26" t="s">
        <v>2350</v>
      </c>
      <c r="C1067" s="26" t="s">
        <v>25</v>
      </c>
      <c r="D1067" s="28" t="s">
        <v>2351</v>
      </c>
      <c r="E1067" s="26">
        <v>0</v>
      </c>
      <c r="F1067" s="29" t="s">
        <v>226</v>
      </c>
    </row>
    <row r="1068" spans="1:6" ht="43.5" x14ac:dyDescent="0.35">
      <c r="A1068" s="26" t="s">
        <v>216</v>
      </c>
      <c r="B1068" s="26" t="s">
        <v>2352</v>
      </c>
      <c r="C1068" s="26" t="s">
        <v>27</v>
      </c>
      <c r="D1068" s="28" t="s">
        <v>2353</v>
      </c>
      <c r="E1068" s="26">
        <v>0</v>
      </c>
      <c r="F1068" s="29" t="s">
        <v>229</v>
      </c>
    </row>
    <row r="1069" spans="1:6" ht="29" x14ac:dyDescent="0.35">
      <c r="A1069" s="26" t="s">
        <v>216</v>
      </c>
      <c r="B1069" s="26" t="s">
        <v>2354</v>
      </c>
      <c r="C1069" s="26" t="s">
        <v>24</v>
      </c>
      <c r="D1069" s="28" t="s">
        <v>2355</v>
      </c>
      <c r="E1069" s="26">
        <v>0</v>
      </c>
      <c r="F1069" s="29" t="s">
        <v>232</v>
      </c>
    </row>
    <row r="1070" spans="1:6" ht="43.5" x14ac:dyDescent="0.35">
      <c r="A1070" s="26" t="s">
        <v>216</v>
      </c>
      <c r="B1070" s="26" t="s">
        <v>2356</v>
      </c>
      <c r="C1070" s="26" t="s">
        <v>15</v>
      </c>
      <c r="D1070" s="28" t="s">
        <v>218</v>
      </c>
      <c r="E1070" s="26" t="s">
        <v>2357</v>
      </c>
      <c r="F1070" s="29" t="s">
        <v>220</v>
      </c>
    </row>
    <row r="1071" spans="1:6" ht="29" x14ac:dyDescent="0.35">
      <c r="A1071" s="26" t="s">
        <v>216</v>
      </c>
      <c r="B1071" s="26" t="s">
        <v>2358</v>
      </c>
      <c r="C1071" s="26" t="s">
        <v>17</v>
      </c>
      <c r="D1071" s="28" t="s">
        <v>2359</v>
      </c>
      <c r="E1071" s="26">
        <v>13436</v>
      </c>
      <c r="F1071" s="29" t="s">
        <v>247</v>
      </c>
    </row>
    <row r="1072" spans="1:6" ht="29" x14ac:dyDescent="0.35">
      <c r="A1072" s="26" t="s">
        <v>216</v>
      </c>
      <c r="B1072" s="26" t="s">
        <v>2360</v>
      </c>
      <c r="C1072" s="26" t="s">
        <v>20</v>
      </c>
      <c r="D1072" s="28" t="s">
        <v>2361</v>
      </c>
      <c r="E1072" s="26">
        <v>13436</v>
      </c>
      <c r="F1072" s="29" t="s">
        <v>223</v>
      </c>
    </row>
    <row r="1073" spans="1:6" ht="58" x14ac:dyDescent="0.35">
      <c r="A1073" s="26" t="s">
        <v>216</v>
      </c>
      <c r="B1073" s="26" t="s">
        <v>2362</v>
      </c>
      <c r="C1073" s="26" t="s">
        <v>25</v>
      </c>
      <c r="D1073" s="28" t="s">
        <v>2363</v>
      </c>
      <c r="E1073" s="26">
        <v>0</v>
      </c>
      <c r="F1073" s="29" t="s">
        <v>226</v>
      </c>
    </row>
    <row r="1074" spans="1:6" ht="43.5" x14ac:dyDescent="0.35">
      <c r="A1074" s="26" t="s">
        <v>216</v>
      </c>
      <c r="B1074" s="26" t="s">
        <v>2364</v>
      </c>
      <c r="C1074" s="26" t="s">
        <v>27</v>
      </c>
      <c r="D1074" s="28" t="s">
        <v>2365</v>
      </c>
      <c r="E1074" s="26">
        <v>0</v>
      </c>
      <c r="F1074" s="29" t="s">
        <v>229</v>
      </c>
    </row>
    <row r="1075" spans="1:6" ht="29" x14ac:dyDescent="0.35">
      <c r="A1075" s="26" t="s">
        <v>216</v>
      </c>
      <c r="B1075" s="26" t="s">
        <v>2366</v>
      </c>
      <c r="C1075" s="26" t="s">
        <v>24</v>
      </c>
      <c r="D1075" s="28" t="s">
        <v>2367</v>
      </c>
      <c r="E1075" s="26">
        <v>0</v>
      </c>
      <c r="F1075" s="29" t="s">
        <v>232</v>
      </c>
    </row>
    <row r="1076" spans="1:6" ht="43.5" x14ac:dyDescent="0.35">
      <c r="A1076" s="26" t="s">
        <v>216</v>
      </c>
      <c r="B1076" s="26" t="s">
        <v>2368</v>
      </c>
      <c r="C1076" s="26" t="s">
        <v>15</v>
      </c>
      <c r="D1076" s="28" t="s">
        <v>218</v>
      </c>
      <c r="E1076" s="26" t="s">
        <v>2369</v>
      </c>
      <c r="F1076" s="29" t="s">
        <v>220</v>
      </c>
    </row>
    <row r="1077" spans="1:6" ht="29" x14ac:dyDescent="0.35">
      <c r="A1077" s="26" t="s">
        <v>216</v>
      </c>
      <c r="B1077" s="26" t="s">
        <v>2370</v>
      </c>
      <c r="C1077" s="26" t="s">
        <v>17</v>
      </c>
      <c r="D1077" s="28" t="s">
        <v>2371</v>
      </c>
      <c r="E1077" s="26">
        <v>13436</v>
      </c>
      <c r="F1077" s="29" t="s">
        <v>247</v>
      </c>
    </row>
    <row r="1078" spans="1:6" ht="29" x14ac:dyDescent="0.35">
      <c r="A1078" s="26" t="s">
        <v>216</v>
      </c>
      <c r="B1078" s="26" t="s">
        <v>2372</v>
      </c>
      <c r="C1078" s="26" t="s">
        <v>20</v>
      </c>
      <c r="D1078" s="28" t="s">
        <v>2373</v>
      </c>
      <c r="E1078" s="26">
        <v>13436</v>
      </c>
      <c r="F1078" s="29" t="s">
        <v>223</v>
      </c>
    </row>
    <row r="1079" spans="1:6" ht="58" x14ac:dyDescent="0.35">
      <c r="A1079" s="26" t="s">
        <v>216</v>
      </c>
      <c r="B1079" s="26" t="s">
        <v>2374</v>
      </c>
      <c r="C1079" s="26" t="s">
        <v>25</v>
      </c>
      <c r="D1079" s="28" t="s">
        <v>2375</v>
      </c>
      <c r="E1079" s="26">
        <v>0</v>
      </c>
      <c r="F1079" s="29" t="s">
        <v>226</v>
      </c>
    </row>
    <row r="1080" spans="1:6" ht="43.5" x14ac:dyDescent="0.35">
      <c r="A1080" s="26" t="s">
        <v>216</v>
      </c>
      <c r="B1080" s="26" t="s">
        <v>2376</v>
      </c>
      <c r="C1080" s="26" t="s">
        <v>27</v>
      </c>
      <c r="D1080" s="28" t="s">
        <v>2377</v>
      </c>
      <c r="E1080" s="26">
        <v>0</v>
      </c>
      <c r="F1080" s="29" t="s">
        <v>229</v>
      </c>
    </row>
    <row r="1081" spans="1:6" ht="29" x14ac:dyDescent="0.35">
      <c r="A1081" s="26" t="s">
        <v>216</v>
      </c>
      <c r="B1081" s="26" t="s">
        <v>2378</v>
      </c>
      <c r="C1081" s="26" t="s">
        <v>24</v>
      </c>
      <c r="D1081" s="28" t="s">
        <v>2379</v>
      </c>
      <c r="E1081" s="26">
        <v>0</v>
      </c>
      <c r="F1081" s="29" t="s">
        <v>232</v>
      </c>
    </row>
    <row r="1082" spans="1:6" ht="43.5" x14ac:dyDescent="0.35">
      <c r="A1082" s="26" t="s">
        <v>216</v>
      </c>
      <c r="B1082" s="26" t="s">
        <v>2380</v>
      </c>
      <c r="C1082" s="26" t="s">
        <v>15</v>
      </c>
      <c r="D1082" s="28" t="s">
        <v>218</v>
      </c>
      <c r="E1082" s="26" t="s">
        <v>2381</v>
      </c>
      <c r="F1082" s="29" t="s">
        <v>220</v>
      </c>
    </row>
    <row r="1083" spans="1:6" ht="29" x14ac:dyDescent="0.35">
      <c r="A1083" s="26" t="s">
        <v>216</v>
      </c>
      <c r="B1083" s="26" t="s">
        <v>2382</v>
      </c>
      <c r="C1083" s="26" t="s">
        <v>17</v>
      </c>
      <c r="D1083" s="28" t="s">
        <v>2383</v>
      </c>
      <c r="E1083" s="26">
        <v>13436</v>
      </c>
      <c r="F1083" s="29" t="s">
        <v>247</v>
      </c>
    </row>
    <row r="1084" spans="1:6" ht="29" x14ac:dyDescent="0.35">
      <c r="A1084" s="26" t="s">
        <v>216</v>
      </c>
      <c r="B1084" s="26" t="s">
        <v>2384</v>
      </c>
      <c r="C1084" s="26" t="s">
        <v>20</v>
      </c>
      <c r="D1084" s="28" t="s">
        <v>2385</v>
      </c>
      <c r="E1084" s="26">
        <v>13436</v>
      </c>
      <c r="F1084" s="29" t="s">
        <v>223</v>
      </c>
    </row>
    <row r="1085" spans="1:6" ht="58" x14ac:dyDescent="0.35">
      <c r="A1085" s="26" t="s">
        <v>216</v>
      </c>
      <c r="B1085" s="26" t="s">
        <v>2386</v>
      </c>
      <c r="C1085" s="26" t="s">
        <v>25</v>
      </c>
      <c r="D1085" s="28" t="s">
        <v>2387</v>
      </c>
      <c r="E1085" s="26">
        <v>0</v>
      </c>
      <c r="F1085" s="29" t="s">
        <v>226</v>
      </c>
    </row>
    <row r="1086" spans="1:6" ht="43.5" x14ac:dyDescent="0.35">
      <c r="A1086" s="26" t="s">
        <v>216</v>
      </c>
      <c r="B1086" s="26" t="s">
        <v>2388</v>
      </c>
      <c r="C1086" s="26" t="s">
        <v>27</v>
      </c>
      <c r="D1086" s="28" t="s">
        <v>2389</v>
      </c>
      <c r="E1086" s="26">
        <v>0</v>
      </c>
      <c r="F1086" s="29" t="s">
        <v>229</v>
      </c>
    </row>
    <row r="1087" spans="1:6" ht="29" x14ac:dyDescent="0.35">
      <c r="A1087" s="26" t="s">
        <v>216</v>
      </c>
      <c r="B1087" s="26" t="s">
        <v>2390</v>
      </c>
      <c r="C1087" s="26" t="s">
        <v>24</v>
      </c>
      <c r="D1087" s="28" t="s">
        <v>2391</v>
      </c>
      <c r="E1087" s="26">
        <v>0</v>
      </c>
      <c r="F1087" s="29" t="s">
        <v>232</v>
      </c>
    </row>
    <row r="1088" spans="1:6" ht="43.5" x14ac:dyDescent="0.35">
      <c r="A1088" s="26" t="s">
        <v>216</v>
      </c>
      <c r="B1088" s="26" t="s">
        <v>2392</v>
      </c>
      <c r="C1088" s="26" t="s">
        <v>15</v>
      </c>
      <c r="D1088" s="28" t="s">
        <v>218</v>
      </c>
      <c r="E1088" s="26" t="s">
        <v>2393</v>
      </c>
      <c r="F1088" s="29" t="s">
        <v>220</v>
      </c>
    </row>
    <row r="1089" spans="1:6" ht="29" x14ac:dyDescent="0.35">
      <c r="A1089" s="26" t="s">
        <v>216</v>
      </c>
      <c r="B1089" s="26" t="s">
        <v>2394</v>
      </c>
      <c r="C1089" s="26" t="s">
        <v>17</v>
      </c>
      <c r="D1089" s="28" t="s">
        <v>2395</v>
      </c>
      <c r="E1089" s="26">
        <v>13436</v>
      </c>
      <c r="F1089" s="29" t="s">
        <v>247</v>
      </c>
    </row>
    <row r="1090" spans="1:6" ht="29" x14ac:dyDescent="0.35">
      <c r="A1090" s="26" t="s">
        <v>216</v>
      </c>
      <c r="B1090" s="26" t="s">
        <v>2396</v>
      </c>
      <c r="C1090" s="26" t="s">
        <v>20</v>
      </c>
      <c r="D1090" s="28" t="s">
        <v>2397</v>
      </c>
      <c r="E1090" s="26">
        <v>13436</v>
      </c>
      <c r="F1090" s="29" t="s">
        <v>223</v>
      </c>
    </row>
    <row r="1091" spans="1:6" ht="58" x14ac:dyDescent="0.35">
      <c r="A1091" s="26" t="s">
        <v>216</v>
      </c>
      <c r="B1091" s="26" t="s">
        <v>2398</v>
      </c>
      <c r="C1091" s="26" t="s">
        <v>25</v>
      </c>
      <c r="D1091" s="28" t="s">
        <v>2399</v>
      </c>
      <c r="E1091" s="26">
        <v>0</v>
      </c>
      <c r="F1091" s="29" t="s">
        <v>226</v>
      </c>
    </row>
    <row r="1092" spans="1:6" ht="43.5" x14ac:dyDescent="0.35">
      <c r="A1092" s="26" t="s">
        <v>216</v>
      </c>
      <c r="B1092" s="26" t="s">
        <v>2400</v>
      </c>
      <c r="C1092" s="26" t="s">
        <v>27</v>
      </c>
      <c r="D1092" s="28" t="s">
        <v>2401</v>
      </c>
      <c r="E1092" s="26">
        <v>0</v>
      </c>
      <c r="F1092" s="29" t="s">
        <v>229</v>
      </c>
    </row>
    <row r="1093" spans="1:6" ht="29" x14ac:dyDescent="0.35">
      <c r="A1093" s="26" t="s">
        <v>216</v>
      </c>
      <c r="B1093" s="26" t="s">
        <v>2402</v>
      </c>
      <c r="C1093" s="26" t="s">
        <v>24</v>
      </c>
      <c r="D1093" s="28" t="s">
        <v>2403</v>
      </c>
      <c r="E1093" s="26">
        <v>0</v>
      </c>
      <c r="F1093" s="29" t="s">
        <v>232</v>
      </c>
    </row>
    <row r="1094" spans="1:6" ht="43.5" x14ac:dyDescent="0.35">
      <c r="A1094" s="26" t="s">
        <v>216</v>
      </c>
      <c r="B1094" s="26" t="s">
        <v>2404</v>
      </c>
      <c r="C1094" s="26" t="s">
        <v>15</v>
      </c>
      <c r="D1094" s="28" t="s">
        <v>218</v>
      </c>
      <c r="E1094" s="26" t="s">
        <v>2405</v>
      </c>
      <c r="F1094" s="29" t="s">
        <v>220</v>
      </c>
    </row>
    <row r="1095" spans="1:6" ht="29" x14ac:dyDescent="0.35">
      <c r="A1095" s="26" t="s">
        <v>216</v>
      </c>
      <c r="B1095" s="26" t="s">
        <v>2406</v>
      </c>
      <c r="C1095" s="26" t="s">
        <v>17</v>
      </c>
      <c r="D1095" s="28" t="s">
        <v>2407</v>
      </c>
      <c r="E1095" s="26">
        <v>13436</v>
      </c>
      <c r="F1095" s="29" t="s">
        <v>247</v>
      </c>
    </row>
    <row r="1096" spans="1:6" ht="29" x14ac:dyDescent="0.35">
      <c r="A1096" s="26" t="s">
        <v>216</v>
      </c>
      <c r="B1096" s="26" t="s">
        <v>2408</v>
      </c>
      <c r="C1096" s="26" t="s">
        <v>20</v>
      </c>
      <c r="D1096" s="28" t="s">
        <v>2409</v>
      </c>
      <c r="E1096" s="26">
        <v>13436</v>
      </c>
      <c r="F1096" s="29" t="s">
        <v>223</v>
      </c>
    </row>
    <row r="1097" spans="1:6" ht="58" x14ac:dyDescent="0.35">
      <c r="A1097" s="26" t="s">
        <v>216</v>
      </c>
      <c r="B1097" s="26" t="s">
        <v>2410</v>
      </c>
      <c r="C1097" s="26" t="s">
        <v>25</v>
      </c>
      <c r="D1097" s="28" t="s">
        <v>2411</v>
      </c>
      <c r="E1097" s="26">
        <v>0</v>
      </c>
      <c r="F1097" s="29" t="s">
        <v>226</v>
      </c>
    </row>
    <row r="1098" spans="1:6" ht="43.5" x14ac:dyDescent="0.35">
      <c r="A1098" s="26" t="s">
        <v>216</v>
      </c>
      <c r="B1098" s="26" t="s">
        <v>2412</v>
      </c>
      <c r="C1098" s="26" t="s">
        <v>27</v>
      </c>
      <c r="D1098" s="28" t="s">
        <v>2413</v>
      </c>
      <c r="E1098" s="26">
        <v>0</v>
      </c>
      <c r="F1098" s="29" t="s">
        <v>229</v>
      </c>
    </row>
    <row r="1099" spans="1:6" ht="29" x14ac:dyDescent="0.35">
      <c r="A1099" s="26" t="s">
        <v>216</v>
      </c>
      <c r="B1099" s="26" t="s">
        <v>2414</v>
      </c>
      <c r="C1099" s="26" t="s">
        <v>24</v>
      </c>
      <c r="D1099" s="28" t="s">
        <v>2415</v>
      </c>
      <c r="E1099" s="26">
        <v>0</v>
      </c>
      <c r="F1099" s="29" t="s">
        <v>232</v>
      </c>
    </row>
    <row r="1100" spans="1:6" ht="43.5" x14ac:dyDescent="0.35">
      <c r="A1100" s="26" t="s">
        <v>216</v>
      </c>
      <c r="B1100" s="26" t="s">
        <v>2416</v>
      </c>
      <c r="C1100" s="26" t="s">
        <v>15</v>
      </c>
      <c r="D1100" s="28" t="s">
        <v>218</v>
      </c>
      <c r="E1100" s="26" t="s">
        <v>2417</v>
      </c>
      <c r="F1100" s="29" t="s">
        <v>220</v>
      </c>
    </row>
    <row r="1101" spans="1:6" ht="29" x14ac:dyDescent="0.35">
      <c r="A1101" s="26" t="s">
        <v>216</v>
      </c>
      <c r="B1101" s="26" t="s">
        <v>2418</v>
      </c>
      <c r="C1101" s="26" t="s">
        <v>17</v>
      </c>
      <c r="D1101" s="28" t="s">
        <v>2419</v>
      </c>
      <c r="E1101" s="26">
        <v>13436</v>
      </c>
      <c r="F1101" s="29" t="s">
        <v>247</v>
      </c>
    </row>
    <row r="1102" spans="1:6" ht="29" x14ac:dyDescent="0.35">
      <c r="A1102" s="26" t="s">
        <v>216</v>
      </c>
      <c r="B1102" s="26" t="s">
        <v>2420</v>
      </c>
      <c r="C1102" s="26" t="s">
        <v>20</v>
      </c>
      <c r="D1102" s="28" t="s">
        <v>2421</v>
      </c>
      <c r="E1102" s="26">
        <v>13436</v>
      </c>
      <c r="F1102" s="29" t="s">
        <v>223</v>
      </c>
    </row>
    <row r="1103" spans="1:6" ht="58" x14ac:dyDescent="0.35">
      <c r="A1103" s="26" t="s">
        <v>216</v>
      </c>
      <c r="B1103" s="26" t="s">
        <v>2422</v>
      </c>
      <c r="C1103" s="26" t="s">
        <v>25</v>
      </c>
      <c r="D1103" s="28" t="s">
        <v>2423</v>
      </c>
      <c r="E1103" s="26">
        <v>0</v>
      </c>
      <c r="F1103" s="29" t="s">
        <v>226</v>
      </c>
    </row>
    <row r="1104" spans="1:6" ht="43.5" x14ac:dyDescent="0.35">
      <c r="A1104" s="26" t="s">
        <v>216</v>
      </c>
      <c r="B1104" s="26" t="s">
        <v>2424</v>
      </c>
      <c r="C1104" s="26" t="s">
        <v>27</v>
      </c>
      <c r="D1104" s="28" t="s">
        <v>2425</v>
      </c>
      <c r="E1104" s="26">
        <v>0</v>
      </c>
      <c r="F1104" s="29" t="s">
        <v>229</v>
      </c>
    </row>
    <row r="1105" spans="1:6" ht="29" x14ac:dyDescent="0.35">
      <c r="A1105" s="26" t="s">
        <v>216</v>
      </c>
      <c r="B1105" s="26" t="s">
        <v>2426</v>
      </c>
      <c r="C1105" s="26" t="s">
        <v>24</v>
      </c>
      <c r="D1105" s="28" t="s">
        <v>2427</v>
      </c>
      <c r="E1105" s="26">
        <v>0</v>
      </c>
      <c r="F1105" s="29" t="s">
        <v>232</v>
      </c>
    </row>
    <row r="1106" spans="1:6" ht="43.5" x14ac:dyDescent="0.35">
      <c r="A1106" s="26" t="s">
        <v>216</v>
      </c>
      <c r="B1106" s="26" t="s">
        <v>2428</v>
      </c>
      <c r="C1106" s="26" t="s">
        <v>15</v>
      </c>
      <c r="D1106" s="28" t="s">
        <v>218</v>
      </c>
      <c r="E1106" s="26" t="s">
        <v>2429</v>
      </c>
      <c r="F1106" s="29" t="s">
        <v>220</v>
      </c>
    </row>
    <row r="1107" spans="1:6" ht="29" x14ac:dyDescent="0.35">
      <c r="A1107" s="26" t="s">
        <v>216</v>
      </c>
      <c r="B1107" s="26" t="s">
        <v>2430</v>
      </c>
      <c r="C1107" s="26" t="s">
        <v>17</v>
      </c>
      <c r="D1107" s="28" t="s">
        <v>2431</v>
      </c>
      <c r="E1107" s="26">
        <v>13436</v>
      </c>
      <c r="F1107" s="29" t="s">
        <v>247</v>
      </c>
    </row>
    <row r="1108" spans="1:6" ht="29" x14ac:dyDescent="0.35">
      <c r="A1108" s="26" t="s">
        <v>216</v>
      </c>
      <c r="B1108" s="26" t="s">
        <v>2432</v>
      </c>
      <c r="C1108" s="26" t="s">
        <v>20</v>
      </c>
      <c r="D1108" s="28" t="s">
        <v>2433</v>
      </c>
      <c r="E1108" s="26">
        <v>13436</v>
      </c>
      <c r="F1108" s="29" t="s">
        <v>223</v>
      </c>
    </row>
    <row r="1109" spans="1:6" ht="58" x14ac:dyDescent="0.35">
      <c r="A1109" s="26" t="s">
        <v>216</v>
      </c>
      <c r="B1109" s="26" t="s">
        <v>2434</v>
      </c>
      <c r="C1109" s="26" t="s">
        <v>25</v>
      </c>
      <c r="D1109" s="28" t="s">
        <v>2435</v>
      </c>
      <c r="E1109" s="26">
        <v>0</v>
      </c>
      <c r="F1109" s="29" t="s">
        <v>226</v>
      </c>
    </row>
    <row r="1110" spans="1:6" ht="43.5" x14ac:dyDescent="0.35">
      <c r="A1110" s="26" t="s">
        <v>216</v>
      </c>
      <c r="B1110" s="26" t="s">
        <v>2436</v>
      </c>
      <c r="C1110" s="26" t="s">
        <v>27</v>
      </c>
      <c r="D1110" s="28" t="s">
        <v>2437</v>
      </c>
      <c r="E1110" s="26">
        <v>0</v>
      </c>
      <c r="F1110" s="29" t="s">
        <v>229</v>
      </c>
    </row>
    <row r="1111" spans="1:6" ht="29" x14ac:dyDescent="0.35">
      <c r="A1111" s="26" t="s">
        <v>216</v>
      </c>
      <c r="B1111" s="26" t="s">
        <v>2438</v>
      </c>
      <c r="C1111" s="26" t="s">
        <v>24</v>
      </c>
      <c r="D1111" s="28" t="s">
        <v>2439</v>
      </c>
      <c r="E1111" s="26">
        <v>0</v>
      </c>
      <c r="F1111" s="29" t="s">
        <v>232</v>
      </c>
    </row>
    <row r="1112" spans="1:6" ht="43.5" x14ac:dyDescent="0.35">
      <c r="A1112" s="26" t="s">
        <v>216</v>
      </c>
      <c r="B1112" s="26" t="s">
        <v>2440</v>
      </c>
      <c r="C1112" s="26" t="s">
        <v>15</v>
      </c>
      <c r="D1112" s="28" t="s">
        <v>218</v>
      </c>
      <c r="E1112" s="26" t="s">
        <v>2441</v>
      </c>
      <c r="F1112" s="29" t="s">
        <v>220</v>
      </c>
    </row>
    <row r="1113" spans="1:6" ht="29" x14ac:dyDescent="0.35">
      <c r="A1113" s="26" t="s">
        <v>216</v>
      </c>
      <c r="B1113" s="26" t="s">
        <v>2442</v>
      </c>
      <c r="C1113" s="26" t="s">
        <v>17</v>
      </c>
      <c r="D1113" s="28" t="s">
        <v>2443</v>
      </c>
      <c r="E1113" s="26">
        <v>13436</v>
      </c>
      <c r="F1113" s="29" t="s">
        <v>247</v>
      </c>
    </row>
    <row r="1114" spans="1:6" ht="29" x14ac:dyDescent="0.35">
      <c r="A1114" s="26" t="s">
        <v>216</v>
      </c>
      <c r="B1114" s="26" t="s">
        <v>2444</v>
      </c>
      <c r="C1114" s="26" t="s">
        <v>20</v>
      </c>
      <c r="D1114" s="28" t="s">
        <v>2445</v>
      </c>
      <c r="E1114" s="26">
        <v>13436</v>
      </c>
      <c r="F1114" s="29" t="s">
        <v>223</v>
      </c>
    </row>
    <row r="1115" spans="1:6" ht="58" x14ac:dyDescent="0.35">
      <c r="A1115" s="26" t="s">
        <v>216</v>
      </c>
      <c r="B1115" s="26" t="s">
        <v>2446</v>
      </c>
      <c r="C1115" s="26" t="s">
        <v>25</v>
      </c>
      <c r="D1115" s="28" t="s">
        <v>2447</v>
      </c>
      <c r="E1115" s="26">
        <v>0</v>
      </c>
      <c r="F1115" s="29" t="s">
        <v>226</v>
      </c>
    </row>
    <row r="1116" spans="1:6" ht="43.5" x14ac:dyDescent="0.35">
      <c r="A1116" s="26" t="s">
        <v>216</v>
      </c>
      <c r="B1116" s="26" t="s">
        <v>2448</v>
      </c>
      <c r="C1116" s="26" t="s">
        <v>27</v>
      </c>
      <c r="D1116" s="28" t="s">
        <v>2449</v>
      </c>
      <c r="E1116" s="26">
        <v>0</v>
      </c>
      <c r="F1116" s="29" t="s">
        <v>229</v>
      </c>
    </row>
    <row r="1117" spans="1:6" ht="29" x14ac:dyDescent="0.35">
      <c r="A1117" s="26" t="s">
        <v>216</v>
      </c>
      <c r="B1117" s="26" t="s">
        <v>2450</v>
      </c>
      <c r="C1117" s="26" t="s">
        <v>24</v>
      </c>
      <c r="D1117" s="28" t="s">
        <v>2451</v>
      </c>
      <c r="E1117" s="26">
        <v>0</v>
      </c>
      <c r="F1117" s="29" t="s">
        <v>232</v>
      </c>
    </row>
    <row r="1118" spans="1:6" ht="43.5" x14ac:dyDescent="0.35">
      <c r="A1118" s="26" t="s">
        <v>216</v>
      </c>
      <c r="B1118" s="26" t="s">
        <v>2452</v>
      </c>
      <c r="C1118" s="26" t="s">
        <v>15</v>
      </c>
      <c r="D1118" s="28" t="s">
        <v>218</v>
      </c>
      <c r="E1118" s="26" t="s">
        <v>2453</v>
      </c>
      <c r="F1118" s="29" t="s">
        <v>220</v>
      </c>
    </row>
    <row r="1119" spans="1:6" ht="29" x14ac:dyDescent="0.35">
      <c r="A1119" s="26" t="s">
        <v>216</v>
      </c>
      <c r="B1119" s="26" t="s">
        <v>2454</v>
      </c>
      <c r="C1119" s="26" t="s">
        <v>17</v>
      </c>
      <c r="D1119" s="28" t="s">
        <v>2455</v>
      </c>
      <c r="E1119" s="26">
        <v>13436</v>
      </c>
      <c r="F1119" s="29" t="s">
        <v>247</v>
      </c>
    </row>
    <row r="1120" spans="1:6" ht="29" x14ac:dyDescent="0.35">
      <c r="A1120" s="26" t="s">
        <v>216</v>
      </c>
      <c r="B1120" s="26" t="s">
        <v>2456</v>
      </c>
      <c r="C1120" s="26" t="s">
        <v>20</v>
      </c>
      <c r="D1120" s="28" t="s">
        <v>2457</v>
      </c>
      <c r="E1120" s="26">
        <v>13436</v>
      </c>
      <c r="F1120" s="29" t="s">
        <v>223</v>
      </c>
    </row>
    <row r="1121" spans="1:6" ht="58" x14ac:dyDescent="0.35">
      <c r="A1121" s="26" t="s">
        <v>216</v>
      </c>
      <c r="B1121" s="26" t="s">
        <v>2458</v>
      </c>
      <c r="C1121" s="26" t="s">
        <v>25</v>
      </c>
      <c r="D1121" s="28" t="s">
        <v>2459</v>
      </c>
      <c r="E1121" s="26">
        <v>0</v>
      </c>
      <c r="F1121" s="29" t="s">
        <v>226</v>
      </c>
    </row>
    <row r="1122" spans="1:6" ht="43.5" x14ac:dyDescent="0.35">
      <c r="A1122" s="26" t="s">
        <v>216</v>
      </c>
      <c r="B1122" s="26" t="s">
        <v>2460</v>
      </c>
      <c r="C1122" s="26" t="s">
        <v>27</v>
      </c>
      <c r="D1122" s="28" t="s">
        <v>2461</v>
      </c>
      <c r="E1122" s="26">
        <v>0</v>
      </c>
      <c r="F1122" s="29" t="s">
        <v>229</v>
      </c>
    </row>
    <row r="1123" spans="1:6" ht="29" x14ac:dyDescent="0.35">
      <c r="A1123" s="26" t="s">
        <v>216</v>
      </c>
      <c r="B1123" s="26" t="s">
        <v>2462</v>
      </c>
      <c r="C1123" s="26" t="s">
        <v>24</v>
      </c>
      <c r="D1123" s="28" t="s">
        <v>2463</v>
      </c>
      <c r="E1123" s="26">
        <v>0</v>
      </c>
      <c r="F1123" s="29" t="s">
        <v>232</v>
      </c>
    </row>
    <row r="1124" spans="1:6" ht="43.5" x14ac:dyDescent="0.35">
      <c r="A1124" s="26" t="s">
        <v>216</v>
      </c>
      <c r="B1124" s="26" t="s">
        <v>2464</v>
      </c>
      <c r="C1124" s="26" t="s">
        <v>15</v>
      </c>
      <c r="D1124" s="28" t="s">
        <v>218</v>
      </c>
      <c r="E1124" s="26" t="s">
        <v>2465</v>
      </c>
      <c r="F1124" s="29" t="s">
        <v>220</v>
      </c>
    </row>
    <row r="1125" spans="1:6" ht="29" x14ac:dyDescent="0.35">
      <c r="A1125" s="26" t="s">
        <v>216</v>
      </c>
      <c r="B1125" s="26" t="s">
        <v>2466</v>
      </c>
      <c r="C1125" s="26" t="s">
        <v>17</v>
      </c>
      <c r="D1125" s="28" t="s">
        <v>2467</v>
      </c>
      <c r="E1125" s="26">
        <v>13436</v>
      </c>
      <c r="F1125" s="29" t="s">
        <v>247</v>
      </c>
    </row>
    <row r="1126" spans="1:6" ht="29" x14ac:dyDescent="0.35">
      <c r="A1126" s="26" t="s">
        <v>216</v>
      </c>
      <c r="B1126" s="26" t="s">
        <v>2468</v>
      </c>
      <c r="C1126" s="26" t="s">
        <v>20</v>
      </c>
      <c r="D1126" s="28" t="s">
        <v>2469</v>
      </c>
      <c r="E1126" s="26">
        <v>13436</v>
      </c>
      <c r="F1126" s="29" t="s">
        <v>223</v>
      </c>
    </row>
    <row r="1127" spans="1:6" ht="58" x14ac:dyDescent="0.35">
      <c r="A1127" s="26" t="s">
        <v>216</v>
      </c>
      <c r="B1127" s="26" t="s">
        <v>2470</v>
      </c>
      <c r="C1127" s="26" t="s">
        <v>25</v>
      </c>
      <c r="D1127" s="28" t="s">
        <v>2471</v>
      </c>
      <c r="E1127" s="26">
        <v>0</v>
      </c>
      <c r="F1127" s="29" t="s">
        <v>226</v>
      </c>
    </row>
    <row r="1128" spans="1:6" ht="43.5" x14ac:dyDescent="0.35">
      <c r="A1128" s="26" t="s">
        <v>216</v>
      </c>
      <c r="B1128" s="26" t="s">
        <v>2472</v>
      </c>
      <c r="C1128" s="26" t="s">
        <v>27</v>
      </c>
      <c r="D1128" s="28" t="s">
        <v>2473</v>
      </c>
      <c r="E1128" s="26">
        <v>0</v>
      </c>
      <c r="F1128" s="29" t="s">
        <v>229</v>
      </c>
    </row>
    <row r="1129" spans="1:6" ht="29" x14ac:dyDescent="0.35">
      <c r="A1129" s="26" t="s">
        <v>216</v>
      </c>
      <c r="B1129" s="26" t="s">
        <v>2474</v>
      </c>
      <c r="C1129" s="26" t="s">
        <v>24</v>
      </c>
      <c r="D1129" s="28" t="s">
        <v>2475</v>
      </c>
      <c r="E1129" s="26">
        <v>0</v>
      </c>
      <c r="F1129" s="29" t="s">
        <v>232</v>
      </c>
    </row>
    <row r="1130" spans="1:6" ht="43.5" x14ac:dyDescent="0.35">
      <c r="A1130" s="26" t="s">
        <v>216</v>
      </c>
      <c r="B1130" s="26" t="s">
        <v>2476</v>
      </c>
      <c r="C1130" s="26" t="s">
        <v>15</v>
      </c>
      <c r="D1130" s="28" t="s">
        <v>218</v>
      </c>
      <c r="E1130" s="26" t="s">
        <v>2477</v>
      </c>
      <c r="F1130" s="29" t="s">
        <v>220</v>
      </c>
    </row>
    <row r="1131" spans="1:6" ht="29" x14ac:dyDescent="0.35">
      <c r="A1131" s="26" t="s">
        <v>216</v>
      </c>
      <c r="B1131" s="26" t="s">
        <v>2478</v>
      </c>
      <c r="C1131" s="26" t="s">
        <v>17</v>
      </c>
      <c r="D1131" s="28" t="s">
        <v>2479</v>
      </c>
      <c r="E1131" s="26">
        <v>13436</v>
      </c>
      <c r="F1131" s="29" t="s">
        <v>247</v>
      </c>
    </row>
    <row r="1132" spans="1:6" ht="29" x14ac:dyDescent="0.35">
      <c r="A1132" s="26" t="s">
        <v>216</v>
      </c>
      <c r="B1132" s="26" t="s">
        <v>2480</v>
      </c>
      <c r="C1132" s="26" t="s">
        <v>20</v>
      </c>
      <c r="D1132" s="28" t="s">
        <v>2481</v>
      </c>
      <c r="E1132" s="26">
        <v>13436</v>
      </c>
      <c r="F1132" s="29" t="s">
        <v>223</v>
      </c>
    </row>
    <row r="1133" spans="1:6" ht="58" x14ac:dyDescent="0.35">
      <c r="A1133" s="26" t="s">
        <v>216</v>
      </c>
      <c r="B1133" s="26" t="s">
        <v>2482</v>
      </c>
      <c r="C1133" s="26" t="s">
        <v>25</v>
      </c>
      <c r="D1133" s="28" t="s">
        <v>2483</v>
      </c>
      <c r="E1133" s="26">
        <v>0</v>
      </c>
      <c r="F1133" s="29" t="s">
        <v>226</v>
      </c>
    </row>
    <row r="1134" spans="1:6" ht="43.5" x14ac:dyDescent="0.35">
      <c r="A1134" s="26" t="s">
        <v>216</v>
      </c>
      <c r="B1134" s="26" t="s">
        <v>2484</v>
      </c>
      <c r="C1134" s="26" t="s">
        <v>27</v>
      </c>
      <c r="D1134" s="28" t="s">
        <v>2485</v>
      </c>
      <c r="E1134" s="26">
        <v>0</v>
      </c>
      <c r="F1134" s="29" t="s">
        <v>229</v>
      </c>
    </row>
    <row r="1135" spans="1:6" ht="29" x14ac:dyDescent="0.35">
      <c r="A1135" s="26" t="s">
        <v>216</v>
      </c>
      <c r="B1135" s="26" t="s">
        <v>2486</v>
      </c>
      <c r="C1135" s="26" t="s">
        <v>24</v>
      </c>
      <c r="D1135" s="28" t="s">
        <v>2487</v>
      </c>
      <c r="E1135" s="26">
        <v>0</v>
      </c>
      <c r="F1135" s="29" t="s">
        <v>232</v>
      </c>
    </row>
    <row r="1136" spans="1:6" ht="43.5" x14ac:dyDescent="0.35">
      <c r="A1136" s="26" t="s">
        <v>216</v>
      </c>
      <c r="B1136" s="26" t="s">
        <v>2488</v>
      </c>
      <c r="C1136" s="26" t="s">
        <v>15</v>
      </c>
      <c r="D1136" s="28" t="s">
        <v>218</v>
      </c>
      <c r="E1136" s="26" t="s">
        <v>2489</v>
      </c>
      <c r="F1136" s="29" t="s">
        <v>220</v>
      </c>
    </row>
    <row r="1137" spans="1:6" ht="29" x14ac:dyDescent="0.35">
      <c r="A1137" s="26" t="s">
        <v>216</v>
      </c>
      <c r="B1137" s="26" t="s">
        <v>2490</v>
      </c>
      <c r="C1137" s="26" t="s">
        <v>17</v>
      </c>
      <c r="D1137" s="28" t="s">
        <v>2491</v>
      </c>
      <c r="E1137" s="26">
        <v>13436</v>
      </c>
      <c r="F1137" s="29" t="s">
        <v>247</v>
      </c>
    </row>
    <row r="1138" spans="1:6" ht="29" x14ac:dyDescent="0.35">
      <c r="A1138" s="26" t="s">
        <v>216</v>
      </c>
      <c r="B1138" s="26" t="s">
        <v>2492</v>
      </c>
      <c r="C1138" s="26" t="s">
        <v>20</v>
      </c>
      <c r="D1138" s="28" t="s">
        <v>2493</v>
      </c>
      <c r="E1138" s="26">
        <v>13436</v>
      </c>
      <c r="F1138" s="29" t="s">
        <v>223</v>
      </c>
    </row>
    <row r="1139" spans="1:6" ht="58" x14ac:dyDescent="0.35">
      <c r="A1139" s="26" t="s">
        <v>216</v>
      </c>
      <c r="B1139" s="26" t="s">
        <v>2494</v>
      </c>
      <c r="C1139" s="26" t="s">
        <v>25</v>
      </c>
      <c r="D1139" s="28" t="s">
        <v>2495</v>
      </c>
      <c r="E1139" s="26">
        <v>0</v>
      </c>
      <c r="F1139" s="29" t="s">
        <v>226</v>
      </c>
    </row>
    <row r="1140" spans="1:6" ht="43.5" x14ac:dyDescent="0.35">
      <c r="A1140" s="26" t="s">
        <v>216</v>
      </c>
      <c r="B1140" s="26" t="s">
        <v>2496</v>
      </c>
      <c r="C1140" s="26" t="s">
        <v>27</v>
      </c>
      <c r="D1140" s="28" t="s">
        <v>2497</v>
      </c>
      <c r="E1140" s="26">
        <v>0</v>
      </c>
      <c r="F1140" s="29" t="s">
        <v>229</v>
      </c>
    </row>
    <row r="1141" spans="1:6" ht="29" x14ac:dyDescent="0.35">
      <c r="A1141" s="26" t="s">
        <v>216</v>
      </c>
      <c r="B1141" s="26" t="s">
        <v>2498</v>
      </c>
      <c r="C1141" s="26" t="s">
        <v>24</v>
      </c>
      <c r="D1141" s="28" t="s">
        <v>2499</v>
      </c>
      <c r="E1141" s="26">
        <v>0</v>
      </c>
      <c r="F1141" s="29" t="s">
        <v>232</v>
      </c>
    </row>
    <row r="1142" spans="1:6" ht="43.5" x14ac:dyDescent="0.35">
      <c r="A1142" s="26" t="s">
        <v>216</v>
      </c>
      <c r="B1142" s="26" t="s">
        <v>2500</v>
      </c>
      <c r="C1142" s="26" t="s">
        <v>15</v>
      </c>
      <c r="D1142" s="28" t="s">
        <v>218</v>
      </c>
      <c r="E1142" s="26" t="s">
        <v>2501</v>
      </c>
      <c r="F1142" s="29" t="s">
        <v>220</v>
      </c>
    </row>
    <row r="1143" spans="1:6" ht="29" x14ac:dyDescent="0.35">
      <c r="A1143" s="26" t="s">
        <v>216</v>
      </c>
      <c r="B1143" s="26" t="s">
        <v>2502</v>
      </c>
      <c r="C1143" s="26" t="s">
        <v>17</v>
      </c>
      <c r="D1143" s="28" t="s">
        <v>2503</v>
      </c>
      <c r="E1143" s="26">
        <v>13436</v>
      </c>
      <c r="F1143" s="29" t="s">
        <v>247</v>
      </c>
    </row>
    <row r="1144" spans="1:6" ht="29" x14ac:dyDescent="0.35">
      <c r="A1144" s="26" t="s">
        <v>216</v>
      </c>
      <c r="B1144" s="26" t="s">
        <v>2504</v>
      </c>
      <c r="C1144" s="26" t="s">
        <v>20</v>
      </c>
      <c r="D1144" s="28" t="s">
        <v>2505</v>
      </c>
      <c r="E1144" s="26">
        <v>13436</v>
      </c>
      <c r="F1144" s="29" t="s">
        <v>223</v>
      </c>
    </row>
    <row r="1145" spans="1:6" ht="58" x14ac:dyDescent="0.35">
      <c r="A1145" s="26" t="s">
        <v>216</v>
      </c>
      <c r="B1145" s="26" t="s">
        <v>2506</v>
      </c>
      <c r="C1145" s="26" t="s">
        <v>25</v>
      </c>
      <c r="D1145" s="28" t="s">
        <v>2507</v>
      </c>
      <c r="E1145" s="26">
        <v>0</v>
      </c>
      <c r="F1145" s="29" t="s">
        <v>226</v>
      </c>
    </row>
    <row r="1146" spans="1:6" ht="43.5" x14ac:dyDescent="0.35">
      <c r="A1146" s="26" t="s">
        <v>216</v>
      </c>
      <c r="B1146" s="26" t="s">
        <v>2508</v>
      </c>
      <c r="C1146" s="26" t="s">
        <v>27</v>
      </c>
      <c r="D1146" s="28" t="s">
        <v>2509</v>
      </c>
      <c r="E1146" s="26">
        <v>0</v>
      </c>
      <c r="F1146" s="29" t="s">
        <v>229</v>
      </c>
    </row>
    <row r="1147" spans="1:6" ht="29" x14ac:dyDescent="0.35">
      <c r="A1147" s="26" t="s">
        <v>216</v>
      </c>
      <c r="B1147" s="26" t="s">
        <v>2510</v>
      </c>
      <c r="C1147" s="26" t="s">
        <v>24</v>
      </c>
      <c r="D1147" s="28" t="s">
        <v>2511</v>
      </c>
      <c r="E1147" s="26">
        <v>0</v>
      </c>
      <c r="F1147" s="29" t="s">
        <v>232</v>
      </c>
    </row>
    <row r="1148" spans="1:6" ht="43.5" x14ac:dyDescent="0.35">
      <c r="A1148" s="26" t="s">
        <v>216</v>
      </c>
      <c r="B1148" s="26" t="s">
        <v>2512</v>
      </c>
      <c r="C1148" s="26" t="s">
        <v>15</v>
      </c>
      <c r="D1148" s="28" t="s">
        <v>218</v>
      </c>
      <c r="E1148" s="26" t="s">
        <v>2513</v>
      </c>
      <c r="F1148" s="29" t="s">
        <v>220</v>
      </c>
    </row>
    <row r="1149" spans="1:6" ht="29" x14ac:dyDescent="0.35">
      <c r="A1149" s="26" t="s">
        <v>216</v>
      </c>
      <c r="B1149" s="26" t="s">
        <v>2514</v>
      </c>
      <c r="C1149" s="26" t="s">
        <v>17</v>
      </c>
      <c r="D1149" s="28" t="s">
        <v>2515</v>
      </c>
      <c r="E1149" s="26">
        <v>13436</v>
      </c>
      <c r="F1149" s="29" t="s">
        <v>247</v>
      </c>
    </row>
    <row r="1150" spans="1:6" ht="29" x14ac:dyDescent="0.35">
      <c r="A1150" s="26" t="s">
        <v>216</v>
      </c>
      <c r="B1150" s="26" t="s">
        <v>2516</v>
      </c>
      <c r="C1150" s="26" t="s">
        <v>20</v>
      </c>
      <c r="D1150" s="28" t="s">
        <v>2517</v>
      </c>
      <c r="E1150" s="26">
        <v>13436</v>
      </c>
      <c r="F1150" s="29" t="s">
        <v>223</v>
      </c>
    </row>
    <row r="1151" spans="1:6" ht="58" x14ac:dyDescent="0.35">
      <c r="A1151" s="26" t="s">
        <v>216</v>
      </c>
      <c r="B1151" s="26" t="s">
        <v>2518</v>
      </c>
      <c r="C1151" s="26" t="s">
        <v>25</v>
      </c>
      <c r="D1151" s="28" t="s">
        <v>2519</v>
      </c>
      <c r="E1151" s="26">
        <v>0</v>
      </c>
      <c r="F1151" s="29" t="s">
        <v>226</v>
      </c>
    </row>
    <row r="1152" spans="1:6" ht="43.5" x14ac:dyDescent="0.35">
      <c r="A1152" s="26" t="s">
        <v>216</v>
      </c>
      <c r="B1152" s="26" t="s">
        <v>2520</v>
      </c>
      <c r="C1152" s="26" t="s">
        <v>27</v>
      </c>
      <c r="D1152" s="28" t="s">
        <v>2521</v>
      </c>
      <c r="E1152" s="26">
        <v>0</v>
      </c>
      <c r="F1152" s="29" t="s">
        <v>229</v>
      </c>
    </row>
    <row r="1153" spans="1:6" ht="29" x14ac:dyDescent="0.35">
      <c r="A1153" s="26" t="s">
        <v>216</v>
      </c>
      <c r="B1153" s="26" t="s">
        <v>2522</v>
      </c>
      <c r="C1153" s="26" t="s">
        <v>24</v>
      </c>
      <c r="D1153" s="28" t="s">
        <v>2523</v>
      </c>
      <c r="E1153" s="26">
        <v>0</v>
      </c>
      <c r="F1153" s="29" t="s">
        <v>232</v>
      </c>
    </row>
    <row r="1154" spans="1:6" ht="43.5" x14ac:dyDescent="0.35">
      <c r="A1154" s="26" t="s">
        <v>216</v>
      </c>
      <c r="B1154" s="26" t="s">
        <v>2524</v>
      </c>
      <c r="C1154" s="26" t="s">
        <v>15</v>
      </c>
      <c r="D1154" s="28" t="s">
        <v>218</v>
      </c>
      <c r="E1154" s="26" t="s">
        <v>2525</v>
      </c>
      <c r="F1154" s="29" t="s">
        <v>220</v>
      </c>
    </row>
    <row r="1155" spans="1:6" ht="29" x14ac:dyDescent="0.35">
      <c r="A1155" s="26" t="s">
        <v>216</v>
      </c>
      <c r="B1155" s="26" t="s">
        <v>2526</v>
      </c>
      <c r="C1155" s="26" t="s">
        <v>17</v>
      </c>
      <c r="D1155" s="28" t="s">
        <v>2527</v>
      </c>
      <c r="E1155" s="26">
        <v>13436</v>
      </c>
      <c r="F1155" s="29" t="s">
        <v>247</v>
      </c>
    </row>
    <row r="1156" spans="1:6" ht="29" x14ac:dyDescent="0.35">
      <c r="A1156" s="26" t="s">
        <v>216</v>
      </c>
      <c r="B1156" s="26" t="s">
        <v>2528</v>
      </c>
      <c r="C1156" s="26" t="s">
        <v>20</v>
      </c>
      <c r="D1156" s="28" t="s">
        <v>2529</v>
      </c>
      <c r="E1156" s="26">
        <v>13436</v>
      </c>
      <c r="F1156" s="29" t="s">
        <v>223</v>
      </c>
    </row>
    <row r="1157" spans="1:6" ht="58" x14ac:dyDescent="0.35">
      <c r="A1157" s="26" t="s">
        <v>216</v>
      </c>
      <c r="B1157" s="26" t="s">
        <v>2530</v>
      </c>
      <c r="C1157" s="26" t="s">
        <v>25</v>
      </c>
      <c r="D1157" s="28" t="s">
        <v>2531</v>
      </c>
      <c r="E1157" s="26">
        <v>0</v>
      </c>
      <c r="F1157" s="29" t="s">
        <v>226</v>
      </c>
    </row>
    <row r="1158" spans="1:6" ht="43.5" x14ac:dyDescent="0.35">
      <c r="A1158" s="26" t="s">
        <v>216</v>
      </c>
      <c r="B1158" s="26" t="s">
        <v>2532</v>
      </c>
      <c r="C1158" s="26" t="s">
        <v>27</v>
      </c>
      <c r="D1158" s="28" t="s">
        <v>2533</v>
      </c>
      <c r="E1158" s="26">
        <v>0</v>
      </c>
      <c r="F1158" s="29" t="s">
        <v>229</v>
      </c>
    </row>
    <row r="1159" spans="1:6" ht="29" x14ac:dyDescent="0.35">
      <c r="A1159" s="26" t="s">
        <v>216</v>
      </c>
      <c r="B1159" s="26" t="s">
        <v>2534</v>
      </c>
      <c r="C1159" s="26" t="s">
        <v>24</v>
      </c>
      <c r="D1159" s="28" t="s">
        <v>2535</v>
      </c>
      <c r="E1159" s="26">
        <v>0</v>
      </c>
      <c r="F1159" s="29" t="s">
        <v>232</v>
      </c>
    </row>
    <row r="1160" spans="1:6" ht="43.5" x14ac:dyDescent="0.35">
      <c r="A1160" s="26" t="s">
        <v>216</v>
      </c>
      <c r="B1160" s="26" t="s">
        <v>2536</v>
      </c>
      <c r="C1160" s="26" t="s">
        <v>15</v>
      </c>
      <c r="D1160" s="28" t="s">
        <v>218</v>
      </c>
      <c r="E1160" s="26" t="s">
        <v>2537</v>
      </c>
      <c r="F1160" s="29" t="s">
        <v>220</v>
      </c>
    </row>
    <row r="1161" spans="1:6" ht="29" x14ac:dyDescent="0.35">
      <c r="A1161" s="26" t="s">
        <v>216</v>
      </c>
      <c r="B1161" s="26" t="s">
        <v>2538</v>
      </c>
      <c r="C1161" s="26" t="s">
        <v>17</v>
      </c>
      <c r="D1161" s="28" t="s">
        <v>2539</v>
      </c>
      <c r="E1161" s="26">
        <v>13436</v>
      </c>
      <c r="F1161" s="29" t="s">
        <v>247</v>
      </c>
    </row>
    <row r="1162" spans="1:6" ht="29" x14ac:dyDescent="0.35">
      <c r="A1162" s="26" t="s">
        <v>216</v>
      </c>
      <c r="B1162" s="26" t="s">
        <v>2540</v>
      </c>
      <c r="C1162" s="26" t="s">
        <v>20</v>
      </c>
      <c r="D1162" s="28" t="s">
        <v>2541</v>
      </c>
      <c r="E1162" s="26">
        <v>13436</v>
      </c>
      <c r="F1162" s="29" t="s">
        <v>223</v>
      </c>
    </row>
    <row r="1163" spans="1:6" ht="58" x14ac:dyDescent="0.35">
      <c r="A1163" s="26" t="s">
        <v>216</v>
      </c>
      <c r="B1163" s="26" t="s">
        <v>2542</v>
      </c>
      <c r="C1163" s="26" t="s">
        <v>25</v>
      </c>
      <c r="D1163" s="28" t="s">
        <v>2543</v>
      </c>
      <c r="E1163" s="26">
        <v>0</v>
      </c>
      <c r="F1163" s="29" t="s">
        <v>226</v>
      </c>
    </row>
    <row r="1164" spans="1:6" ht="43.5" x14ac:dyDescent="0.35">
      <c r="A1164" s="26" t="s">
        <v>216</v>
      </c>
      <c r="B1164" s="26" t="s">
        <v>2544</v>
      </c>
      <c r="C1164" s="26" t="s">
        <v>27</v>
      </c>
      <c r="D1164" s="28" t="s">
        <v>2545</v>
      </c>
      <c r="E1164" s="26">
        <v>0</v>
      </c>
      <c r="F1164" s="29" t="s">
        <v>229</v>
      </c>
    </row>
    <row r="1165" spans="1:6" ht="29" x14ac:dyDescent="0.35">
      <c r="A1165" s="26" t="s">
        <v>216</v>
      </c>
      <c r="B1165" s="26" t="s">
        <v>2546</v>
      </c>
      <c r="C1165" s="26" t="s">
        <v>24</v>
      </c>
      <c r="D1165" s="28" t="s">
        <v>2547</v>
      </c>
      <c r="E1165" s="26">
        <v>0</v>
      </c>
      <c r="F1165" s="29" t="s">
        <v>232</v>
      </c>
    </row>
    <row r="1166" spans="1:6" ht="43.5" x14ac:dyDescent="0.35">
      <c r="A1166" s="26" t="s">
        <v>216</v>
      </c>
      <c r="B1166" s="26" t="s">
        <v>2548</v>
      </c>
      <c r="C1166" s="26" t="s">
        <v>15</v>
      </c>
      <c r="D1166" s="28" t="s">
        <v>218</v>
      </c>
      <c r="E1166" s="26" t="s">
        <v>2549</v>
      </c>
      <c r="F1166" s="29" t="s">
        <v>220</v>
      </c>
    </row>
    <row r="1167" spans="1:6" ht="29" x14ac:dyDescent="0.35">
      <c r="A1167" s="26" t="s">
        <v>216</v>
      </c>
      <c r="B1167" s="26" t="s">
        <v>2550</v>
      </c>
      <c r="C1167" s="26" t="s">
        <v>17</v>
      </c>
      <c r="D1167" s="28" t="s">
        <v>2551</v>
      </c>
      <c r="E1167" s="26">
        <v>13436</v>
      </c>
      <c r="F1167" s="29" t="s">
        <v>247</v>
      </c>
    </row>
    <row r="1168" spans="1:6" ht="29" x14ac:dyDescent="0.35">
      <c r="A1168" s="26" t="s">
        <v>216</v>
      </c>
      <c r="B1168" s="26" t="s">
        <v>2552</v>
      </c>
      <c r="C1168" s="26" t="s">
        <v>20</v>
      </c>
      <c r="D1168" s="28" t="s">
        <v>2553</v>
      </c>
      <c r="E1168" s="26">
        <v>13436</v>
      </c>
      <c r="F1168" s="29" t="s">
        <v>223</v>
      </c>
    </row>
    <row r="1169" spans="1:6" ht="58" x14ac:dyDescent="0.35">
      <c r="A1169" s="26" t="s">
        <v>216</v>
      </c>
      <c r="B1169" s="26" t="s">
        <v>2554</v>
      </c>
      <c r="C1169" s="26" t="s">
        <v>25</v>
      </c>
      <c r="D1169" s="28" t="s">
        <v>2555</v>
      </c>
      <c r="E1169" s="26">
        <v>0</v>
      </c>
      <c r="F1169" s="29" t="s">
        <v>226</v>
      </c>
    </row>
    <row r="1170" spans="1:6" ht="43.5" x14ac:dyDescent="0.35">
      <c r="A1170" s="26" t="s">
        <v>216</v>
      </c>
      <c r="B1170" s="26" t="s">
        <v>2556</v>
      </c>
      <c r="C1170" s="26" t="s">
        <v>27</v>
      </c>
      <c r="D1170" s="28" t="s">
        <v>2557</v>
      </c>
      <c r="E1170" s="26">
        <v>0</v>
      </c>
      <c r="F1170" s="29" t="s">
        <v>229</v>
      </c>
    </row>
    <row r="1171" spans="1:6" ht="29" x14ac:dyDescent="0.35">
      <c r="A1171" s="26" t="s">
        <v>216</v>
      </c>
      <c r="B1171" s="26" t="s">
        <v>2558</v>
      </c>
      <c r="C1171" s="26" t="s">
        <v>24</v>
      </c>
      <c r="D1171" s="28" t="s">
        <v>2559</v>
      </c>
      <c r="E1171" s="26">
        <v>0</v>
      </c>
      <c r="F1171" s="29" t="s">
        <v>232</v>
      </c>
    </row>
    <row r="1172" spans="1:6" ht="43.5" x14ac:dyDescent="0.35">
      <c r="A1172" s="26" t="s">
        <v>216</v>
      </c>
      <c r="B1172" s="26" t="s">
        <v>2560</v>
      </c>
      <c r="C1172" s="26" t="s">
        <v>15</v>
      </c>
      <c r="D1172" s="28" t="s">
        <v>218</v>
      </c>
      <c r="E1172" s="26" t="s">
        <v>2561</v>
      </c>
      <c r="F1172" s="29" t="s">
        <v>220</v>
      </c>
    </row>
    <row r="1173" spans="1:6" ht="29" x14ac:dyDescent="0.35">
      <c r="A1173" s="26" t="s">
        <v>216</v>
      </c>
      <c r="B1173" s="26" t="s">
        <v>2562</v>
      </c>
      <c r="C1173" s="26" t="s">
        <v>17</v>
      </c>
      <c r="D1173" s="28" t="s">
        <v>2563</v>
      </c>
      <c r="E1173" s="26">
        <v>13436</v>
      </c>
      <c r="F1173" s="29" t="s">
        <v>247</v>
      </c>
    </row>
    <row r="1174" spans="1:6" ht="29" x14ac:dyDescent="0.35">
      <c r="A1174" s="26" t="s">
        <v>216</v>
      </c>
      <c r="B1174" s="26" t="s">
        <v>2564</v>
      </c>
      <c r="C1174" s="26" t="s">
        <v>20</v>
      </c>
      <c r="D1174" s="28" t="s">
        <v>2565</v>
      </c>
      <c r="E1174" s="26">
        <v>13436</v>
      </c>
      <c r="F1174" s="29" t="s">
        <v>223</v>
      </c>
    </row>
    <row r="1175" spans="1:6" ht="58" x14ac:dyDescent="0.35">
      <c r="A1175" s="26" t="s">
        <v>216</v>
      </c>
      <c r="B1175" s="26" t="s">
        <v>2566</v>
      </c>
      <c r="C1175" s="26" t="s">
        <v>25</v>
      </c>
      <c r="D1175" s="28" t="s">
        <v>2567</v>
      </c>
      <c r="E1175" s="26">
        <v>0</v>
      </c>
      <c r="F1175" s="29" t="s">
        <v>226</v>
      </c>
    </row>
    <row r="1176" spans="1:6" ht="43.5" x14ac:dyDescent="0.35">
      <c r="A1176" s="26" t="s">
        <v>216</v>
      </c>
      <c r="B1176" s="26" t="s">
        <v>2568</v>
      </c>
      <c r="C1176" s="26" t="s">
        <v>27</v>
      </c>
      <c r="D1176" s="28" t="s">
        <v>2569</v>
      </c>
      <c r="E1176" s="26">
        <v>0</v>
      </c>
      <c r="F1176" s="29" t="s">
        <v>229</v>
      </c>
    </row>
    <row r="1177" spans="1:6" ht="29" x14ac:dyDescent="0.35">
      <c r="A1177" s="26" t="s">
        <v>216</v>
      </c>
      <c r="B1177" s="26" t="s">
        <v>2570</v>
      </c>
      <c r="C1177" s="26" t="s">
        <v>24</v>
      </c>
      <c r="D1177" s="28" t="s">
        <v>2571</v>
      </c>
      <c r="E1177" s="26">
        <v>0</v>
      </c>
      <c r="F1177" s="29" t="s">
        <v>232</v>
      </c>
    </row>
    <row r="1178" spans="1:6" ht="43.5" x14ac:dyDescent="0.35">
      <c r="A1178" s="26" t="s">
        <v>216</v>
      </c>
      <c r="B1178" s="26" t="s">
        <v>2572</v>
      </c>
      <c r="C1178" s="26" t="s">
        <v>15</v>
      </c>
      <c r="D1178" s="28" t="s">
        <v>218</v>
      </c>
      <c r="E1178" s="26" t="s">
        <v>2573</v>
      </c>
      <c r="F1178" s="29" t="s">
        <v>220</v>
      </c>
    </row>
    <row r="1179" spans="1:6" ht="29" x14ac:dyDescent="0.35">
      <c r="A1179" s="26" t="s">
        <v>216</v>
      </c>
      <c r="B1179" s="26" t="s">
        <v>2574</v>
      </c>
      <c r="C1179" s="26" t="s">
        <v>17</v>
      </c>
      <c r="D1179" s="28" t="s">
        <v>2575</v>
      </c>
      <c r="E1179" s="26">
        <v>13436</v>
      </c>
      <c r="F1179" s="29" t="s">
        <v>247</v>
      </c>
    </row>
    <row r="1180" spans="1:6" ht="29" x14ac:dyDescent="0.35">
      <c r="A1180" s="26" t="s">
        <v>216</v>
      </c>
      <c r="B1180" s="26" t="s">
        <v>2576</v>
      </c>
      <c r="C1180" s="26" t="s">
        <v>20</v>
      </c>
      <c r="D1180" s="28" t="s">
        <v>2577</v>
      </c>
      <c r="E1180" s="26">
        <v>13436</v>
      </c>
      <c r="F1180" s="29" t="s">
        <v>223</v>
      </c>
    </row>
    <row r="1181" spans="1:6" ht="58" x14ac:dyDescent="0.35">
      <c r="A1181" s="26" t="s">
        <v>216</v>
      </c>
      <c r="B1181" s="26" t="s">
        <v>2578</v>
      </c>
      <c r="C1181" s="26" t="s">
        <v>25</v>
      </c>
      <c r="D1181" s="28" t="s">
        <v>2579</v>
      </c>
      <c r="E1181" s="26">
        <v>0</v>
      </c>
      <c r="F1181" s="29" t="s">
        <v>226</v>
      </c>
    </row>
    <row r="1182" spans="1:6" ht="43.5" x14ac:dyDescent="0.35">
      <c r="A1182" s="26" t="s">
        <v>216</v>
      </c>
      <c r="B1182" s="26" t="s">
        <v>2580</v>
      </c>
      <c r="C1182" s="26" t="s">
        <v>27</v>
      </c>
      <c r="D1182" s="28" t="s">
        <v>2581</v>
      </c>
      <c r="E1182" s="26">
        <v>0</v>
      </c>
      <c r="F1182" s="29" t="s">
        <v>229</v>
      </c>
    </row>
    <row r="1183" spans="1:6" ht="29" x14ac:dyDescent="0.35">
      <c r="A1183" s="26" t="s">
        <v>216</v>
      </c>
      <c r="B1183" s="26" t="s">
        <v>2582</v>
      </c>
      <c r="C1183" s="26" t="s">
        <v>24</v>
      </c>
      <c r="D1183" s="28" t="s">
        <v>2583</v>
      </c>
      <c r="E1183" s="26">
        <v>0</v>
      </c>
      <c r="F1183" s="29" t="s">
        <v>232</v>
      </c>
    </row>
    <row r="1184" spans="1:6" ht="43.5" x14ac:dyDescent="0.35">
      <c r="A1184" s="26" t="s">
        <v>216</v>
      </c>
      <c r="B1184" s="26" t="s">
        <v>2584</v>
      </c>
      <c r="C1184" s="26" t="s">
        <v>15</v>
      </c>
      <c r="D1184" s="28" t="s">
        <v>218</v>
      </c>
      <c r="E1184" s="26" t="s">
        <v>2585</v>
      </c>
      <c r="F1184" s="29" t="s">
        <v>220</v>
      </c>
    </row>
    <row r="1185" spans="1:6" ht="29" x14ac:dyDescent="0.35">
      <c r="A1185" s="26" t="s">
        <v>216</v>
      </c>
      <c r="B1185" s="26" t="s">
        <v>2586</v>
      </c>
      <c r="C1185" s="26" t="s">
        <v>17</v>
      </c>
      <c r="D1185" s="28" t="s">
        <v>2587</v>
      </c>
      <c r="E1185" s="26">
        <v>13436</v>
      </c>
      <c r="F1185" s="29" t="s">
        <v>247</v>
      </c>
    </row>
    <row r="1186" spans="1:6" ht="29" x14ac:dyDescent="0.35">
      <c r="A1186" s="26" t="s">
        <v>216</v>
      </c>
      <c r="B1186" s="26" t="s">
        <v>2588</v>
      </c>
      <c r="C1186" s="26" t="s">
        <v>20</v>
      </c>
      <c r="D1186" s="28" t="s">
        <v>2589</v>
      </c>
      <c r="E1186" s="26">
        <v>13436</v>
      </c>
      <c r="F1186" s="29" t="s">
        <v>223</v>
      </c>
    </row>
    <row r="1187" spans="1:6" ht="58" x14ac:dyDescent="0.35">
      <c r="A1187" s="26" t="s">
        <v>216</v>
      </c>
      <c r="B1187" s="26" t="s">
        <v>2590</v>
      </c>
      <c r="C1187" s="26" t="s">
        <v>25</v>
      </c>
      <c r="D1187" s="28" t="s">
        <v>2591</v>
      </c>
      <c r="E1187" s="26">
        <v>0</v>
      </c>
      <c r="F1187" s="29" t="s">
        <v>226</v>
      </c>
    </row>
    <row r="1188" spans="1:6" ht="43.5" x14ac:dyDescent="0.35">
      <c r="A1188" s="26" t="s">
        <v>216</v>
      </c>
      <c r="B1188" s="26" t="s">
        <v>2592</v>
      </c>
      <c r="C1188" s="26" t="s">
        <v>27</v>
      </c>
      <c r="D1188" s="28" t="s">
        <v>2593</v>
      </c>
      <c r="E1188" s="26">
        <v>0</v>
      </c>
      <c r="F1188" s="29" t="s">
        <v>229</v>
      </c>
    </row>
    <row r="1189" spans="1:6" ht="29" x14ac:dyDescent="0.35">
      <c r="A1189" s="26" t="s">
        <v>216</v>
      </c>
      <c r="B1189" s="26" t="s">
        <v>2594</v>
      </c>
      <c r="C1189" s="26" t="s">
        <v>24</v>
      </c>
      <c r="D1189" s="28" t="s">
        <v>2595</v>
      </c>
      <c r="E1189" s="26">
        <v>0</v>
      </c>
      <c r="F1189" s="29" t="s">
        <v>232</v>
      </c>
    </row>
    <row r="1190" spans="1:6" ht="43.5" x14ac:dyDescent="0.35">
      <c r="A1190" s="26" t="s">
        <v>216</v>
      </c>
      <c r="B1190" s="26" t="s">
        <v>2596</v>
      </c>
      <c r="C1190" s="26" t="s">
        <v>15</v>
      </c>
      <c r="D1190" s="28" t="s">
        <v>218</v>
      </c>
      <c r="E1190" s="26" t="s">
        <v>2597</v>
      </c>
      <c r="F1190" s="29" t="s">
        <v>220</v>
      </c>
    </row>
    <row r="1191" spans="1:6" ht="29" x14ac:dyDescent="0.35">
      <c r="A1191" s="26" t="s">
        <v>216</v>
      </c>
      <c r="B1191" s="26" t="s">
        <v>2598</v>
      </c>
      <c r="C1191" s="26" t="s">
        <v>17</v>
      </c>
      <c r="D1191" s="28" t="s">
        <v>2599</v>
      </c>
      <c r="E1191" s="26">
        <v>13436</v>
      </c>
      <c r="F1191" s="29" t="s">
        <v>247</v>
      </c>
    </row>
    <row r="1192" spans="1:6" ht="29" x14ac:dyDescent="0.35">
      <c r="A1192" s="26" t="s">
        <v>216</v>
      </c>
      <c r="B1192" s="26" t="s">
        <v>2600</v>
      </c>
      <c r="C1192" s="26" t="s">
        <v>20</v>
      </c>
      <c r="D1192" s="28" t="s">
        <v>2601</v>
      </c>
      <c r="E1192" s="26">
        <v>13436</v>
      </c>
      <c r="F1192" s="29" t="s">
        <v>223</v>
      </c>
    </row>
    <row r="1193" spans="1:6" ht="58" x14ac:dyDescent="0.35">
      <c r="A1193" s="26" t="s">
        <v>216</v>
      </c>
      <c r="B1193" s="26" t="s">
        <v>2602</v>
      </c>
      <c r="C1193" s="26" t="s">
        <v>25</v>
      </c>
      <c r="D1193" s="28" t="s">
        <v>2603</v>
      </c>
      <c r="E1193" s="26">
        <v>0</v>
      </c>
      <c r="F1193" s="29" t="s">
        <v>226</v>
      </c>
    </row>
    <row r="1194" spans="1:6" ht="43.5" x14ac:dyDescent="0.35">
      <c r="A1194" s="26" t="s">
        <v>216</v>
      </c>
      <c r="B1194" s="26" t="s">
        <v>2604</v>
      </c>
      <c r="C1194" s="26" t="s">
        <v>27</v>
      </c>
      <c r="D1194" s="28" t="s">
        <v>2605</v>
      </c>
      <c r="E1194" s="26">
        <v>0</v>
      </c>
      <c r="F1194" s="29" t="s">
        <v>229</v>
      </c>
    </row>
    <row r="1195" spans="1:6" ht="29" x14ac:dyDescent="0.35">
      <c r="A1195" s="26" t="s">
        <v>216</v>
      </c>
      <c r="B1195" s="26" t="s">
        <v>2606</v>
      </c>
      <c r="C1195" s="26" t="s">
        <v>24</v>
      </c>
      <c r="D1195" s="28" t="s">
        <v>2607</v>
      </c>
      <c r="E1195" s="26">
        <v>0</v>
      </c>
      <c r="F1195" s="29" t="s">
        <v>232</v>
      </c>
    </row>
    <row r="1196" spans="1:6" ht="43.5" x14ac:dyDescent="0.35">
      <c r="A1196" s="26" t="s">
        <v>216</v>
      </c>
      <c r="B1196" s="26" t="s">
        <v>2608</v>
      </c>
      <c r="C1196" s="26" t="s">
        <v>15</v>
      </c>
      <c r="D1196" s="28" t="s">
        <v>218</v>
      </c>
      <c r="E1196" s="26" t="s">
        <v>2609</v>
      </c>
      <c r="F1196" s="29" t="s">
        <v>220</v>
      </c>
    </row>
    <row r="1197" spans="1:6" ht="29" x14ac:dyDescent="0.35">
      <c r="A1197" s="26" t="s">
        <v>216</v>
      </c>
      <c r="B1197" s="26" t="s">
        <v>2610</v>
      </c>
      <c r="C1197" s="26" t="s">
        <v>17</v>
      </c>
      <c r="D1197" s="28" t="s">
        <v>2611</v>
      </c>
      <c r="E1197" s="26">
        <v>13436</v>
      </c>
      <c r="F1197" s="29" t="s">
        <v>247</v>
      </c>
    </row>
    <row r="1198" spans="1:6" ht="29" x14ac:dyDescent="0.35">
      <c r="A1198" s="26" t="s">
        <v>216</v>
      </c>
      <c r="B1198" s="26" t="s">
        <v>2612</v>
      </c>
      <c r="C1198" s="26" t="s">
        <v>20</v>
      </c>
      <c r="D1198" s="28" t="s">
        <v>2613</v>
      </c>
      <c r="E1198" s="26">
        <v>13436</v>
      </c>
      <c r="F1198" s="29" t="s">
        <v>223</v>
      </c>
    </row>
    <row r="1199" spans="1:6" ht="58" x14ac:dyDescent="0.35">
      <c r="A1199" s="26" t="s">
        <v>216</v>
      </c>
      <c r="B1199" s="26" t="s">
        <v>2614</v>
      </c>
      <c r="C1199" s="26" t="s">
        <v>25</v>
      </c>
      <c r="D1199" s="28" t="s">
        <v>2615</v>
      </c>
      <c r="E1199" s="26">
        <v>0</v>
      </c>
      <c r="F1199" s="29" t="s">
        <v>226</v>
      </c>
    </row>
    <row r="1200" spans="1:6" ht="43.5" x14ac:dyDescent="0.35">
      <c r="A1200" s="26" t="s">
        <v>216</v>
      </c>
      <c r="B1200" s="26" t="s">
        <v>2616</v>
      </c>
      <c r="C1200" s="26" t="s">
        <v>27</v>
      </c>
      <c r="D1200" s="28" t="s">
        <v>2617</v>
      </c>
      <c r="E1200" s="26">
        <v>0</v>
      </c>
      <c r="F1200" s="29" t="s">
        <v>229</v>
      </c>
    </row>
    <row r="1201" spans="1:6" ht="29" x14ac:dyDescent="0.35">
      <c r="A1201" s="26" t="s">
        <v>216</v>
      </c>
      <c r="B1201" s="26" t="s">
        <v>2618</v>
      </c>
      <c r="C1201" s="26" t="s">
        <v>24</v>
      </c>
      <c r="D1201" s="28" t="s">
        <v>2619</v>
      </c>
      <c r="E1201" s="26">
        <v>0</v>
      </c>
      <c r="F1201" s="29" t="s">
        <v>232</v>
      </c>
    </row>
    <row r="1202" spans="1:6" ht="43.5" x14ac:dyDescent="0.35">
      <c r="A1202" s="26" t="s">
        <v>216</v>
      </c>
      <c r="B1202" s="26" t="s">
        <v>2620</v>
      </c>
      <c r="C1202" s="26" t="s">
        <v>15</v>
      </c>
      <c r="D1202" s="28" t="s">
        <v>218</v>
      </c>
      <c r="E1202" s="26" t="s">
        <v>2621</v>
      </c>
      <c r="F1202" s="29" t="s">
        <v>220</v>
      </c>
    </row>
    <row r="1203" spans="1:6" ht="29" x14ac:dyDescent="0.35">
      <c r="A1203" s="26" t="s">
        <v>216</v>
      </c>
      <c r="B1203" s="26" t="s">
        <v>2622</v>
      </c>
      <c r="C1203" s="26" t="s">
        <v>17</v>
      </c>
      <c r="D1203" s="28" t="s">
        <v>2623</v>
      </c>
      <c r="E1203" s="26">
        <v>13436</v>
      </c>
      <c r="F1203" s="29" t="s">
        <v>247</v>
      </c>
    </row>
    <row r="1204" spans="1:6" ht="29" x14ac:dyDescent="0.35">
      <c r="A1204" s="26" t="s">
        <v>216</v>
      </c>
      <c r="B1204" s="26" t="s">
        <v>2624</v>
      </c>
      <c r="C1204" s="26" t="s">
        <v>20</v>
      </c>
      <c r="D1204" s="28" t="s">
        <v>2625</v>
      </c>
      <c r="E1204" s="26">
        <v>13436</v>
      </c>
      <c r="F1204" s="29" t="s">
        <v>223</v>
      </c>
    </row>
    <row r="1205" spans="1:6" ht="58" x14ac:dyDescent="0.35">
      <c r="A1205" s="26" t="s">
        <v>216</v>
      </c>
      <c r="B1205" s="26" t="s">
        <v>2626</v>
      </c>
      <c r="C1205" s="26" t="s">
        <v>25</v>
      </c>
      <c r="D1205" s="28" t="s">
        <v>2627</v>
      </c>
      <c r="E1205" s="26">
        <v>0</v>
      </c>
      <c r="F1205" s="29" t="s">
        <v>226</v>
      </c>
    </row>
    <row r="1206" spans="1:6" ht="43.5" x14ac:dyDescent="0.35">
      <c r="A1206" s="26" t="s">
        <v>216</v>
      </c>
      <c r="B1206" s="26" t="s">
        <v>2628</v>
      </c>
      <c r="C1206" s="26" t="s">
        <v>27</v>
      </c>
      <c r="D1206" s="28" t="s">
        <v>2629</v>
      </c>
      <c r="E1206" s="26">
        <v>0</v>
      </c>
      <c r="F1206" s="29" t="s">
        <v>229</v>
      </c>
    </row>
    <row r="1207" spans="1:6" ht="29" x14ac:dyDescent="0.35">
      <c r="A1207" s="26" t="s">
        <v>216</v>
      </c>
      <c r="B1207" s="26" t="s">
        <v>2630</v>
      </c>
      <c r="C1207" s="26" t="s">
        <v>24</v>
      </c>
      <c r="D1207" s="28" t="s">
        <v>2631</v>
      </c>
      <c r="E1207" s="26">
        <v>0</v>
      </c>
      <c r="F1207" s="29" t="s">
        <v>232</v>
      </c>
    </row>
    <row r="1208" spans="1:6" ht="43.5" x14ac:dyDescent="0.35">
      <c r="A1208" s="26" t="s">
        <v>216</v>
      </c>
      <c r="B1208" s="26" t="s">
        <v>2632</v>
      </c>
      <c r="C1208" s="26" t="s">
        <v>15</v>
      </c>
      <c r="D1208" s="28" t="s">
        <v>218</v>
      </c>
      <c r="E1208" s="26" t="s">
        <v>2633</v>
      </c>
      <c r="F1208" s="29" t="s">
        <v>220</v>
      </c>
    </row>
    <row r="1209" spans="1:6" ht="29" x14ac:dyDescent="0.35">
      <c r="A1209" s="26" t="s">
        <v>216</v>
      </c>
      <c r="B1209" s="26" t="s">
        <v>2634</v>
      </c>
      <c r="C1209" s="26" t="s">
        <v>17</v>
      </c>
      <c r="D1209" s="28" t="s">
        <v>2635</v>
      </c>
      <c r="E1209" s="26">
        <v>13436</v>
      </c>
      <c r="F1209" s="29" t="s">
        <v>247</v>
      </c>
    </row>
    <row r="1210" spans="1:6" ht="29" x14ac:dyDescent="0.35">
      <c r="A1210" s="26" t="s">
        <v>216</v>
      </c>
      <c r="B1210" s="26" t="s">
        <v>2636</v>
      </c>
      <c r="C1210" s="26" t="s">
        <v>20</v>
      </c>
      <c r="D1210" s="28" t="s">
        <v>2637</v>
      </c>
      <c r="E1210" s="26">
        <v>13436</v>
      </c>
      <c r="F1210" s="29" t="s">
        <v>223</v>
      </c>
    </row>
    <row r="1211" spans="1:6" ht="58" x14ac:dyDescent="0.35">
      <c r="A1211" s="26" t="s">
        <v>216</v>
      </c>
      <c r="B1211" s="26" t="s">
        <v>2638</v>
      </c>
      <c r="C1211" s="26" t="s">
        <v>25</v>
      </c>
      <c r="D1211" s="28" t="s">
        <v>2639</v>
      </c>
      <c r="E1211" s="26">
        <v>0</v>
      </c>
      <c r="F1211" s="29" t="s">
        <v>226</v>
      </c>
    </row>
    <row r="1212" spans="1:6" ht="43.5" x14ac:dyDescent="0.35">
      <c r="A1212" s="26" t="s">
        <v>216</v>
      </c>
      <c r="B1212" s="26" t="s">
        <v>2640</v>
      </c>
      <c r="C1212" s="26" t="s">
        <v>27</v>
      </c>
      <c r="D1212" s="28" t="s">
        <v>2641</v>
      </c>
      <c r="E1212" s="26">
        <v>0</v>
      </c>
      <c r="F1212" s="29" t="s">
        <v>229</v>
      </c>
    </row>
    <row r="1213" spans="1:6" ht="29" x14ac:dyDescent="0.35">
      <c r="A1213" s="26" t="s">
        <v>216</v>
      </c>
      <c r="B1213" s="26" t="s">
        <v>2642</v>
      </c>
      <c r="C1213" s="26" t="s">
        <v>24</v>
      </c>
      <c r="D1213" s="28" t="s">
        <v>2643</v>
      </c>
      <c r="E1213" s="26">
        <v>0</v>
      </c>
      <c r="F1213" s="29" t="s">
        <v>232</v>
      </c>
    </row>
    <row r="1214" spans="1:6" ht="43.5" x14ac:dyDescent="0.35">
      <c r="A1214" s="26" t="s">
        <v>216</v>
      </c>
      <c r="B1214" s="26" t="s">
        <v>2644</v>
      </c>
      <c r="C1214" s="26" t="s">
        <v>15</v>
      </c>
      <c r="D1214" s="28" t="s">
        <v>218</v>
      </c>
      <c r="E1214" s="26" t="s">
        <v>2645</v>
      </c>
      <c r="F1214" s="29" t="s">
        <v>220</v>
      </c>
    </row>
    <row r="1215" spans="1:6" ht="29" x14ac:dyDescent="0.35">
      <c r="A1215" s="26" t="s">
        <v>216</v>
      </c>
      <c r="B1215" s="26" t="s">
        <v>2646</v>
      </c>
      <c r="C1215" s="26" t="s">
        <v>17</v>
      </c>
      <c r="D1215" s="28" t="s">
        <v>2647</v>
      </c>
      <c r="E1215" s="26">
        <v>13436</v>
      </c>
      <c r="F1215" s="29" t="s">
        <v>247</v>
      </c>
    </row>
    <row r="1216" spans="1:6" ht="29" x14ac:dyDescent="0.35">
      <c r="A1216" s="26" t="s">
        <v>216</v>
      </c>
      <c r="B1216" s="26" t="s">
        <v>2648</v>
      </c>
      <c r="C1216" s="26" t="s">
        <v>20</v>
      </c>
      <c r="D1216" s="28" t="s">
        <v>2649</v>
      </c>
      <c r="E1216" s="26">
        <v>13436</v>
      </c>
      <c r="F1216" s="29" t="s">
        <v>223</v>
      </c>
    </row>
    <row r="1217" spans="1:6" ht="58" x14ac:dyDescent="0.35">
      <c r="A1217" s="26" t="s">
        <v>216</v>
      </c>
      <c r="B1217" s="26" t="s">
        <v>2650</v>
      </c>
      <c r="C1217" s="26" t="s">
        <v>25</v>
      </c>
      <c r="D1217" s="28" t="s">
        <v>2651</v>
      </c>
      <c r="E1217" s="26">
        <v>0</v>
      </c>
      <c r="F1217" s="29" t="s">
        <v>226</v>
      </c>
    </row>
    <row r="1218" spans="1:6" ht="43.5" x14ac:dyDescent="0.35">
      <c r="A1218" s="26" t="s">
        <v>216</v>
      </c>
      <c r="B1218" s="26" t="s">
        <v>2652</v>
      </c>
      <c r="C1218" s="26" t="s">
        <v>27</v>
      </c>
      <c r="D1218" s="28" t="s">
        <v>2653</v>
      </c>
      <c r="E1218" s="26">
        <v>0</v>
      </c>
      <c r="F1218" s="29" t="s">
        <v>229</v>
      </c>
    </row>
    <row r="1219" spans="1:6" ht="29" x14ac:dyDescent="0.35">
      <c r="A1219" s="26" t="s">
        <v>216</v>
      </c>
      <c r="B1219" s="26" t="s">
        <v>2654</v>
      </c>
      <c r="C1219" s="26" t="s">
        <v>24</v>
      </c>
      <c r="D1219" s="28" t="s">
        <v>2655</v>
      </c>
      <c r="E1219" s="26">
        <v>0</v>
      </c>
      <c r="F1219" s="29" t="s">
        <v>232</v>
      </c>
    </row>
    <row r="1220" spans="1:6" ht="43.5" x14ac:dyDescent="0.35">
      <c r="A1220" s="26" t="s">
        <v>216</v>
      </c>
      <c r="B1220" s="26" t="s">
        <v>2656</v>
      </c>
      <c r="C1220" s="26" t="s">
        <v>15</v>
      </c>
      <c r="D1220" s="28" t="s">
        <v>218</v>
      </c>
      <c r="E1220" s="26" t="s">
        <v>2657</v>
      </c>
      <c r="F1220" s="29" t="s">
        <v>220</v>
      </c>
    </row>
    <row r="1221" spans="1:6" ht="29" x14ac:dyDescent="0.35">
      <c r="A1221" s="26" t="s">
        <v>216</v>
      </c>
      <c r="B1221" s="26" t="s">
        <v>2658</v>
      </c>
      <c r="C1221" s="26" t="s">
        <v>17</v>
      </c>
      <c r="D1221" s="28" t="s">
        <v>2659</v>
      </c>
      <c r="E1221" s="26">
        <v>13436</v>
      </c>
      <c r="F1221" s="29" t="s">
        <v>247</v>
      </c>
    </row>
    <row r="1222" spans="1:6" ht="29" x14ac:dyDescent="0.35">
      <c r="A1222" s="26" t="s">
        <v>216</v>
      </c>
      <c r="B1222" s="26" t="s">
        <v>2660</v>
      </c>
      <c r="C1222" s="26" t="s">
        <v>20</v>
      </c>
      <c r="D1222" s="28" t="s">
        <v>2661</v>
      </c>
      <c r="E1222" s="26">
        <v>13436</v>
      </c>
      <c r="F1222" s="29" t="s">
        <v>223</v>
      </c>
    </row>
    <row r="1223" spans="1:6" ht="58" x14ac:dyDescent="0.35">
      <c r="A1223" s="26" t="s">
        <v>216</v>
      </c>
      <c r="B1223" s="26" t="s">
        <v>2662</v>
      </c>
      <c r="C1223" s="26" t="s">
        <v>25</v>
      </c>
      <c r="D1223" s="28" t="s">
        <v>2663</v>
      </c>
      <c r="E1223" s="26">
        <v>0</v>
      </c>
      <c r="F1223" s="29" t="s">
        <v>226</v>
      </c>
    </row>
    <row r="1224" spans="1:6" ht="43.5" x14ac:dyDescent="0.35">
      <c r="A1224" s="26" t="s">
        <v>216</v>
      </c>
      <c r="B1224" s="26" t="s">
        <v>2664</v>
      </c>
      <c r="C1224" s="26" t="s">
        <v>27</v>
      </c>
      <c r="D1224" s="28" t="s">
        <v>2665</v>
      </c>
      <c r="E1224" s="26">
        <v>0</v>
      </c>
      <c r="F1224" s="29" t="s">
        <v>229</v>
      </c>
    </row>
    <row r="1225" spans="1:6" ht="29" x14ac:dyDescent="0.35">
      <c r="A1225" s="26" t="s">
        <v>216</v>
      </c>
      <c r="B1225" s="26" t="s">
        <v>2666</v>
      </c>
      <c r="C1225" s="26" t="s">
        <v>24</v>
      </c>
      <c r="D1225" s="28" t="s">
        <v>2667</v>
      </c>
      <c r="E1225" s="26">
        <v>0</v>
      </c>
      <c r="F1225" s="29" t="s">
        <v>232</v>
      </c>
    </row>
    <row r="1226" spans="1:6" ht="43.5" x14ac:dyDescent="0.35">
      <c r="A1226" s="26" t="s">
        <v>216</v>
      </c>
      <c r="B1226" s="26" t="s">
        <v>2668</v>
      </c>
      <c r="C1226" s="26" t="s">
        <v>15</v>
      </c>
      <c r="D1226" s="28" t="s">
        <v>218</v>
      </c>
      <c r="E1226" s="26" t="s">
        <v>2669</v>
      </c>
      <c r="F1226" s="29" t="s">
        <v>220</v>
      </c>
    </row>
    <row r="1227" spans="1:6" ht="29" x14ac:dyDescent="0.35">
      <c r="A1227" s="26" t="s">
        <v>216</v>
      </c>
      <c r="B1227" s="26" t="s">
        <v>2670</v>
      </c>
      <c r="C1227" s="26" t="s">
        <v>17</v>
      </c>
      <c r="D1227" s="28" t="s">
        <v>2671</v>
      </c>
      <c r="E1227" s="26">
        <v>13436</v>
      </c>
      <c r="F1227" s="29" t="s">
        <v>247</v>
      </c>
    </row>
    <row r="1228" spans="1:6" ht="29" x14ac:dyDescent="0.35">
      <c r="A1228" s="26" t="s">
        <v>216</v>
      </c>
      <c r="B1228" s="26" t="s">
        <v>2672</v>
      </c>
      <c r="C1228" s="26" t="s">
        <v>20</v>
      </c>
      <c r="D1228" s="28" t="s">
        <v>2673</v>
      </c>
      <c r="E1228" s="26">
        <v>13436</v>
      </c>
      <c r="F1228" s="29" t="s">
        <v>223</v>
      </c>
    </row>
    <row r="1229" spans="1:6" ht="58" x14ac:dyDescent="0.35">
      <c r="A1229" s="26" t="s">
        <v>216</v>
      </c>
      <c r="B1229" s="26" t="s">
        <v>2674</v>
      </c>
      <c r="C1229" s="26" t="s">
        <v>25</v>
      </c>
      <c r="D1229" s="28" t="s">
        <v>2675</v>
      </c>
      <c r="E1229" s="26">
        <v>0</v>
      </c>
      <c r="F1229" s="29" t="s">
        <v>226</v>
      </c>
    </row>
    <row r="1230" spans="1:6" ht="43.5" x14ac:dyDescent="0.35">
      <c r="A1230" s="26" t="s">
        <v>216</v>
      </c>
      <c r="B1230" s="26" t="s">
        <v>2676</v>
      </c>
      <c r="C1230" s="26" t="s">
        <v>27</v>
      </c>
      <c r="D1230" s="28" t="s">
        <v>2677</v>
      </c>
      <c r="E1230" s="26">
        <v>0</v>
      </c>
      <c r="F1230" s="29" t="s">
        <v>229</v>
      </c>
    </row>
    <row r="1231" spans="1:6" ht="29" x14ac:dyDescent="0.35">
      <c r="A1231" s="26" t="s">
        <v>216</v>
      </c>
      <c r="B1231" s="26" t="s">
        <v>2678</v>
      </c>
      <c r="C1231" s="26" t="s">
        <v>24</v>
      </c>
      <c r="D1231" s="28" t="s">
        <v>2679</v>
      </c>
      <c r="E1231" s="26">
        <v>0</v>
      </c>
      <c r="F1231" s="29" t="s">
        <v>232</v>
      </c>
    </row>
    <row r="1232" spans="1:6" ht="43.5" x14ac:dyDescent="0.35">
      <c r="A1232" s="26" t="s">
        <v>216</v>
      </c>
      <c r="B1232" s="26" t="s">
        <v>2680</v>
      </c>
      <c r="C1232" s="26" t="s">
        <v>15</v>
      </c>
      <c r="D1232" s="28" t="s">
        <v>218</v>
      </c>
      <c r="E1232" s="26" t="s">
        <v>2681</v>
      </c>
      <c r="F1232" s="29" t="s">
        <v>220</v>
      </c>
    </row>
    <row r="1233" spans="1:6" ht="29" x14ac:dyDescent="0.35">
      <c r="A1233" s="26" t="s">
        <v>216</v>
      </c>
      <c r="B1233" s="26" t="s">
        <v>2682</v>
      </c>
      <c r="C1233" s="26" t="s">
        <v>17</v>
      </c>
      <c r="D1233" s="28" t="s">
        <v>2683</v>
      </c>
      <c r="E1233" s="26">
        <v>13436</v>
      </c>
      <c r="F1233" s="29" t="s">
        <v>247</v>
      </c>
    </row>
    <row r="1234" spans="1:6" ht="29" x14ac:dyDescent="0.35">
      <c r="A1234" s="26" t="s">
        <v>216</v>
      </c>
      <c r="B1234" s="26" t="s">
        <v>2684</v>
      </c>
      <c r="C1234" s="26" t="s">
        <v>20</v>
      </c>
      <c r="D1234" s="28" t="s">
        <v>2685</v>
      </c>
      <c r="E1234" s="26">
        <v>13436</v>
      </c>
      <c r="F1234" s="29" t="s">
        <v>223</v>
      </c>
    </row>
    <row r="1235" spans="1:6" ht="58" x14ac:dyDescent="0.35">
      <c r="A1235" s="26" t="s">
        <v>216</v>
      </c>
      <c r="B1235" s="26" t="s">
        <v>2686</v>
      </c>
      <c r="C1235" s="26" t="s">
        <v>25</v>
      </c>
      <c r="D1235" s="28" t="s">
        <v>2687</v>
      </c>
      <c r="E1235" s="26">
        <v>0</v>
      </c>
      <c r="F1235" s="29" t="s">
        <v>226</v>
      </c>
    </row>
    <row r="1236" spans="1:6" ht="43.5" x14ac:dyDescent="0.35">
      <c r="A1236" s="26" t="s">
        <v>216</v>
      </c>
      <c r="B1236" s="26" t="s">
        <v>2688</v>
      </c>
      <c r="C1236" s="26" t="s">
        <v>27</v>
      </c>
      <c r="D1236" s="28" t="s">
        <v>2689</v>
      </c>
      <c r="E1236" s="26">
        <v>0</v>
      </c>
      <c r="F1236" s="29" t="s">
        <v>229</v>
      </c>
    </row>
    <row r="1237" spans="1:6" ht="29" x14ac:dyDescent="0.35">
      <c r="A1237" s="26" t="s">
        <v>216</v>
      </c>
      <c r="B1237" s="26" t="s">
        <v>2690</v>
      </c>
      <c r="C1237" s="26" t="s">
        <v>24</v>
      </c>
      <c r="D1237" s="28" t="s">
        <v>2691</v>
      </c>
      <c r="E1237" s="26">
        <v>0</v>
      </c>
      <c r="F1237" s="29" t="s">
        <v>232</v>
      </c>
    </row>
    <row r="1238" spans="1:6" ht="43.5" x14ac:dyDescent="0.35">
      <c r="A1238" s="26" t="s">
        <v>216</v>
      </c>
      <c r="B1238" s="26" t="s">
        <v>2692</v>
      </c>
      <c r="C1238" s="26" t="s">
        <v>15</v>
      </c>
      <c r="D1238" s="28" t="s">
        <v>218</v>
      </c>
      <c r="E1238" s="26" t="s">
        <v>2693</v>
      </c>
      <c r="F1238" s="29" t="s">
        <v>220</v>
      </c>
    </row>
    <row r="1239" spans="1:6" ht="29" x14ac:dyDescent="0.35">
      <c r="A1239" s="26" t="s">
        <v>216</v>
      </c>
      <c r="B1239" s="26" t="s">
        <v>2694</v>
      </c>
      <c r="C1239" s="26" t="s">
        <v>17</v>
      </c>
      <c r="D1239" s="28" t="s">
        <v>2695</v>
      </c>
      <c r="E1239" s="26">
        <v>13436</v>
      </c>
      <c r="F1239" s="29" t="s">
        <v>247</v>
      </c>
    </row>
    <row r="1240" spans="1:6" ht="29" x14ac:dyDescent="0.35">
      <c r="A1240" s="26" t="s">
        <v>216</v>
      </c>
      <c r="B1240" s="26" t="s">
        <v>2696</v>
      </c>
      <c r="C1240" s="26" t="s">
        <v>20</v>
      </c>
      <c r="D1240" s="28" t="s">
        <v>2697</v>
      </c>
      <c r="E1240" s="26">
        <v>13436</v>
      </c>
      <c r="F1240" s="29" t="s">
        <v>223</v>
      </c>
    </row>
    <row r="1241" spans="1:6" ht="58" x14ac:dyDescent="0.35">
      <c r="A1241" s="26" t="s">
        <v>216</v>
      </c>
      <c r="B1241" s="26" t="s">
        <v>2698</v>
      </c>
      <c r="C1241" s="26" t="s">
        <v>25</v>
      </c>
      <c r="D1241" s="28" t="s">
        <v>2699</v>
      </c>
      <c r="E1241" s="26">
        <v>0</v>
      </c>
      <c r="F1241" s="29" t="s">
        <v>226</v>
      </c>
    </row>
    <row r="1242" spans="1:6" ht="43.5" x14ac:dyDescent="0.35">
      <c r="A1242" s="26" t="s">
        <v>216</v>
      </c>
      <c r="B1242" s="26" t="s">
        <v>2700</v>
      </c>
      <c r="C1242" s="26" t="s">
        <v>27</v>
      </c>
      <c r="D1242" s="28" t="s">
        <v>2701</v>
      </c>
      <c r="E1242" s="26">
        <v>0</v>
      </c>
      <c r="F1242" s="29" t="s">
        <v>229</v>
      </c>
    </row>
    <row r="1243" spans="1:6" ht="29" x14ac:dyDescent="0.35">
      <c r="A1243" s="26" t="s">
        <v>216</v>
      </c>
      <c r="B1243" s="26" t="s">
        <v>2702</v>
      </c>
      <c r="C1243" s="26" t="s">
        <v>24</v>
      </c>
      <c r="D1243" s="28" t="s">
        <v>2703</v>
      </c>
      <c r="E1243" s="26">
        <v>0</v>
      </c>
      <c r="F1243" s="29" t="s">
        <v>232</v>
      </c>
    </row>
    <row r="1244" spans="1:6" ht="43.5" x14ac:dyDescent="0.35">
      <c r="A1244" s="26" t="s">
        <v>216</v>
      </c>
      <c r="B1244" s="26" t="s">
        <v>2704</v>
      </c>
      <c r="C1244" s="26" t="s">
        <v>15</v>
      </c>
      <c r="D1244" s="28" t="s">
        <v>218</v>
      </c>
      <c r="E1244" s="26" t="s">
        <v>2705</v>
      </c>
      <c r="F1244" s="29" t="s">
        <v>220</v>
      </c>
    </row>
    <row r="1245" spans="1:6" ht="29" x14ac:dyDescent="0.35">
      <c r="A1245" s="26" t="s">
        <v>216</v>
      </c>
      <c r="B1245" s="26" t="s">
        <v>2706</v>
      </c>
      <c r="C1245" s="26" t="s">
        <v>17</v>
      </c>
      <c r="D1245" s="28" t="s">
        <v>2707</v>
      </c>
      <c r="E1245" s="26">
        <v>13436</v>
      </c>
      <c r="F1245" s="29" t="s">
        <v>247</v>
      </c>
    </row>
    <row r="1246" spans="1:6" ht="29" x14ac:dyDescent="0.35">
      <c r="A1246" s="26" t="s">
        <v>216</v>
      </c>
      <c r="B1246" s="26" t="s">
        <v>2708</v>
      </c>
      <c r="C1246" s="26" t="s">
        <v>20</v>
      </c>
      <c r="D1246" s="28" t="s">
        <v>2709</v>
      </c>
      <c r="E1246" s="26">
        <v>13436</v>
      </c>
      <c r="F1246" s="29" t="s">
        <v>223</v>
      </c>
    </row>
    <row r="1247" spans="1:6" ht="58" x14ac:dyDescent="0.35">
      <c r="A1247" s="26" t="s">
        <v>216</v>
      </c>
      <c r="B1247" s="26" t="s">
        <v>2710</v>
      </c>
      <c r="C1247" s="26" t="s">
        <v>25</v>
      </c>
      <c r="D1247" s="28" t="s">
        <v>2711</v>
      </c>
      <c r="E1247" s="26">
        <v>0</v>
      </c>
      <c r="F1247" s="29" t="s">
        <v>226</v>
      </c>
    </row>
    <row r="1248" spans="1:6" ht="43.5" x14ac:dyDescent="0.35">
      <c r="A1248" s="26" t="s">
        <v>216</v>
      </c>
      <c r="B1248" s="26" t="s">
        <v>2712</v>
      </c>
      <c r="C1248" s="26" t="s">
        <v>27</v>
      </c>
      <c r="D1248" s="28" t="s">
        <v>2713</v>
      </c>
      <c r="E1248" s="26">
        <v>0</v>
      </c>
      <c r="F1248" s="29" t="s">
        <v>229</v>
      </c>
    </row>
    <row r="1249" spans="1:6" ht="29" x14ac:dyDescent="0.35">
      <c r="A1249" s="26" t="s">
        <v>216</v>
      </c>
      <c r="B1249" s="26" t="s">
        <v>2714</v>
      </c>
      <c r="C1249" s="26" t="s">
        <v>24</v>
      </c>
      <c r="D1249" s="28" t="s">
        <v>2715</v>
      </c>
      <c r="E1249" s="26">
        <v>0</v>
      </c>
      <c r="F1249" s="29" t="s">
        <v>232</v>
      </c>
    </row>
    <row r="1250" spans="1:6" ht="43.5" x14ac:dyDescent="0.35">
      <c r="A1250" s="26" t="s">
        <v>216</v>
      </c>
      <c r="B1250" s="26" t="s">
        <v>2716</v>
      </c>
      <c r="C1250" s="26" t="s">
        <v>15</v>
      </c>
      <c r="D1250" s="28" t="s">
        <v>218</v>
      </c>
      <c r="E1250" s="26" t="s">
        <v>2717</v>
      </c>
      <c r="F1250" s="29" t="s">
        <v>220</v>
      </c>
    </row>
    <row r="1251" spans="1:6" ht="29" x14ac:dyDescent="0.35">
      <c r="A1251" s="26" t="s">
        <v>216</v>
      </c>
      <c r="B1251" s="26" t="s">
        <v>2718</v>
      </c>
      <c r="C1251" s="26" t="s">
        <v>17</v>
      </c>
      <c r="D1251" s="28" t="s">
        <v>2719</v>
      </c>
      <c r="E1251" s="26">
        <v>13436</v>
      </c>
      <c r="F1251" s="29" t="s">
        <v>247</v>
      </c>
    </row>
    <row r="1252" spans="1:6" ht="29" x14ac:dyDescent="0.35">
      <c r="A1252" s="26" t="s">
        <v>216</v>
      </c>
      <c r="B1252" s="26" t="s">
        <v>2720</v>
      </c>
      <c r="C1252" s="26" t="s">
        <v>20</v>
      </c>
      <c r="D1252" s="28" t="s">
        <v>2721</v>
      </c>
      <c r="E1252" s="26">
        <v>13436</v>
      </c>
      <c r="F1252" s="29" t="s">
        <v>223</v>
      </c>
    </row>
    <row r="1253" spans="1:6" ht="58" x14ac:dyDescent="0.35">
      <c r="A1253" s="26" t="s">
        <v>216</v>
      </c>
      <c r="B1253" s="26" t="s">
        <v>2722</v>
      </c>
      <c r="C1253" s="26" t="s">
        <v>25</v>
      </c>
      <c r="D1253" s="28" t="s">
        <v>2723</v>
      </c>
      <c r="E1253" s="26">
        <v>0</v>
      </c>
      <c r="F1253" s="29" t="s">
        <v>226</v>
      </c>
    </row>
    <row r="1254" spans="1:6" ht="43.5" x14ac:dyDescent="0.35">
      <c r="A1254" s="26" t="s">
        <v>216</v>
      </c>
      <c r="B1254" s="26" t="s">
        <v>2724</v>
      </c>
      <c r="C1254" s="26" t="s">
        <v>27</v>
      </c>
      <c r="D1254" s="28" t="s">
        <v>2725</v>
      </c>
      <c r="E1254" s="26">
        <v>0</v>
      </c>
      <c r="F1254" s="29" t="s">
        <v>229</v>
      </c>
    </row>
    <row r="1255" spans="1:6" ht="29" x14ac:dyDescent="0.35">
      <c r="A1255" s="26" t="s">
        <v>216</v>
      </c>
      <c r="B1255" s="26" t="s">
        <v>2726</v>
      </c>
      <c r="C1255" s="26" t="s">
        <v>24</v>
      </c>
      <c r="D1255" s="28" t="s">
        <v>2727</v>
      </c>
      <c r="E1255" s="26">
        <v>0</v>
      </c>
      <c r="F1255" s="29" t="s">
        <v>232</v>
      </c>
    </row>
    <row r="1256" spans="1:6" ht="43.5" x14ac:dyDescent="0.35">
      <c r="A1256" s="26" t="s">
        <v>216</v>
      </c>
      <c r="B1256" s="26" t="s">
        <v>2728</v>
      </c>
      <c r="C1256" s="26" t="s">
        <v>15</v>
      </c>
      <c r="D1256" s="28" t="s">
        <v>218</v>
      </c>
      <c r="E1256" s="26" t="s">
        <v>2729</v>
      </c>
      <c r="F1256" s="29" t="s">
        <v>220</v>
      </c>
    </row>
    <row r="1257" spans="1:6" ht="29" x14ac:dyDescent="0.35">
      <c r="A1257" s="26" t="s">
        <v>216</v>
      </c>
      <c r="B1257" s="26" t="s">
        <v>2730</v>
      </c>
      <c r="C1257" s="26" t="s">
        <v>17</v>
      </c>
      <c r="D1257" s="28" t="s">
        <v>2731</v>
      </c>
      <c r="E1257" s="26">
        <v>13436</v>
      </c>
      <c r="F1257" s="29" t="s">
        <v>247</v>
      </c>
    </row>
    <row r="1258" spans="1:6" ht="29" x14ac:dyDescent="0.35">
      <c r="A1258" s="26" t="s">
        <v>216</v>
      </c>
      <c r="B1258" s="26" t="s">
        <v>2732</v>
      </c>
      <c r="C1258" s="26" t="s">
        <v>20</v>
      </c>
      <c r="D1258" s="28" t="s">
        <v>2733</v>
      </c>
      <c r="E1258" s="26">
        <v>13436</v>
      </c>
      <c r="F1258" s="29" t="s">
        <v>223</v>
      </c>
    </row>
    <row r="1259" spans="1:6" ht="58" x14ac:dyDescent="0.35">
      <c r="A1259" s="26" t="s">
        <v>216</v>
      </c>
      <c r="B1259" s="26" t="s">
        <v>2734</v>
      </c>
      <c r="C1259" s="26" t="s">
        <v>25</v>
      </c>
      <c r="D1259" s="28" t="s">
        <v>2735</v>
      </c>
      <c r="E1259" s="26">
        <v>0</v>
      </c>
      <c r="F1259" s="29" t="s">
        <v>226</v>
      </c>
    </row>
    <row r="1260" spans="1:6" ht="43.5" x14ac:dyDescent="0.35">
      <c r="A1260" s="26" t="s">
        <v>216</v>
      </c>
      <c r="B1260" s="26" t="s">
        <v>2736</v>
      </c>
      <c r="C1260" s="26" t="s">
        <v>27</v>
      </c>
      <c r="D1260" s="28" t="s">
        <v>2737</v>
      </c>
      <c r="E1260" s="26">
        <v>0</v>
      </c>
      <c r="F1260" s="29" t="s">
        <v>229</v>
      </c>
    </row>
    <row r="1261" spans="1:6" ht="29" x14ac:dyDescent="0.35">
      <c r="A1261" s="26" t="s">
        <v>216</v>
      </c>
      <c r="B1261" s="26" t="s">
        <v>2738</v>
      </c>
      <c r="C1261" s="26" t="s">
        <v>24</v>
      </c>
      <c r="D1261" s="28" t="s">
        <v>2739</v>
      </c>
      <c r="E1261" s="26">
        <v>0</v>
      </c>
      <c r="F1261" s="29" t="s">
        <v>232</v>
      </c>
    </row>
    <row r="1262" spans="1:6" ht="43.5" x14ac:dyDescent="0.35">
      <c r="A1262" s="26" t="s">
        <v>216</v>
      </c>
      <c r="B1262" s="26" t="s">
        <v>2740</v>
      </c>
      <c r="C1262" s="26" t="s">
        <v>15</v>
      </c>
      <c r="D1262" s="28" t="s">
        <v>218</v>
      </c>
      <c r="E1262" s="26" t="s">
        <v>2741</v>
      </c>
      <c r="F1262" s="29" t="s">
        <v>220</v>
      </c>
    </row>
    <row r="1263" spans="1:6" ht="29" x14ac:dyDescent="0.35">
      <c r="A1263" s="26" t="s">
        <v>216</v>
      </c>
      <c r="B1263" s="26" t="s">
        <v>2742</v>
      </c>
      <c r="C1263" s="26" t="s">
        <v>17</v>
      </c>
      <c r="D1263" s="28" t="s">
        <v>2743</v>
      </c>
      <c r="E1263" s="26">
        <v>13436</v>
      </c>
      <c r="F1263" s="29" t="s">
        <v>247</v>
      </c>
    </row>
    <row r="1264" spans="1:6" ht="29" x14ac:dyDescent="0.35">
      <c r="A1264" s="26" t="s">
        <v>216</v>
      </c>
      <c r="B1264" s="26" t="s">
        <v>2744</v>
      </c>
      <c r="C1264" s="26" t="s">
        <v>20</v>
      </c>
      <c r="D1264" s="28" t="s">
        <v>2745</v>
      </c>
      <c r="E1264" s="26">
        <v>13436</v>
      </c>
      <c r="F1264" s="29" t="s">
        <v>223</v>
      </c>
    </row>
    <row r="1265" spans="1:6" ht="58" x14ac:dyDescent="0.35">
      <c r="A1265" s="26" t="s">
        <v>216</v>
      </c>
      <c r="B1265" s="26" t="s">
        <v>2746</v>
      </c>
      <c r="C1265" s="26" t="s">
        <v>25</v>
      </c>
      <c r="D1265" s="28" t="s">
        <v>2747</v>
      </c>
      <c r="E1265" s="26">
        <v>0</v>
      </c>
      <c r="F1265" s="29" t="s">
        <v>226</v>
      </c>
    </row>
    <row r="1266" spans="1:6" ht="43.5" x14ac:dyDescent="0.35">
      <c r="A1266" s="26" t="s">
        <v>216</v>
      </c>
      <c r="B1266" s="26" t="s">
        <v>2748</v>
      </c>
      <c r="C1266" s="26" t="s">
        <v>27</v>
      </c>
      <c r="D1266" s="28" t="s">
        <v>2749</v>
      </c>
      <c r="E1266" s="26">
        <v>0</v>
      </c>
      <c r="F1266" s="29" t="s">
        <v>229</v>
      </c>
    </row>
    <row r="1267" spans="1:6" ht="29" x14ac:dyDescent="0.35">
      <c r="A1267" s="26" t="s">
        <v>216</v>
      </c>
      <c r="B1267" s="26" t="s">
        <v>2750</v>
      </c>
      <c r="C1267" s="26" t="s">
        <v>24</v>
      </c>
      <c r="D1267" s="28" t="s">
        <v>2751</v>
      </c>
      <c r="E1267" s="26">
        <v>0</v>
      </c>
      <c r="F1267" s="29" t="s">
        <v>232</v>
      </c>
    </row>
    <row r="1268" spans="1:6" ht="43.5" x14ac:dyDescent="0.35">
      <c r="A1268" s="26" t="s">
        <v>216</v>
      </c>
      <c r="B1268" s="26" t="s">
        <v>2752</v>
      </c>
      <c r="C1268" s="26" t="s">
        <v>15</v>
      </c>
      <c r="D1268" s="28" t="s">
        <v>218</v>
      </c>
      <c r="E1268" s="26" t="s">
        <v>2753</v>
      </c>
      <c r="F1268" s="29" t="s">
        <v>220</v>
      </c>
    </row>
    <row r="1269" spans="1:6" ht="29" x14ac:dyDescent="0.35">
      <c r="A1269" s="26" t="s">
        <v>216</v>
      </c>
      <c r="B1269" s="26" t="s">
        <v>2754</v>
      </c>
      <c r="C1269" s="26" t="s">
        <v>17</v>
      </c>
      <c r="D1269" s="28" t="s">
        <v>2755</v>
      </c>
      <c r="E1269" s="26">
        <v>13436</v>
      </c>
      <c r="F1269" s="29" t="s">
        <v>247</v>
      </c>
    </row>
    <row r="1270" spans="1:6" ht="29" x14ac:dyDescent="0.35">
      <c r="A1270" s="26" t="s">
        <v>216</v>
      </c>
      <c r="B1270" s="26" t="s">
        <v>2756</v>
      </c>
      <c r="C1270" s="26" t="s">
        <v>20</v>
      </c>
      <c r="D1270" s="28" t="s">
        <v>2757</v>
      </c>
      <c r="E1270" s="26">
        <v>13436</v>
      </c>
      <c r="F1270" s="29" t="s">
        <v>223</v>
      </c>
    </row>
    <row r="1271" spans="1:6" ht="58" x14ac:dyDescent="0.35">
      <c r="A1271" s="26" t="s">
        <v>216</v>
      </c>
      <c r="B1271" s="26" t="s">
        <v>2758</v>
      </c>
      <c r="C1271" s="26" t="s">
        <v>25</v>
      </c>
      <c r="D1271" s="28" t="s">
        <v>2759</v>
      </c>
      <c r="E1271" s="26">
        <v>0</v>
      </c>
      <c r="F1271" s="29" t="s">
        <v>226</v>
      </c>
    </row>
    <row r="1272" spans="1:6" ht="43.5" x14ac:dyDescent="0.35">
      <c r="A1272" s="26" t="s">
        <v>216</v>
      </c>
      <c r="B1272" s="26" t="s">
        <v>2760</v>
      </c>
      <c r="C1272" s="26" t="s">
        <v>27</v>
      </c>
      <c r="D1272" s="28" t="s">
        <v>2761</v>
      </c>
      <c r="E1272" s="26">
        <v>0</v>
      </c>
      <c r="F1272" s="29" t="s">
        <v>229</v>
      </c>
    </row>
    <row r="1273" spans="1:6" ht="29" x14ac:dyDescent="0.35">
      <c r="A1273" s="26" t="s">
        <v>216</v>
      </c>
      <c r="B1273" s="26" t="s">
        <v>2762</v>
      </c>
      <c r="C1273" s="26" t="s">
        <v>24</v>
      </c>
      <c r="D1273" s="28" t="s">
        <v>2763</v>
      </c>
      <c r="E1273" s="26">
        <v>0</v>
      </c>
      <c r="F1273" s="29" t="s">
        <v>232</v>
      </c>
    </row>
    <row r="1274" spans="1:6" ht="43.5" x14ac:dyDescent="0.35">
      <c r="A1274" s="26" t="s">
        <v>216</v>
      </c>
      <c r="B1274" s="26" t="s">
        <v>2764</v>
      </c>
      <c r="C1274" s="26" t="s">
        <v>15</v>
      </c>
      <c r="D1274" s="28" t="s">
        <v>218</v>
      </c>
      <c r="E1274" s="26" t="s">
        <v>2765</v>
      </c>
      <c r="F1274" s="29" t="s">
        <v>220</v>
      </c>
    </row>
    <row r="1275" spans="1:6" ht="29" x14ac:dyDescent="0.35">
      <c r="A1275" s="26" t="s">
        <v>216</v>
      </c>
      <c r="B1275" s="26" t="s">
        <v>2766</v>
      </c>
      <c r="C1275" s="26" t="s">
        <v>17</v>
      </c>
      <c r="D1275" s="28" t="s">
        <v>2767</v>
      </c>
      <c r="E1275" s="26">
        <v>13436</v>
      </c>
      <c r="F1275" s="29" t="s">
        <v>247</v>
      </c>
    </row>
    <row r="1276" spans="1:6" ht="29" x14ac:dyDescent="0.35">
      <c r="A1276" s="26" t="s">
        <v>216</v>
      </c>
      <c r="B1276" s="26" t="s">
        <v>2768</v>
      </c>
      <c r="C1276" s="26" t="s">
        <v>20</v>
      </c>
      <c r="D1276" s="28" t="s">
        <v>2769</v>
      </c>
      <c r="E1276" s="26">
        <v>13436</v>
      </c>
      <c r="F1276" s="29" t="s">
        <v>223</v>
      </c>
    </row>
    <row r="1277" spans="1:6" ht="58" x14ac:dyDescent="0.35">
      <c r="A1277" s="26" t="s">
        <v>216</v>
      </c>
      <c r="B1277" s="26" t="s">
        <v>2770</v>
      </c>
      <c r="C1277" s="26" t="s">
        <v>25</v>
      </c>
      <c r="D1277" s="28" t="s">
        <v>2771</v>
      </c>
      <c r="E1277" s="26">
        <v>0</v>
      </c>
      <c r="F1277" s="29" t="s">
        <v>226</v>
      </c>
    </row>
    <row r="1278" spans="1:6" ht="43.5" x14ac:dyDescent="0.35">
      <c r="A1278" s="26" t="s">
        <v>216</v>
      </c>
      <c r="B1278" s="26" t="s">
        <v>2772</v>
      </c>
      <c r="C1278" s="26" t="s">
        <v>27</v>
      </c>
      <c r="D1278" s="28" t="s">
        <v>2773</v>
      </c>
      <c r="E1278" s="26">
        <v>0</v>
      </c>
      <c r="F1278" s="29" t="s">
        <v>229</v>
      </c>
    </row>
    <row r="1279" spans="1:6" ht="29" x14ac:dyDescent="0.35">
      <c r="A1279" s="26" t="s">
        <v>216</v>
      </c>
      <c r="B1279" s="26" t="s">
        <v>2774</v>
      </c>
      <c r="C1279" s="26" t="s">
        <v>24</v>
      </c>
      <c r="D1279" s="28" t="s">
        <v>2775</v>
      </c>
      <c r="E1279" s="26">
        <v>0</v>
      </c>
      <c r="F1279" s="29" t="s">
        <v>232</v>
      </c>
    </row>
    <row r="1280" spans="1:6" ht="43.5" x14ac:dyDescent="0.35">
      <c r="A1280" s="26" t="s">
        <v>216</v>
      </c>
      <c r="B1280" s="26" t="s">
        <v>2776</v>
      </c>
      <c r="C1280" s="26" t="s">
        <v>15</v>
      </c>
      <c r="D1280" s="28" t="s">
        <v>218</v>
      </c>
      <c r="E1280" s="26" t="s">
        <v>2777</v>
      </c>
      <c r="F1280" s="29" t="s">
        <v>220</v>
      </c>
    </row>
    <row r="1281" spans="1:6" ht="29" x14ac:dyDescent="0.35">
      <c r="A1281" s="26" t="s">
        <v>216</v>
      </c>
      <c r="B1281" s="26" t="s">
        <v>2778</v>
      </c>
      <c r="C1281" s="26" t="s">
        <v>17</v>
      </c>
      <c r="D1281" s="28" t="s">
        <v>2779</v>
      </c>
      <c r="E1281" s="26">
        <v>13436</v>
      </c>
      <c r="F1281" s="29" t="s">
        <v>247</v>
      </c>
    </row>
    <row r="1282" spans="1:6" ht="29" x14ac:dyDescent="0.35">
      <c r="A1282" s="26" t="s">
        <v>216</v>
      </c>
      <c r="B1282" s="26" t="s">
        <v>2780</v>
      </c>
      <c r="C1282" s="26" t="s">
        <v>20</v>
      </c>
      <c r="D1282" s="28" t="s">
        <v>2781</v>
      </c>
      <c r="E1282" s="26">
        <v>13436</v>
      </c>
      <c r="F1282" s="29" t="s">
        <v>223</v>
      </c>
    </row>
    <row r="1283" spans="1:6" ht="58" x14ac:dyDescent="0.35">
      <c r="A1283" s="26" t="s">
        <v>216</v>
      </c>
      <c r="B1283" s="26" t="s">
        <v>2782</v>
      </c>
      <c r="C1283" s="26" t="s">
        <v>25</v>
      </c>
      <c r="D1283" s="28" t="s">
        <v>2783</v>
      </c>
      <c r="E1283" s="26">
        <v>0</v>
      </c>
      <c r="F1283" s="29" t="s">
        <v>226</v>
      </c>
    </row>
    <row r="1284" spans="1:6" ht="43.5" x14ac:dyDescent="0.35">
      <c r="A1284" s="26" t="s">
        <v>216</v>
      </c>
      <c r="B1284" s="26" t="s">
        <v>2784</v>
      </c>
      <c r="C1284" s="26" t="s">
        <v>27</v>
      </c>
      <c r="D1284" s="28" t="s">
        <v>2785</v>
      </c>
      <c r="E1284" s="26">
        <v>0</v>
      </c>
      <c r="F1284" s="29" t="s">
        <v>229</v>
      </c>
    </row>
    <row r="1285" spans="1:6" ht="29" x14ac:dyDescent="0.35">
      <c r="A1285" s="26" t="s">
        <v>216</v>
      </c>
      <c r="B1285" s="26" t="s">
        <v>2786</v>
      </c>
      <c r="C1285" s="26" t="s">
        <v>24</v>
      </c>
      <c r="D1285" s="28" t="s">
        <v>2787</v>
      </c>
      <c r="E1285" s="26">
        <v>0</v>
      </c>
      <c r="F1285" s="29" t="s">
        <v>232</v>
      </c>
    </row>
    <row r="1286" spans="1:6" ht="43.5" x14ac:dyDescent="0.35">
      <c r="A1286" s="26" t="s">
        <v>216</v>
      </c>
      <c r="B1286" s="26" t="s">
        <v>2788</v>
      </c>
      <c r="C1286" s="26" t="s">
        <v>15</v>
      </c>
      <c r="D1286" s="28" t="s">
        <v>218</v>
      </c>
      <c r="E1286" s="26" t="s">
        <v>2789</v>
      </c>
      <c r="F1286" s="29" t="s">
        <v>220</v>
      </c>
    </row>
    <row r="1287" spans="1:6" ht="29" x14ac:dyDescent="0.35">
      <c r="A1287" s="26" t="s">
        <v>216</v>
      </c>
      <c r="B1287" s="26" t="s">
        <v>2790</v>
      </c>
      <c r="C1287" s="26" t="s">
        <v>17</v>
      </c>
      <c r="D1287" s="28" t="s">
        <v>2791</v>
      </c>
      <c r="E1287" s="26">
        <v>13436</v>
      </c>
      <c r="F1287" s="29" t="s">
        <v>247</v>
      </c>
    </row>
    <row r="1288" spans="1:6" ht="29" x14ac:dyDescent="0.35">
      <c r="A1288" s="26" t="s">
        <v>216</v>
      </c>
      <c r="B1288" s="26" t="s">
        <v>2792</v>
      </c>
      <c r="C1288" s="26" t="s">
        <v>20</v>
      </c>
      <c r="D1288" s="28" t="s">
        <v>2793</v>
      </c>
      <c r="E1288" s="26">
        <v>13436</v>
      </c>
      <c r="F1288" s="29" t="s">
        <v>223</v>
      </c>
    </row>
    <row r="1289" spans="1:6" ht="58" x14ac:dyDescent="0.35">
      <c r="A1289" s="26" t="s">
        <v>216</v>
      </c>
      <c r="B1289" s="26" t="s">
        <v>2794</v>
      </c>
      <c r="C1289" s="26" t="s">
        <v>25</v>
      </c>
      <c r="D1289" s="28" t="s">
        <v>2795</v>
      </c>
      <c r="E1289" s="26">
        <v>0</v>
      </c>
      <c r="F1289" s="29" t="s">
        <v>226</v>
      </c>
    </row>
    <row r="1290" spans="1:6" ht="43.5" x14ac:dyDescent="0.35">
      <c r="A1290" s="26" t="s">
        <v>216</v>
      </c>
      <c r="B1290" s="26" t="s">
        <v>2796</v>
      </c>
      <c r="C1290" s="26" t="s">
        <v>27</v>
      </c>
      <c r="D1290" s="28" t="s">
        <v>2797</v>
      </c>
      <c r="E1290" s="26">
        <v>0</v>
      </c>
      <c r="F1290" s="29" t="s">
        <v>229</v>
      </c>
    </row>
    <row r="1291" spans="1:6" ht="29" x14ac:dyDescent="0.35">
      <c r="A1291" s="26" t="s">
        <v>216</v>
      </c>
      <c r="B1291" s="26" t="s">
        <v>2798</v>
      </c>
      <c r="C1291" s="26" t="s">
        <v>24</v>
      </c>
      <c r="D1291" s="28" t="s">
        <v>2799</v>
      </c>
      <c r="E1291" s="26">
        <v>0</v>
      </c>
      <c r="F1291" s="29" t="s">
        <v>232</v>
      </c>
    </row>
    <row r="1292" spans="1:6" ht="43.5" x14ac:dyDescent="0.35">
      <c r="A1292" s="26" t="s">
        <v>216</v>
      </c>
      <c r="B1292" s="26" t="s">
        <v>2800</v>
      </c>
      <c r="C1292" s="26" t="s">
        <v>15</v>
      </c>
      <c r="D1292" s="28" t="s">
        <v>218</v>
      </c>
      <c r="E1292" s="26" t="s">
        <v>2801</v>
      </c>
      <c r="F1292" s="29" t="s">
        <v>220</v>
      </c>
    </row>
    <row r="1293" spans="1:6" ht="29" x14ac:dyDescent="0.35">
      <c r="A1293" s="26" t="s">
        <v>216</v>
      </c>
      <c r="B1293" s="26" t="s">
        <v>2802</v>
      </c>
      <c r="C1293" s="26" t="s">
        <v>17</v>
      </c>
      <c r="D1293" s="28" t="s">
        <v>2803</v>
      </c>
      <c r="E1293" s="26">
        <v>13436</v>
      </c>
      <c r="F1293" s="29" t="s">
        <v>247</v>
      </c>
    </row>
    <row r="1294" spans="1:6" ht="29" x14ac:dyDescent="0.35">
      <c r="A1294" s="26" t="s">
        <v>216</v>
      </c>
      <c r="B1294" s="26" t="s">
        <v>2804</v>
      </c>
      <c r="C1294" s="26" t="s">
        <v>20</v>
      </c>
      <c r="D1294" s="28" t="s">
        <v>2805</v>
      </c>
      <c r="E1294" s="26">
        <v>13436</v>
      </c>
      <c r="F1294" s="29" t="s">
        <v>223</v>
      </c>
    </row>
    <row r="1295" spans="1:6" ht="58" x14ac:dyDescent="0.35">
      <c r="A1295" s="26" t="s">
        <v>216</v>
      </c>
      <c r="B1295" s="26" t="s">
        <v>2806</v>
      </c>
      <c r="C1295" s="26" t="s">
        <v>25</v>
      </c>
      <c r="D1295" s="28" t="s">
        <v>2807</v>
      </c>
      <c r="E1295" s="26">
        <v>0</v>
      </c>
      <c r="F1295" s="29" t="s">
        <v>226</v>
      </c>
    </row>
    <row r="1296" spans="1:6" ht="43.5" x14ac:dyDescent="0.35">
      <c r="A1296" s="26" t="s">
        <v>216</v>
      </c>
      <c r="B1296" s="26" t="s">
        <v>2808</v>
      </c>
      <c r="C1296" s="26" t="s">
        <v>27</v>
      </c>
      <c r="D1296" s="28" t="s">
        <v>2809</v>
      </c>
      <c r="E1296" s="26">
        <v>0</v>
      </c>
      <c r="F1296" s="29" t="s">
        <v>229</v>
      </c>
    </row>
    <row r="1297" spans="1:6" ht="29" x14ac:dyDescent="0.35">
      <c r="A1297" s="26" t="s">
        <v>216</v>
      </c>
      <c r="B1297" s="26" t="s">
        <v>2810</v>
      </c>
      <c r="C1297" s="26" t="s">
        <v>24</v>
      </c>
      <c r="D1297" s="28" t="s">
        <v>2811</v>
      </c>
      <c r="E1297" s="26">
        <v>0</v>
      </c>
      <c r="F1297" s="29" t="s">
        <v>232</v>
      </c>
    </row>
    <row r="1298" spans="1:6" ht="43.5" x14ac:dyDescent="0.35">
      <c r="A1298" s="26" t="s">
        <v>216</v>
      </c>
      <c r="B1298" s="26" t="s">
        <v>2812</v>
      </c>
      <c r="C1298" s="26" t="s">
        <v>15</v>
      </c>
      <c r="D1298" s="28" t="s">
        <v>218</v>
      </c>
      <c r="E1298" s="26" t="s">
        <v>2813</v>
      </c>
      <c r="F1298" s="29" t="s">
        <v>220</v>
      </c>
    </row>
    <row r="1299" spans="1:6" ht="29" x14ac:dyDescent="0.35">
      <c r="A1299" s="26" t="s">
        <v>216</v>
      </c>
      <c r="B1299" s="26" t="s">
        <v>2814</v>
      </c>
      <c r="C1299" s="26" t="s">
        <v>17</v>
      </c>
      <c r="D1299" s="28" t="s">
        <v>2815</v>
      </c>
      <c r="E1299" s="26">
        <v>13436</v>
      </c>
      <c r="F1299" s="29" t="s">
        <v>247</v>
      </c>
    </row>
    <row r="1300" spans="1:6" ht="29" x14ac:dyDescent="0.35">
      <c r="A1300" s="26" t="s">
        <v>216</v>
      </c>
      <c r="B1300" s="26" t="s">
        <v>2816</v>
      </c>
      <c r="C1300" s="26" t="s">
        <v>20</v>
      </c>
      <c r="D1300" s="28" t="s">
        <v>2817</v>
      </c>
      <c r="E1300" s="26">
        <v>13436</v>
      </c>
      <c r="F1300" s="29" t="s">
        <v>223</v>
      </c>
    </row>
    <row r="1301" spans="1:6" ht="58" x14ac:dyDescent="0.35">
      <c r="A1301" s="26" t="s">
        <v>216</v>
      </c>
      <c r="B1301" s="26" t="s">
        <v>2818</v>
      </c>
      <c r="C1301" s="26" t="s">
        <v>25</v>
      </c>
      <c r="D1301" s="28" t="s">
        <v>2819</v>
      </c>
      <c r="E1301" s="26">
        <v>0</v>
      </c>
      <c r="F1301" s="29" t="s">
        <v>226</v>
      </c>
    </row>
    <row r="1302" spans="1:6" ht="43.5" x14ac:dyDescent="0.35">
      <c r="A1302" s="26" t="s">
        <v>216</v>
      </c>
      <c r="B1302" s="26" t="s">
        <v>2820</v>
      </c>
      <c r="C1302" s="26" t="s">
        <v>27</v>
      </c>
      <c r="D1302" s="28" t="s">
        <v>2821</v>
      </c>
      <c r="E1302" s="26">
        <v>0</v>
      </c>
      <c r="F1302" s="29" t="s">
        <v>229</v>
      </c>
    </row>
    <row r="1303" spans="1:6" ht="29" x14ac:dyDescent="0.35">
      <c r="A1303" s="26" t="s">
        <v>216</v>
      </c>
      <c r="B1303" s="26" t="s">
        <v>2822</v>
      </c>
      <c r="C1303" s="26" t="s">
        <v>24</v>
      </c>
      <c r="D1303" s="28" t="s">
        <v>2823</v>
      </c>
      <c r="E1303" s="26">
        <v>0</v>
      </c>
      <c r="F1303" s="29" t="s">
        <v>232</v>
      </c>
    </row>
    <row r="1304" spans="1:6" ht="43.5" x14ac:dyDescent="0.35">
      <c r="A1304" s="26" t="s">
        <v>216</v>
      </c>
      <c r="B1304" s="26" t="s">
        <v>2824</v>
      </c>
      <c r="C1304" s="26" t="s">
        <v>15</v>
      </c>
      <c r="D1304" s="28" t="s">
        <v>218</v>
      </c>
      <c r="E1304" s="26" t="s">
        <v>2825</v>
      </c>
      <c r="F1304" s="29" t="s">
        <v>220</v>
      </c>
    </row>
    <row r="1305" spans="1:6" ht="29" x14ac:dyDescent="0.35">
      <c r="A1305" s="26" t="s">
        <v>216</v>
      </c>
      <c r="B1305" s="26" t="s">
        <v>2826</v>
      </c>
      <c r="C1305" s="26" t="s">
        <v>17</v>
      </c>
      <c r="D1305" s="28" t="s">
        <v>2827</v>
      </c>
      <c r="E1305" s="26">
        <v>13436</v>
      </c>
      <c r="F1305" s="29" t="s">
        <v>247</v>
      </c>
    </row>
    <row r="1306" spans="1:6" ht="29" x14ac:dyDescent="0.35">
      <c r="A1306" s="26" t="s">
        <v>216</v>
      </c>
      <c r="B1306" s="26" t="s">
        <v>2828</v>
      </c>
      <c r="C1306" s="26" t="s">
        <v>20</v>
      </c>
      <c r="D1306" s="28" t="s">
        <v>2829</v>
      </c>
      <c r="E1306" s="26">
        <v>13436</v>
      </c>
      <c r="F1306" s="29" t="s">
        <v>223</v>
      </c>
    </row>
    <row r="1307" spans="1:6" ht="58" x14ac:dyDescent="0.35">
      <c r="A1307" s="26" t="s">
        <v>216</v>
      </c>
      <c r="B1307" s="26" t="s">
        <v>2830</v>
      </c>
      <c r="C1307" s="26" t="s">
        <v>25</v>
      </c>
      <c r="D1307" s="28" t="s">
        <v>2831</v>
      </c>
      <c r="E1307" s="26">
        <v>0</v>
      </c>
      <c r="F1307" s="29" t="s">
        <v>226</v>
      </c>
    </row>
    <row r="1308" spans="1:6" ht="43.5" x14ac:dyDescent="0.35">
      <c r="A1308" s="26" t="s">
        <v>216</v>
      </c>
      <c r="B1308" s="26" t="s">
        <v>2832</v>
      </c>
      <c r="C1308" s="26" t="s">
        <v>27</v>
      </c>
      <c r="D1308" s="28" t="s">
        <v>2833</v>
      </c>
      <c r="E1308" s="26">
        <v>0</v>
      </c>
      <c r="F1308" s="29" t="s">
        <v>229</v>
      </c>
    </row>
    <row r="1309" spans="1:6" ht="29" x14ac:dyDescent="0.35">
      <c r="A1309" s="26" t="s">
        <v>216</v>
      </c>
      <c r="B1309" s="26" t="s">
        <v>2834</v>
      </c>
      <c r="C1309" s="26" t="s">
        <v>24</v>
      </c>
      <c r="D1309" s="28" t="s">
        <v>2835</v>
      </c>
      <c r="E1309" s="26">
        <v>0</v>
      </c>
      <c r="F1309" s="29" t="s">
        <v>232</v>
      </c>
    </row>
    <row r="1310" spans="1:6" ht="43.5" x14ac:dyDescent="0.35">
      <c r="A1310" s="26" t="s">
        <v>216</v>
      </c>
      <c r="B1310" s="26" t="s">
        <v>2836</v>
      </c>
      <c r="C1310" s="26" t="s">
        <v>15</v>
      </c>
      <c r="D1310" s="28" t="s">
        <v>218</v>
      </c>
      <c r="E1310" s="26" t="s">
        <v>2837</v>
      </c>
      <c r="F1310" s="29" t="s">
        <v>220</v>
      </c>
    </row>
    <row r="1311" spans="1:6" ht="29" x14ac:dyDescent="0.35">
      <c r="A1311" s="26" t="s">
        <v>216</v>
      </c>
      <c r="B1311" s="26" t="s">
        <v>2838</v>
      </c>
      <c r="C1311" s="26" t="s">
        <v>17</v>
      </c>
      <c r="D1311" s="28" t="s">
        <v>2839</v>
      </c>
      <c r="E1311" s="26">
        <v>13436</v>
      </c>
      <c r="F1311" s="29" t="s">
        <v>247</v>
      </c>
    </row>
    <row r="1312" spans="1:6" ht="29" x14ac:dyDescent="0.35">
      <c r="A1312" s="26" t="s">
        <v>216</v>
      </c>
      <c r="B1312" s="26" t="s">
        <v>2840</v>
      </c>
      <c r="C1312" s="26" t="s">
        <v>20</v>
      </c>
      <c r="D1312" s="28" t="s">
        <v>2841</v>
      </c>
      <c r="E1312" s="26">
        <v>13436</v>
      </c>
      <c r="F1312" s="29" t="s">
        <v>223</v>
      </c>
    </row>
    <row r="1313" spans="1:6" ht="58" x14ac:dyDescent="0.35">
      <c r="A1313" s="26" t="s">
        <v>216</v>
      </c>
      <c r="B1313" s="26" t="s">
        <v>2842</v>
      </c>
      <c r="C1313" s="26" t="s">
        <v>25</v>
      </c>
      <c r="D1313" s="28" t="s">
        <v>2843</v>
      </c>
      <c r="E1313" s="26">
        <v>0</v>
      </c>
      <c r="F1313" s="29" t="s">
        <v>226</v>
      </c>
    </row>
    <row r="1314" spans="1:6" ht="43.5" x14ac:dyDescent="0.35">
      <c r="A1314" s="26" t="s">
        <v>216</v>
      </c>
      <c r="B1314" s="26" t="s">
        <v>2844</v>
      </c>
      <c r="C1314" s="26" t="s">
        <v>27</v>
      </c>
      <c r="D1314" s="28" t="s">
        <v>2845</v>
      </c>
      <c r="E1314" s="26">
        <v>0</v>
      </c>
      <c r="F1314" s="29" t="s">
        <v>229</v>
      </c>
    </row>
    <row r="1315" spans="1:6" ht="29" x14ac:dyDescent="0.35">
      <c r="A1315" s="26" t="s">
        <v>216</v>
      </c>
      <c r="B1315" s="26" t="s">
        <v>2846</v>
      </c>
      <c r="C1315" s="26" t="s">
        <v>24</v>
      </c>
      <c r="D1315" s="28" t="s">
        <v>2847</v>
      </c>
      <c r="E1315" s="26">
        <v>0</v>
      </c>
      <c r="F1315" s="29" t="s">
        <v>232</v>
      </c>
    </row>
    <row r="1316" spans="1:6" ht="43.5" x14ac:dyDescent="0.35">
      <c r="A1316" s="26" t="s">
        <v>216</v>
      </c>
      <c r="B1316" s="26" t="s">
        <v>2848</v>
      </c>
      <c r="C1316" s="26" t="s">
        <v>15</v>
      </c>
      <c r="D1316" s="28" t="s">
        <v>218</v>
      </c>
      <c r="E1316" s="26" t="s">
        <v>2849</v>
      </c>
      <c r="F1316" s="29" t="s">
        <v>220</v>
      </c>
    </row>
    <row r="1317" spans="1:6" ht="29" x14ac:dyDescent="0.35">
      <c r="A1317" s="26" t="s">
        <v>216</v>
      </c>
      <c r="B1317" s="26" t="s">
        <v>2850</v>
      </c>
      <c r="C1317" s="26" t="s">
        <v>17</v>
      </c>
      <c r="D1317" s="28" t="s">
        <v>2851</v>
      </c>
      <c r="E1317" s="26">
        <v>13436</v>
      </c>
      <c r="F1317" s="29" t="s">
        <v>247</v>
      </c>
    </row>
    <row r="1318" spans="1:6" ht="29" x14ac:dyDescent="0.35">
      <c r="A1318" s="26" t="s">
        <v>216</v>
      </c>
      <c r="B1318" s="26" t="s">
        <v>2852</v>
      </c>
      <c r="C1318" s="26" t="s">
        <v>20</v>
      </c>
      <c r="D1318" s="28" t="s">
        <v>2853</v>
      </c>
      <c r="E1318" s="26">
        <v>13436</v>
      </c>
      <c r="F1318" s="29" t="s">
        <v>223</v>
      </c>
    </row>
    <row r="1319" spans="1:6" ht="58" x14ac:dyDescent="0.35">
      <c r="A1319" s="26" t="s">
        <v>216</v>
      </c>
      <c r="B1319" s="26" t="s">
        <v>2854</v>
      </c>
      <c r="C1319" s="26" t="s">
        <v>25</v>
      </c>
      <c r="D1319" s="28" t="s">
        <v>2855</v>
      </c>
      <c r="E1319" s="26">
        <v>0</v>
      </c>
      <c r="F1319" s="29" t="s">
        <v>226</v>
      </c>
    </row>
    <row r="1320" spans="1:6" ht="43.5" x14ac:dyDescent="0.35">
      <c r="A1320" s="26" t="s">
        <v>216</v>
      </c>
      <c r="B1320" s="26" t="s">
        <v>2856</v>
      </c>
      <c r="C1320" s="26" t="s">
        <v>27</v>
      </c>
      <c r="D1320" s="28" t="s">
        <v>2857</v>
      </c>
      <c r="E1320" s="26">
        <v>0</v>
      </c>
      <c r="F1320" s="29" t="s">
        <v>229</v>
      </c>
    </row>
    <row r="1321" spans="1:6" ht="29" x14ac:dyDescent="0.35">
      <c r="A1321" s="26" t="s">
        <v>216</v>
      </c>
      <c r="B1321" s="26" t="s">
        <v>2858</v>
      </c>
      <c r="C1321" s="26" t="s">
        <v>24</v>
      </c>
      <c r="D1321" s="28" t="s">
        <v>2859</v>
      </c>
      <c r="E1321" s="26">
        <v>0</v>
      </c>
      <c r="F1321" s="29" t="s">
        <v>232</v>
      </c>
    </row>
    <row r="1322" spans="1:6" ht="43.5" x14ac:dyDescent="0.35">
      <c r="A1322" s="26" t="s">
        <v>216</v>
      </c>
      <c r="B1322" s="26" t="s">
        <v>2860</v>
      </c>
      <c r="C1322" s="26" t="s">
        <v>15</v>
      </c>
      <c r="D1322" s="28" t="s">
        <v>218</v>
      </c>
      <c r="E1322" s="26" t="s">
        <v>2861</v>
      </c>
      <c r="F1322" s="29" t="s">
        <v>220</v>
      </c>
    </row>
    <row r="1323" spans="1:6" ht="29" x14ac:dyDescent="0.35">
      <c r="A1323" s="26" t="s">
        <v>216</v>
      </c>
      <c r="B1323" s="26" t="s">
        <v>2862</v>
      </c>
      <c r="C1323" s="26" t="s">
        <v>17</v>
      </c>
      <c r="D1323" s="28" t="s">
        <v>2863</v>
      </c>
      <c r="E1323" s="26">
        <v>13436</v>
      </c>
      <c r="F1323" s="29" t="s">
        <v>247</v>
      </c>
    </row>
    <row r="1324" spans="1:6" ht="29" x14ac:dyDescent="0.35">
      <c r="A1324" s="26" t="s">
        <v>216</v>
      </c>
      <c r="B1324" s="26" t="s">
        <v>2864</v>
      </c>
      <c r="C1324" s="26" t="s">
        <v>20</v>
      </c>
      <c r="D1324" s="28" t="s">
        <v>2865</v>
      </c>
      <c r="E1324" s="26">
        <v>13436</v>
      </c>
      <c r="F1324" s="29" t="s">
        <v>223</v>
      </c>
    </row>
    <row r="1325" spans="1:6" ht="58" x14ac:dyDescent="0.35">
      <c r="A1325" s="26" t="s">
        <v>216</v>
      </c>
      <c r="B1325" s="26" t="s">
        <v>2866</v>
      </c>
      <c r="C1325" s="26" t="s">
        <v>25</v>
      </c>
      <c r="D1325" s="28" t="s">
        <v>2867</v>
      </c>
      <c r="E1325" s="26">
        <v>0</v>
      </c>
      <c r="F1325" s="29" t="s">
        <v>226</v>
      </c>
    </row>
    <row r="1326" spans="1:6" ht="43.5" x14ac:dyDescent="0.35">
      <c r="A1326" s="26" t="s">
        <v>216</v>
      </c>
      <c r="B1326" s="26" t="s">
        <v>2868</v>
      </c>
      <c r="C1326" s="26" t="s">
        <v>27</v>
      </c>
      <c r="D1326" s="28" t="s">
        <v>2869</v>
      </c>
      <c r="E1326" s="26">
        <v>0</v>
      </c>
      <c r="F1326" s="29" t="s">
        <v>229</v>
      </c>
    </row>
    <row r="1327" spans="1:6" ht="29" x14ac:dyDescent="0.35">
      <c r="A1327" s="26" t="s">
        <v>216</v>
      </c>
      <c r="B1327" s="26" t="s">
        <v>2870</v>
      </c>
      <c r="C1327" s="26" t="s">
        <v>24</v>
      </c>
      <c r="D1327" s="28" t="s">
        <v>2871</v>
      </c>
      <c r="E1327" s="26">
        <v>0</v>
      </c>
      <c r="F1327" s="29" t="s">
        <v>232</v>
      </c>
    </row>
    <row r="1328" spans="1:6" ht="43.5" x14ac:dyDescent="0.35">
      <c r="A1328" s="26" t="s">
        <v>216</v>
      </c>
      <c r="B1328" s="26" t="s">
        <v>2872</v>
      </c>
      <c r="C1328" s="26" t="s">
        <v>15</v>
      </c>
      <c r="D1328" s="28" t="s">
        <v>218</v>
      </c>
      <c r="E1328" s="26" t="s">
        <v>2873</v>
      </c>
      <c r="F1328" s="29" t="s">
        <v>220</v>
      </c>
    </row>
    <row r="1329" spans="1:6" ht="29" x14ac:dyDescent="0.35">
      <c r="A1329" s="26" t="s">
        <v>216</v>
      </c>
      <c r="B1329" s="26" t="s">
        <v>2874</v>
      </c>
      <c r="C1329" s="26" t="s">
        <v>17</v>
      </c>
      <c r="D1329" s="28" t="s">
        <v>2875</v>
      </c>
      <c r="E1329" s="26">
        <v>13436</v>
      </c>
      <c r="F1329" s="29" t="s">
        <v>247</v>
      </c>
    </row>
    <row r="1330" spans="1:6" ht="29" x14ac:dyDescent="0.35">
      <c r="A1330" s="26" t="s">
        <v>216</v>
      </c>
      <c r="B1330" s="26" t="s">
        <v>2876</v>
      </c>
      <c r="C1330" s="26" t="s">
        <v>20</v>
      </c>
      <c r="D1330" s="28" t="s">
        <v>2877</v>
      </c>
      <c r="E1330" s="26">
        <v>13436</v>
      </c>
      <c r="F1330" s="29" t="s">
        <v>223</v>
      </c>
    </row>
    <row r="1331" spans="1:6" ht="58" x14ac:dyDescent="0.35">
      <c r="A1331" s="26" t="s">
        <v>216</v>
      </c>
      <c r="B1331" s="26" t="s">
        <v>2878</v>
      </c>
      <c r="C1331" s="26" t="s">
        <v>25</v>
      </c>
      <c r="D1331" s="28" t="s">
        <v>2879</v>
      </c>
      <c r="E1331" s="26">
        <v>0</v>
      </c>
      <c r="F1331" s="29" t="s">
        <v>226</v>
      </c>
    </row>
    <row r="1332" spans="1:6" ht="43.5" x14ac:dyDescent="0.35">
      <c r="A1332" s="26" t="s">
        <v>216</v>
      </c>
      <c r="B1332" s="26" t="s">
        <v>2880</v>
      </c>
      <c r="C1332" s="26" t="s">
        <v>27</v>
      </c>
      <c r="D1332" s="28" t="s">
        <v>2881</v>
      </c>
      <c r="E1332" s="26">
        <v>0</v>
      </c>
      <c r="F1332" s="29" t="s">
        <v>229</v>
      </c>
    </row>
    <row r="1333" spans="1:6" ht="29" x14ac:dyDescent="0.35">
      <c r="A1333" s="26" t="s">
        <v>216</v>
      </c>
      <c r="B1333" s="26" t="s">
        <v>2882</v>
      </c>
      <c r="C1333" s="26" t="s">
        <v>24</v>
      </c>
      <c r="D1333" s="28" t="s">
        <v>2883</v>
      </c>
      <c r="E1333" s="26">
        <v>0</v>
      </c>
      <c r="F1333" s="29" t="s">
        <v>232</v>
      </c>
    </row>
    <row r="1334" spans="1:6" ht="43.5" x14ac:dyDescent="0.35">
      <c r="A1334" s="26" t="s">
        <v>216</v>
      </c>
      <c r="B1334" s="26" t="s">
        <v>2884</v>
      </c>
      <c r="C1334" s="26" t="s">
        <v>15</v>
      </c>
      <c r="D1334" s="28" t="s">
        <v>218</v>
      </c>
      <c r="E1334" s="26" t="s">
        <v>2885</v>
      </c>
      <c r="F1334" s="29" t="s">
        <v>220</v>
      </c>
    </row>
    <row r="1335" spans="1:6" ht="29" x14ac:dyDescent="0.35">
      <c r="A1335" s="26" t="s">
        <v>216</v>
      </c>
      <c r="B1335" s="26" t="s">
        <v>2886</v>
      </c>
      <c r="C1335" s="26" t="s">
        <v>17</v>
      </c>
      <c r="D1335" s="28" t="s">
        <v>2887</v>
      </c>
      <c r="E1335" s="26">
        <v>13436</v>
      </c>
      <c r="F1335" s="29" t="s">
        <v>247</v>
      </c>
    </row>
    <row r="1336" spans="1:6" ht="29" x14ac:dyDescent="0.35">
      <c r="A1336" s="26" t="s">
        <v>216</v>
      </c>
      <c r="B1336" s="26" t="s">
        <v>2888</v>
      </c>
      <c r="C1336" s="26" t="s">
        <v>20</v>
      </c>
      <c r="D1336" s="28" t="s">
        <v>2889</v>
      </c>
      <c r="E1336" s="26">
        <v>13436</v>
      </c>
      <c r="F1336" s="29" t="s">
        <v>223</v>
      </c>
    </row>
    <row r="1337" spans="1:6" ht="58" x14ac:dyDescent="0.35">
      <c r="A1337" s="26" t="s">
        <v>216</v>
      </c>
      <c r="B1337" s="26" t="s">
        <v>2890</v>
      </c>
      <c r="C1337" s="26" t="s">
        <v>25</v>
      </c>
      <c r="D1337" s="28" t="s">
        <v>2891</v>
      </c>
      <c r="E1337" s="26">
        <v>0</v>
      </c>
      <c r="F1337" s="29" t="s">
        <v>226</v>
      </c>
    </row>
    <row r="1338" spans="1:6" ht="43.5" x14ac:dyDescent="0.35">
      <c r="A1338" s="26" t="s">
        <v>216</v>
      </c>
      <c r="B1338" s="26" t="s">
        <v>2892</v>
      </c>
      <c r="C1338" s="26" t="s">
        <v>27</v>
      </c>
      <c r="D1338" s="28" t="s">
        <v>2893</v>
      </c>
      <c r="E1338" s="26">
        <v>0</v>
      </c>
      <c r="F1338" s="29" t="s">
        <v>229</v>
      </c>
    </row>
    <row r="1339" spans="1:6" ht="29" x14ac:dyDescent="0.35">
      <c r="A1339" s="26" t="s">
        <v>216</v>
      </c>
      <c r="B1339" s="26" t="s">
        <v>2894</v>
      </c>
      <c r="C1339" s="26" t="s">
        <v>24</v>
      </c>
      <c r="D1339" s="28" t="s">
        <v>2895</v>
      </c>
      <c r="E1339" s="26">
        <v>0</v>
      </c>
      <c r="F1339" s="29" t="s">
        <v>232</v>
      </c>
    </row>
    <row r="1340" spans="1:6" ht="43.5" x14ac:dyDescent="0.35">
      <c r="A1340" s="26" t="s">
        <v>216</v>
      </c>
      <c r="B1340" s="26" t="s">
        <v>2896</v>
      </c>
      <c r="C1340" s="26" t="s">
        <v>15</v>
      </c>
      <c r="D1340" s="28" t="s">
        <v>218</v>
      </c>
      <c r="E1340" s="26" t="s">
        <v>2897</v>
      </c>
      <c r="F1340" s="29" t="s">
        <v>220</v>
      </c>
    </row>
    <row r="1341" spans="1:6" ht="29" x14ac:dyDescent="0.35">
      <c r="A1341" s="26" t="s">
        <v>216</v>
      </c>
      <c r="B1341" s="26" t="s">
        <v>2898</v>
      </c>
      <c r="C1341" s="26" t="s">
        <v>17</v>
      </c>
      <c r="D1341" s="28" t="s">
        <v>2899</v>
      </c>
      <c r="E1341" s="26">
        <v>13436</v>
      </c>
      <c r="F1341" s="29" t="s">
        <v>247</v>
      </c>
    </row>
    <row r="1342" spans="1:6" ht="29" x14ac:dyDescent="0.35">
      <c r="A1342" s="26" t="s">
        <v>216</v>
      </c>
      <c r="B1342" s="26" t="s">
        <v>2900</v>
      </c>
      <c r="C1342" s="26" t="s">
        <v>20</v>
      </c>
      <c r="D1342" s="28" t="s">
        <v>2901</v>
      </c>
      <c r="E1342" s="26">
        <v>13436</v>
      </c>
      <c r="F1342" s="29" t="s">
        <v>223</v>
      </c>
    </row>
    <row r="1343" spans="1:6" ht="58" x14ac:dyDescent="0.35">
      <c r="A1343" s="26" t="s">
        <v>216</v>
      </c>
      <c r="B1343" s="26" t="s">
        <v>2902</v>
      </c>
      <c r="C1343" s="26" t="s">
        <v>25</v>
      </c>
      <c r="D1343" s="28" t="s">
        <v>2903</v>
      </c>
      <c r="E1343" s="26">
        <v>0</v>
      </c>
      <c r="F1343" s="29" t="s">
        <v>226</v>
      </c>
    </row>
    <row r="1344" spans="1:6" ht="43.5" x14ac:dyDescent="0.35">
      <c r="A1344" s="26" t="s">
        <v>216</v>
      </c>
      <c r="B1344" s="26" t="s">
        <v>2904</v>
      </c>
      <c r="C1344" s="26" t="s">
        <v>27</v>
      </c>
      <c r="D1344" s="28" t="s">
        <v>2905</v>
      </c>
      <c r="E1344" s="26">
        <v>0</v>
      </c>
      <c r="F1344" s="29" t="s">
        <v>229</v>
      </c>
    </row>
    <row r="1345" spans="1:6" ht="29" x14ac:dyDescent="0.35">
      <c r="A1345" s="26" t="s">
        <v>216</v>
      </c>
      <c r="B1345" s="26" t="s">
        <v>2906</v>
      </c>
      <c r="C1345" s="26" t="s">
        <v>24</v>
      </c>
      <c r="D1345" s="28" t="s">
        <v>2907</v>
      </c>
      <c r="E1345" s="26">
        <v>0</v>
      </c>
      <c r="F1345" s="29" t="s">
        <v>232</v>
      </c>
    </row>
    <row r="1346" spans="1:6" ht="43.5" x14ac:dyDescent="0.35">
      <c r="A1346" s="26" t="s">
        <v>216</v>
      </c>
      <c r="B1346" s="26" t="s">
        <v>2908</v>
      </c>
      <c r="C1346" s="26" t="s">
        <v>15</v>
      </c>
      <c r="D1346" s="28" t="s">
        <v>218</v>
      </c>
      <c r="E1346" s="26" t="s">
        <v>2909</v>
      </c>
      <c r="F1346" s="29" t="s">
        <v>220</v>
      </c>
    </row>
    <row r="1347" spans="1:6" ht="29" x14ac:dyDescent="0.35">
      <c r="A1347" s="26" t="s">
        <v>216</v>
      </c>
      <c r="B1347" s="26" t="s">
        <v>2910</v>
      </c>
      <c r="C1347" s="26" t="s">
        <v>17</v>
      </c>
      <c r="D1347" s="28" t="s">
        <v>2911</v>
      </c>
      <c r="E1347" s="26">
        <v>13436</v>
      </c>
      <c r="F1347" s="29" t="s">
        <v>247</v>
      </c>
    </row>
    <row r="1348" spans="1:6" ht="29" x14ac:dyDescent="0.35">
      <c r="A1348" s="26" t="s">
        <v>216</v>
      </c>
      <c r="B1348" s="26" t="s">
        <v>2912</v>
      </c>
      <c r="C1348" s="26" t="s">
        <v>20</v>
      </c>
      <c r="D1348" s="28" t="s">
        <v>2913</v>
      </c>
      <c r="E1348" s="26">
        <v>13436</v>
      </c>
      <c r="F1348" s="29" t="s">
        <v>223</v>
      </c>
    </row>
    <row r="1349" spans="1:6" ht="58" x14ac:dyDescent="0.35">
      <c r="A1349" s="26" t="s">
        <v>216</v>
      </c>
      <c r="B1349" s="26" t="s">
        <v>2914</v>
      </c>
      <c r="C1349" s="26" t="s">
        <v>25</v>
      </c>
      <c r="D1349" s="28" t="s">
        <v>2915</v>
      </c>
      <c r="E1349" s="26">
        <v>0</v>
      </c>
      <c r="F1349" s="29" t="s">
        <v>226</v>
      </c>
    </row>
    <row r="1350" spans="1:6" ht="43.5" x14ac:dyDescent="0.35">
      <c r="A1350" s="26" t="s">
        <v>216</v>
      </c>
      <c r="B1350" s="26" t="s">
        <v>2916</v>
      </c>
      <c r="C1350" s="26" t="s">
        <v>27</v>
      </c>
      <c r="D1350" s="28" t="s">
        <v>2917</v>
      </c>
      <c r="E1350" s="26">
        <v>0</v>
      </c>
      <c r="F1350" s="29" t="s">
        <v>229</v>
      </c>
    </row>
    <row r="1351" spans="1:6" ht="29" x14ac:dyDescent="0.35">
      <c r="A1351" s="26" t="s">
        <v>216</v>
      </c>
      <c r="B1351" s="26" t="s">
        <v>2918</v>
      </c>
      <c r="C1351" s="26" t="s">
        <v>24</v>
      </c>
      <c r="D1351" s="28" t="s">
        <v>2919</v>
      </c>
      <c r="E1351" s="26">
        <v>0</v>
      </c>
      <c r="F1351" s="29" t="s">
        <v>232</v>
      </c>
    </row>
    <row r="1352" spans="1:6" ht="43.5" x14ac:dyDescent="0.35">
      <c r="A1352" s="26" t="s">
        <v>216</v>
      </c>
      <c r="B1352" s="26" t="s">
        <v>2920</v>
      </c>
      <c r="C1352" s="26" t="s">
        <v>15</v>
      </c>
      <c r="D1352" s="28" t="s">
        <v>218</v>
      </c>
      <c r="E1352" s="26" t="s">
        <v>2921</v>
      </c>
      <c r="F1352" s="29" t="s">
        <v>220</v>
      </c>
    </row>
    <row r="1353" spans="1:6" ht="29" x14ac:dyDescent="0.35">
      <c r="A1353" s="26" t="s">
        <v>216</v>
      </c>
      <c r="B1353" s="26" t="s">
        <v>2922</v>
      </c>
      <c r="C1353" s="26" t="s">
        <v>17</v>
      </c>
      <c r="D1353" s="28" t="s">
        <v>2923</v>
      </c>
      <c r="E1353" s="26">
        <v>13436</v>
      </c>
      <c r="F1353" s="29" t="s">
        <v>247</v>
      </c>
    </row>
    <row r="1354" spans="1:6" ht="29" x14ac:dyDescent="0.35">
      <c r="A1354" s="26" t="s">
        <v>216</v>
      </c>
      <c r="B1354" s="26" t="s">
        <v>2924</v>
      </c>
      <c r="C1354" s="26" t="s">
        <v>20</v>
      </c>
      <c r="D1354" s="28" t="s">
        <v>2925</v>
      </c>
      <c r="E1354" s="26">
        <v>13436</v>
      </c>
      <c r="F1354" s="29" t="s">
        <v>223</v>
      </c>
    </row>
    <row r="1355" spans="1:6" ht="58" x14ac:dyDescent="0.35">
      <c r="A1355" s="26" t="s">
        <v>216</v>
      </c>
      <c r="B1355" s="26" t="s">
        <v>2926</v>
      </c>
      <c r="C1355" s="26" t="s">
        <v>25</v>
      </c>
      <c r="D1355" s="28" t="s">
        <v>2927</v>
      </c>
      <c r="E1355" s="26">
        <v>0</v>
      </c>
      <c r="F1355" s="29" t="s">
        <v>226</v>
      </c>
    </row>
    <row r="1356" spans="1:6" ht="43.5" x14ac:dyDescent="0.35">
      <c r="A1356" s="26" t="s">
        <v>216</v>
      </c>
      <c r="B1356" s="26" t="s">
        <v>2928</v>
      </c>
      <c r="C1356" s="26" t="s">
        <v>27</v>
      </c>
      <c r="D1356" s="28" t="s">
        <v>2929</v>
      </c>
      <c r="E1356" s="26">
        <v>0</v>
      </c>
      <c r="F1356" s="29" t="s">
        <v>229</v>
      </c>
    </row>
    <row r="1357" spans="1:6" ht="29" x14ac:dyDescent="0.35">
      <c r="A1357" s="26" t="s">
        <v>216</v>
      </c>
      <c r="B1357" s="26" t="s">
        <v>2930</v>
      </c>
      <c r="C1357" s="26" t="s">
        <v>24</v>
      </c>
      <c r="D1357" s="28" t="s">
        <v>2931</v>
      </c>
      <c r="E1357" s="26">
        <v>0</v>
      </c>
      <c r="F1357" s="29" t="s">
        <v>232</v>
      </c>
    </row>
    <row r="1358" spans="1:6" ht="43.5" x14ac:dyDescent="0.35">
      <c r="A1358" s="26" t="s">
        <v>216</v>
      </c>
      <c r="B1358" s="26" t="s">
        <v>2932</v>
      </c>
      <c r="C1358" s="26" t="s">
        <v>15</v>
      </c>
      <c r="D1358" s="28" t="s">
        <v>218</v>
      </c>
      <c r="E1358" s="26" t="s">
        <v>2933</v>
      </c>
      <c r="F1358" s="29" t="s">
        <v>220</v>
      </c>
    </row>
    <row r="1359" spans="1:6" ht="29" x14ac:dyDescent="0.35">
      <c r="A1359" s="26" t="s">
        <v>216</v>
      </c>
      <c r="B1359" s="26" t="s">
        <v>2934</v>
      </c>
      <c r="C1359" s="26" t="s">
        <v>17</v>
      </c>
      <c r="D1359" s="28" t="s">
        <v>2935</v>
      </c>
      <c r="E1359" s="26">
        <v>13436</v>
      </c>
      <c r="F1359" s="29" t="s">
        <v>247</v>
      </c>
    </row>
    <row r="1360" spans="1:6" ht="29" x14ac:dyDescent="0.35">
      <c r="A1360" s="26" t="s">
        <v>216</v>
      </c>
      <c r="B1360" s="26" t="s">
        <v>2936</v>
      </c>
      <c r="C1360" s="26" t="s">
        <v>20</v>
      </c>
      <c r="D1360" s="28" t="s">
        <v>2937</v>
      </c>
      <c r="E1360" s="26">
        <v>13436</v>
      </c>
      <c r="F1360" s="29" t="s">
        <v>223</v>
      </c>
    </row>
    <row r="1361" spans="1:6" ht="58" x14ac:dyDescent="0.35">
      <c r="A1361" s="26" t="s">
        <v>216</v>
      </c>
      <c r="B1361" s="26" t="s">
        <v>2938</v>
      </c>
      <c r="C1361" s="26" t="s">
        <v>25</v>
      </c>
      <c r="D1361" s="28" t="s">
        <v>2939</v>
      </c>
      <c r="E1361" s="26">
        <v>0</v>
      </c>
      <c r="F1361" s="29" t="s">
        <v>226</v>
      </c>
    </row>
    <row r="1362" spans="1:6" ht="43.5" x14ac:dyDescent="0.35">
      <c r="A1362" s="26" t="s">
        <v>216</v>
      </c>
      <c r="B1362" s="26" t="s">
        <v>2940</v>
      </c>
      <c r="C1362" s="26" t="s">
        <v>27</v>
      </c>
      <c r="D1362" s="28" t="s">
        <v>2941</v>
      </c>
      <c r="E1362" s="26">
        <v>0</v>
      </c>
      <c r="F1362" s="29" t="s">
        <v>229</v>
      </c>
    </row>
    <row r="1363" spans="1:6" ht="29" x14ac:dyDescent="0.35">
      <c r="A1363" s="26" t="s">
        <v>216</v>
      </c>
      <c r="B1363" s="26" t="s">
        <v>2942</v>
      </c>
      <c r="C1363" s="26" t="s">
        <v>24</v>
      </c>
      <c r="D1363" s="28" t="s">
        <v>2943</v>
      </c>
      <c r="E1363" s="26">
        <v>0</v>
      </c>
      <c r="F1363" s="29" t="s">
        <v>232</v>
      </c>
    </row>
    <row r="1364" spans="1:6" ht="43.5" x14ac:dyDescent="0.35">
      <c r="A1364" s="26" t="s">
        <v>216</v>
      </c>
      <c r="B1364" s="26" t="s">
        <v>2944</v>
      </c>
      <c r="C1364" s="26" t="s">
        <v>15</v>
      </c>
      <c r="D1364" s="28" t="s">
        <v>218</v>
      </c>
      <c r="E1364" s="26" t="s">
        <v>2945</v>
      </c>
      <c r="F1364" s="29" t="s">
        <v>220</v>
      </c>
    </row>
    <row r="1365" spans="1:6" ht="29" x14ac:dyDescent="0.35">
      <c r="A1365" s="26" t="s">
        <v>216</v>
      </c>
      <c r="B1365" s="26" t="s">
        <v>2946</v>
      </c>
      <c r="C1365" s="26" t="s">
        <v>17</v>
      </c>
      <c r="D1365" s="28" t="s">
        <v>2947</v>
      </c>
      <c r="E1365" s="26">
        <v>13436</v>
      </c>
      <c r="F1365" s="29" t="s">
        <v>247</v>
      </c>
    </row>
    <row r="1366" spans="1:6" ht="29" x14ac:dyDescent="0.35">
      <c r="A1366" s="26" t="s">
        <v>216</v>
      </c>
      <c r="B1366" s="26" t="s">
        <v>2948</v>
      </c>
      <c r="C1366" s="26" t="s">
        <v>20</v>
      </c>
      <c r="D1366" s="28" t="s">
        <v>2949</v>
      </c>
      <c r="E1366" s="26">
        <v>13436</v>
      </c>
      <c r="F1366" s="29" t="s">
        <v>223</v>
      </c>
    </row>
    <row r="1367" spans="1:6" ht="58" x14ac:dyDescent="0.35">
      <c r="A1367" s="26" t="s">
        <v>216</v>
      </c>
      <c r="B1367" s="26" t="s">
        <v>2950</v>
      </c>
      <c r="C1367" s="26" t="s">
        <v>25</v>
      </c>
      <c r="D1367" s="28" t="s">
        <v>2951</v>
      </c>
      <c r="E1367" s="26">
        <v>0</v>
      </c>
      <c r="F1367" s="29" t="s">
        <v>226</v>
      </c>
    </row>
    <row r="1368" spans="1:6" ht="43.5" x14ac:dyDescent="0.35">
      <c r="A1368" s="26" t="s">
        <v>216</v>
      </c>
      <c r="B1368" s="26" t="s">
        <v>2952</v>
      </c>
      <c r="C1368" s="26" t="s">
        <v>27</v>
      </c>
      <c r="D1368" s="28" t="s">
        <v>2953</v>
      </c>
      <c r="E1368" s="26">
        <v>0</v>
      </c>
      <c r="F1368" s="29" t="s">
        <v>229</v>
      </c>
    </row>
    <row r="1369" spans="1:6" ht="29" x14ac:dyDescent="0.35">
      <c r="A1369" s="26" t="s">
        <v>216</v>
      </c>
      <c r="B1369" s="26" t="s">
        <v>2954</v>
      </c>
      <c r="C1369" s="26" t="s">
        <v>24</v>
      </c>
      <c r="D1369" s="28" t="s">
        <v>2955</v>
      </c>
      <c r="E1369" s="26">
        <v>0</v>
      </c>
      <c r="F1369" s="29" t="s">
        <v>232</v>
      </c>
    </row>
    <row r="1370" spans="1:6" ht="43.5" x14ac:dyDescent="0.35">
      <c r="A1370" s="26" t="s">
        <v>216</v>
      </c>
      <c r="B1370" s="26" t="s">
        <v>2956</v>
      </c>
      <c r="C1370" s="26" t="s">
        <v>15</v>
      </c>
      <c r="D1370" s="28" t="s">
        <v>218</v>
      </c>
      <c r="E1370" s="26" t="s">
        <v>2957</v>
      </c>
      <c r="F1370" s="29" t="s">
        <v>220</v>
      </c>
    </row>
    <row r="1371" spans="1:6" ht="29" x14ac:dyDescent="0.35">
      <c r="A1371" s="26" t="s">
        <v>216</v>
      </c>
      <c r="B1371" s="26" t="s">
        <v>2958</v>
      </c>
      <c r="C1371" s="26" t="s">
        <v>17</v>
      </c>
      <c r="D1371" s="28" t="s">
        <v>2959</v>
      </c>
      <c r="E1371" s="26">
        <v>13436</v>
      </c>
      <c r="F1371" s="29" t="s">
        <v>247</v>
      </c>
    </row>
    <row r="1372" spans="1:6" ht="29" x14ac:dyDescent="0.35">
      <c r="A1372" s="26" t="s">
        <v>216</v>
      </c>
      <c r="B1372" s="26" t="s">
        <v>2960</v>
      </c>
      <c r="C1372" s="26" t="s">
        <v>20</v>
      </c>
      <c r="D1372" s="28" t="s">
        <v>2961</v>
      </c>
      <c r="E1372" s="26">
        <v>13436</v>
      </c>
      <c r="F1372" s="29" t="s">
        <v>223</v>
      </c>
    </row>
    <row r="1373" spans="1:6" ht="58" x14ac:dyDescent="0.35">
      <c r="A1373" s="26" t="s">
        <v>216</v>
      </c>
      <c r="B1373" s="26" t="s">
        <v>2962</v>
      </c>
      <c r="C1373" s="26" t="s">
        <v>25</v>
      </c>
      <c r="D1373" s="28" t="s">
        <v>2963</v>
      </c>
      <c r="E1373" s="26">
        <v>0</v>
      </c>
      <c r="F1373" s="29" t="s">
        <v>226</v>
      </c>
    </row>
    <row r="1374" spans="1:6" ht="43.5" x14ac:dyDescent="0.35">
      <c r="A1374" s="26" t="s">
        <v>216</v>
      </c>
      <c r="B1374" s="26" t="s">
        <v>2964</v>
      </c>
      <c r="C1374" s="26" t="s">
        <v>27</v>
      </c>
      <c r="D1374" s="28" t="s">
        <v>2965</v>
      </c>
      <c r="E1374" s="26">
        <v>0</v>
      </c>
      <c r="F1374" s="29" t="s">
        <v>229</v>
      </c>
    </row>
    <row r="1375" spans="1:6" ht="29" x14ac:dyDescent="0.35">
      <c r="A1375" s="26" t="s">
        <v>216</v>
      </c>
      <c r="B1375" s="26" t="s">
        <v>2966</v>
      </c>
      <c r="C1375" s="26" t="s">
        <v>24</v>
      </c>
      <c r="D1375" s="28" t="s">
        <v>2967</v>
      </c>
      <c r="E1375" s="26">
        <v>0</v>
      </c>
      <c r="F1375" s="29" t="s">
        <v>232</v>
      </c>
    </row>
    <row r="1376" spans="1:6" ht="43.5" x14ac:dyDescent="0.35">
      <c r="A1376" s="26" t="s">
        <v>216</v>
      </c>
      <c r="B1376" s="26" t="s">
        <v>2968</v>
      </c>
      <c r="C1376" s="26" t="s">
        <v>15</v>
      </c>
      <c r="D1376" s="28" t="s">
        <v>218</v>
      </c>
      <c r="E1376" s="26" t="s">
        <v>2969</v>
      </c>
      <c r="F1376" s="29" t="s">
        <v>220</v>
      </c>
    </row>
    <row r="1377" spans="1:6" ht="29" x14ac:dyDescent="0.35">
      <c r="A1377" s="26" t="s">
        <v>216</v>
      </c>
      <c r="B1377" s="26" t="s">
        <v>2970</v>
      </c>
      <c r="C1377" s="26" t="s">
        <v>17</v>
      </c>
      <c r="D1377" s="28" t="s">
        <v>2971</v>
      </c>
      <c r="E1377" s="26">
        <v>13436</v>
      </c>
      <c r="F1377" s="29" t="s">
        <v>247</v>
      </c>
    </row>
    <row r="1378" spans="1:6" ht="29" x14ac:dyDescent="0.35">
      <c r="A1378" s="26" t="s">
        <v>216</v>
      </c>
      <c r="B1378" s="26" t="s">
        <v>2972</v>
      </c>
      <c r="C1378" s="26" t="s">
        <v>20</v>
      </c>
      <c r="D1378" s="28" t="s">
        <v>2973</v>
      </c>
      <c r="E1378" s="26">
        <v>13436</v>
      </c>
      <c r="F1378" s="29" t="s">
        <v>223</v>
      </c>
    </row>
    <row r="1379" spans="1:6" ht="58" x14ac:dyDescent="0.35">
      <c r="A1379" s="26" t="s">
        <v>216</v>
      </c>
      <c r="B1379" s="26" t="s">
        <v>2974</v>
      </c>
      <c r="C1379" s="26" t="s">
        <v>25</v>
      </c>
      <c r="D1379" s="28" t="s">
        <v>2975</v>
      </c>
      <c r="E1379" s="26">
        <v>0</v>
      </c>
      <c r="F1379" s="29" t="s">
        <v>226</v>
      </c>
    </row>
    <row r="1380" spans="1:6" ht="43.5" x14ac:dyDescent="0.35">
      <c r="A1380" s="26" t="s">
        <v>216</v>
      </c>
      <c r="B1380" s="26" t="s">
        <v>2976</v>
      </c>
      <c r="C1380" s="26" t="s">
        <v>27</v>
      </c>
      <c r="D1380" s="28" t="s">
        <v>2977</v>
      </c>
      <c r="E1380" s="26">
        <v>0</v>
      </c>
      <c r="F1380" s="29" t="s">
        <v>229</v>
      </c>
    </row>
    <row r="1381" spans="1:6" ht="29" x14ac:dyDescent="0.35">
      <c r="A1381" s="26" t="s">
        <v>216</v>
      </c>
      <c r="B1381" s="26" t="s">
        <v>2978</v>
      </c>
      <c r="C1381" s="26" t="s">
        <v>24</v>
      </c>
      <c r="D1381" s="28" t="s">
        <v>2979</v>
      </c>
      <c r="E1381" s="26">
        <v>0</v>
      </c>
      <c r="F1381" s="29" t="s">
        <v>232</v>
      </c>
    </row>
    <row r="1382" spans="1:6" ht="43.5" x14ac:dyDescent="0.35">
      <c r="A1382" s="26" t="s">
        <v>216</v>
      </c>
      <c r="B1382" s="26" t="s">
        <v>2980</v>
      </c>
      <c r="C1382" s="26" t="s">
        <v>15</v>
      </c>
      <c r="D1382" s="28" t="s">
        <v>218</v>
      </c>
      <c r="E1382" s="26" t="s">
        <v>2981</v>
      </c>
      <c r="F1382" s="29" t="s">
        <v>220</v>
      </c>
    </row>
    <row r="1383" spans="1:6" ht="29" x14ac:dyDescent="0.35">
      <c r="A1383" s="26" t="s">
        <v>216</v>
      </c>
      <c r="B1383" s="26" t="s">
        <v>2982</v>
      </c>
      <c r="C1383" s="26" t="s">
        <v>17</v>
      </c>
      <c r="D1383" s="28" t="s">
        <v>2983</v>
      </c>
      <c r="E1383" s="26">
        <v>13436</v>
      </c>
      <c r="F1383" s="29" t="s">
        <v>247</v>
      </c>
    </row>
    <row r="1384" spans="1:6" ht="29" x14ac:dyDescent="0.35">
      <c r="A1384" s="26" t="s">
        <v>216</v>
      </c>
      <c r="B1384" s="26" t="s">
        <v>2984</v>
      </c>
      <c r="C1384" s="26" t="s">
        <v>20</v>
      </c>
      <c r="D1384" s="28" t="s">
        <v>2985</v>
      </c>
      <c r="E1384" s="26">
        <v>13436</v>
      </c>
      <c r="F1384" s="29" t="s">
        <v>223</v>
      </c>
    </row>
    <row r="1385" spans="1:6" ht="58" x14ac:dyDescent="0.35">
      <c r="A1385" s="26" t="s">
        <v>216</v>
      </c>
      <c r="B1385" s="26" t="s">
        <v>2986</v>
      </c>
      <c r="C1385" s="26" t="s">
        <v>25</v>
      </c>
      <c r="D1385" s="28" t="s">
        <v>2987</v>
      </c>
      <c r="E1385" s="26">
        <v>0</v>
      </c>
      <c r="F1385" s="29" t="s">
        <v>226</v>
      </c>
    </row>
    <row r="1386" spans="1:6" ht="43.5" x14ac:dyDescent="0.35">
      <c r="A1386" s="26" t="s">
        <v>216</v>
      </c>
      <c r="B1386" s="26" t="s">
        <v>2988</v>
      </c>
      <c r="C1386" s="26" t="s">
        <v>27</v>
      </c>
      <c r="D1386" s="28" t="s">
        <v>2989</v>
      </c>
      <c r="E1386" s="26">
        <v>0</v>
      </c>
      <c r="F1386" s="29" t="s">
        <v>229</v>
      </c>
    </row>
    <row r="1387" spans="1:6" ht="29" x14ac:dyDescent="0.35">
      <c r="A1387" s="26" t="s">
        <v>216</v>
      </c>
      <c r="B1387" s="26" t="s">
        <v>2990</v>
      </c>
      <c r="C1387" s="26" t="s">
        <v>24</v>
      </c>
      <c r="D1387" s="28" t="s">
        <v>2991</v>
      </c>
      <c r="E1387" s="26">
        <v>0</v>
      </c>
      <c r="F1387" s="29" t="s">
        <v>232</v>
      </c>
    </row>
    <row r="1388" spans="1:6" ht="43.5" x14ac:dyDescent="0.35">
      <c r="A1388" s="26" t="s">
        <v>216</v>
      </c>
      <c r="B1388" s="26" t="s">
        <v>2992</v>
      </c>
      <c r="C1388" s="26" t="s">
        <v>15</v>
      </c>
      <c r="D1388" s="28" t="s">
        <v>218</v>
      </c>
      <c r="E1388" s="26" t="s">
        <v>2993</v>
      </c>
      <c r="F1388" s="29" t="s">
        <v>220</v>
      </c>
    </row>
    <row r="1389" spans="1:6" ht="29" x14ac:dyDescent="0.35">
      <c r="A1389" s="26" t="s">
        <v>216</v>
      </c>
      <c r="B1389" s="26" t="s">
        <v>2994</v>
      </c>
      <c r="C1389" s="26" t="s">
        <v>17</v>
      </c>
      <c r="D1389" s="28" t="s">
        <v>2995</v>
      </c>
      <c r="E1389" s="26">
        <v>13436</v>
      </c>
      <c r="F1389" s="29" t="s">
        <v>247</v>
      </c>
    </row>
    <row r="1390" spans="1:6" ht="29" x14ac:dyDescent="0.35">
      <c r="A1390" s="26" t="s">
        <v>216</v>
      </c>
      <c r="B1390" s="26" t="s">
        <v>2996</v>
      </c>
      <c r="C1390" s="26" t="s">
        <v>20</v>
      </c>
      <c r="D1390" s="28" t="s">
        <v>2997</v>
      </c>
      <c r="E1390" s="26">
        <v>13436</v>
      </c>
      <c r="F1390" s="29" t="s">
        <v>223</v>
      </c>
    </row>
    <row r="1391" spans="1:6" ht="58" x14ac:dyDescent="0.35">
      <c r="A1391" s="26" t="s">
        <v>216</v>
      </c>
      <c r="B1391" s="26" t="s">
        <v>2998</v>
      </c>
      <c r="C1391" s="26" t="s">
        <v>25</v>
      </c>
      <c r="D1391" s="28" t="s">
        <v>2999</v>
      </c>
      <c r="E1391" s="26">
        <v>0</v>
      </c>
      <c r="F1391" s="29" t="s">
        <v>226</v>
      </c>
    </row>
    <row r="1392" spans="1:6" ht="43.5" x14ac:dyDescent="0.35">
      <c r="A1392" s="26" t="s">
        <v>216</v>
      </c>
      <c r="B1392" s="26" t="s">
        <v>3000</v>
      </c>
      <c r="C1392" s="26" t="s">
        <v>27</v>
      </c>
      <c r="D1392" s="28" t="s">
        <v>3001</v>
      </c>
      <c r="E1392" s="26">
        <v>0</v>
      </c>
      <c r="F1392" s="29" t="s">
        <v>229</v>
      </c>
    </row>
    <row r="1393" spans="1:6" ht="29" x14ac:dyDescent="0.35">
      <c r="A1393" s="26" t="s">
        <v>216</v>
      </c>
      <c r="B1393" s="26" t="s">
        <v>3002</v>
      </c>
      <c r="C1393" s="26" t="s">
        <v>24</v>
      </c>
      <c r="D1393" s="28" t="s">
        <v>3003</v>
      </c>
      <c r="E1393" s="26">
        <v>0</v>
      </c>
      <c r="F1393" s="29" t="s">
        <v>232</v>
      </c>
    </row>
    <row r="1394" spans="1:6" ht="43.5" x14ac:dyDescent="0.35">
      <c r="A1394" s="26" t="s">
        <v>216</v>
      </c>
      <c r="B1394" s="26" t="s">
        <v>3004</v>
      </c>
      <c r="C1394" s="26" t="s">
        <v>15</v>
      </c>
      <c r="D1394" s="28" t="s">
        <v>218</v>
      </c>
      <c r="E1394" s="26" t="s">
        <v>3005</v>
      </c>
      <c r="F1394" s="29" t="s">
        <v>220</v>
      </c>
    </row>
    <row r="1395" spans="1:6" ht="29" x14ac:dyDescent="0.35">
      <c r="A1395" s="26" t="s">
        <v>216</v>
      </c>
      <c r="B1395" s="26" t="s">
        <v>3006</v>
      </c>
      <c r="C1395" s="26" t="s">
        <v>17</v>
      </c>
      <c r="D1395" s="28" t="s">
        <v>3007</v>
      </c>
      <c r="E1395" s="26">
        <v>13436</v>
      </c>
      <c r="F1395" s="29" t="s">
        <v>247</v>
      </c>
    </row>
    <row r="1396" spans="1:6" ht="29" x14ac:dyDescent="0.35">
      <c r="A1396" s="26" t="s">
        <v>216</v>
      </c>
      <c r="B1396" s="26" t="s">
        <v>3008</v>
      </c>
      <c r="C1396" s="26" t="s">
        <v>20</v>
      </c>
      <c r="D1396" s="28" t="s">
        <v>3009</v>
      </c>
      <c r="E1396" s="26">
        <v>13436</v>
      </c>
      <c r="F1396" s="29" t="s">
        <v>223</v>
      </c>
    </row>
    <row r="1397" spans="1:6" ht="58" x14ac:dyDescent="0.35">
      <c r="A1397" s="26" t="s">
        <v>216</v>
      </c>
      <c r="B1397" s="26" t="s">
        <v>3010</v>
      </c>
      <c r="C1397" s="26" t="s">
        <v>25</v>
      </c>
      <c r="D1397" s="28" t="s">
        <v>3011</v>
      </c>
      <c r="E1397" s="26">
        <v>0</v>
      </c>
      <c r="F1397" s="29" t="s">
        <v>226</v>
      </c>
    </row>
    <row r="1398" spans="1:6" ht="43.5" x14ac:dyDescent="0.35">
      <c r="A1398" s="26" t="s">
        <v>216</v>
      </c>
      <c r="B1398" s="26" t="s">
        <v>3012</v>
      </c>
      <c r="C1398" s="26" t="s">
        <v>27</v>
      </c>
      <c r="D1398" s="28" t="s">
        <v>3013</v>
      </c>
      <c r="E1398" s="26">
        <v>0</v>
      </c>
      <c r="F1398" s="29" t="s">
        <v>229</v>
      </c>
    </row>
    <row r="1399" spans="1:6" ht="29" x14ac:dyDescent="0.35">
      <c r="A1399" s="26" t="s">
        <v>216</v>
      </c>
      <c r="B1399" s="26" t="s">
        <v>3014</v>
      </c>
      <c r="C1399" s="26" t="s">
        <v>24</v>
      </c>
      <c r="D1399" s="28" t="s">
        <v>3015</v>
      </c>
      <c r="E1399" s="26">
        <v>0</v>
      </c>
      <c r="F1399" s="29" t="s">
        <v>232</v>
      </c>
    </row>
    <row r="1400" spans="1:6" ht="43.5" x14ac:dyDescent="0.35">
      <c r="A1400" s="26" t="s">
        <v>216</v>
      </c>
      <c r="B1400" s="26" t="s">
        <v>3016</v>
      </c>
      <c r="C1400" s="26" t="s">
        <v>15</v>
      </c>
      <c r="D1400" s="28" t="s">
        <v>218</v>
      </c>
      <c r="E1400" s="26" t="s">
        <v>3017</v>
      </c>
      <c r="F1400" s="29" t="s">
        <v>220</v>
      </c>
    </row>
    <row r="1401" spans="1:6" ht="29" x14ac:dyDescent="0.35">
      <c r="A1401" s="26" t="s">
        <v>216</v>
      </c>
      <c r="B1401" s="26" t="s">
        <v>3018</v>
      </c>
      <c r="C1401" s="26" t="s">
        <v>17</v>
      </c>
      <c r="D1401" s="28" t="s">
        <v>3019</v>
      </c>
      <c r="E1401" s="26">
        <v>13436</v>
      </c>
      <c r="F1401" s="29" t="s">
        <v>247</v>
      </c>
    </row>
    <row r="1402" spans="1:6" ht="29" x14ac:dyDescent="0.35">
      <c r="A1402" s="26" t="s">
        <v>216</v>
      </c>
      <c r="B1402" s="26" t="s">
        <v>3020</v>
      </c>
      <c r="C1402" s="26" t="s">
        <v>20</v>
      </c>
      <c r="D1402" s="28" t="s">
        <v>3021</v>
      </c>
      <c r="E1402" s="26">
        <v>13436</v>
      </c>
      <c r="F1402" s="29" t="s">
        <v>223</v>
      </c>
    </row>
    <row r="1403" spans="1:6" ht="58" x14ac:dyDescent="0.35">
      <c r="A1403" s="26" t="s">
        <v>216</v>
      </c>
      <c r="B1403" s="26" t="s">
        <v>3022</v>
      </c>
      <c r="C1403" s="26" t="s">
        <v>25</v>
      </c>
      <c r="D1403" s="28" t="s">
        <v>3023</v>
      </c>
      <c r="E1403" s="26">
        <v>0</v>
      </c>
      <c r="F1403" s="29" t="s">
        <v>226</v>
      </c>
    </row>
    <row r="1404" spans="1:6" ht="43.5" x14ac:dyDescent="0.35">
      <c r="A1404" s="26" t="s">
        <v>216</v>
      </c>
      <c r="B1404" s="26" t="s">
        <v>3024</v>
      </c>
      <c r="C1404" s="26" t="s">
        <v>27</v>
      </c>
      <c r="D1404" s="28" t="s">
        <v>3025</v>
      </c>
      <c r="E1404" s="26">
        <v>0</v>
      </c>
      <c r="F1404" s="29" t="s">
        <v>229</v>
      </c>
    </row>
    <row r="1405" spans="1:6" ht="29" x14ac:dyDescent="0.35">
      <c r="A1405" s="26" t="s">
        <v>216</v>
      </c>
      <c r="B1405" s="26" t="s">
        <v>3026</v>
      </c>
      <c r="C1405" s="26" t="s">
        <v>24</v>
      </c>
      <c r="D1405" s="28" t="s">
        <v>3027</v>
      </c>
      <c r="E1405" s="26">
        <v>0</v>
      </c>
      <c r="F1405" s="29" t="s">
        <v>232</v>
      </c>
    </row>
    <row r="1406" spans="1:6" ht="43.5" x14ac:dyDescent="0.35">
      <c r="A1406" s="26" t="s">
        <v>216</v>
      </c>
      <c r="B1406" s="26" t="s">
        <v>3028</v>
      </c>
      <c r="C1406" s="26" t="s">
        <v>15</v>
      </c>
      <c r="D1406" s="28" t="s">
        <v>218</v>
      </c>
      <c r="E1406" s="26" t="s">
        <v>3029</v>
      </c>
      <c r="F1406" s="29" t="s">
        <v>220</v>
      </c>
    </row>
    <row r="1407" spans="1:6" ht="29" x14ac:dyDescent="0.35">
      <c r="A1407" s="26" t="s">
        <v>216</v>
      </c>
      <c r="B1407" s="26" t="s">
        <v>3030</v>
      </c>
      <c r="C1407" s="26" t="s">
        <v>17</v>
      </c>
      <c r="D1407" s="28" t="s">
        <v>3031</v>
      </c>
      <c r="E1407" s="26">
        <v>13436</v>
      </c>
      <c r="F1407" s="29" t="s">
        <v>247</v>
      </c>
    </row>
    <row r="1408" spans="1:6" ht="29" x14ac:dyDescent="0.35">
      <c r="A1408" s="26" t="s">
        <v>216</v>
      </c>
      <c r="B1408" s="26" t="s">
        <v>3032</v>
      </c>
      <c r="C1408" s="26" t="s">
        <v>20</v>
      </c>
      <c r="D1408" s="28" t="s">
        <v>3033</v>
      </c>
      <c r="E1408" s="26">
        <v>13436</v>
      </c>
      <c r="F1408" s="29" t="s">
        <v>223</v>
      </c>
    </row>
    <row r="1409" spans="1:6" ht="58" x14ac:dyDescent="0.35">
      <c r="A1409" s="26" t="s">
        <v>216</v>
      </c>
      <c r="B1409" s="26" t="s">
        <v>3034</v>
      </c>
      <c r="C1409" s="26" t="s">
        <v>25</v>
      </c>
      <c r="D1409" s="28" t="s">
        <v>3035</v>
      </c>
      <c r="E1409" s="26">
        <v>0</v>
      </c>
      <c r="F1409" s="29" t="s">
        <v>226</v>
      </c>
    </row>
    <row r="1410" spans="1:6" ht="43.5" x14ac:dyDescent="0.35">
      <c r="A1410" s="26" t="s">
        <v>216</v>
      </c>
      <c r="B1410" s="26" t="s">
        <v>3036</v>
      </c>
      <c r="C1410" s="26" t="s">
        <v>27</v>
      </c>
      <c r="D1410" s="28" t="s">
        <v>3037</v>
      </c>
      <c r="E1410" s="26">
        <v>0</v>
      </c>
      <c r="F1410" s="29" t="s">
        <v>229</v>
      </c>
    </row>
    <row r="1411" spans="1:6" ht="29" x14ac:dyDescent="0.35">
      <c r="A1411" s="26" t="s">
        <v>216</v>
      </c>
      <c r="B1411" s="26" t="s">
        <v>3038</v>
      </c>
      <c r="C1411" s="26" t="s">
        <v>24</v>
      </c>
      <c r="D1411" s="28" t="s">
        <v>3039</v>
      </c>
      <c r="E1411" s="26">
        <v>0</v>
      </c>
      <c r="F1411" s="29" t="s">
        <v>232</v>
      </c>
    </row>
    <row r="1412" spans="1:6" ht="43.5" x14ac:dyDescent="0.35">
      <c r="A1412" s="26" t="s">
        <v>216</v>
      </c>
      <c r="B1412" s="26" t="s">
        <v>3040</v>
      </c>
      <c r="C1412" s="26" t="s">
        <v>15</v>
      </c>
      <c r="D1412" s="28" t="s">
        <v>218</v>
      </c>
      <c r="E1412" s="26" t="s">
        <v>3041</v>
      </c>
      <c r="F1412" s="29" t="s">
        <v>220</v>
      </c>
    </row>
    <row r="1413" spans="1:6" ht="29" x14ac:dyDescent="0.35">
      <c r="A1413" s="26" t="s">
        <v>216</v>
      </c>
      <c r="B1413" s="26" t="s">
        <v>3042</v>
      </c>
      <c r="C1413" s="26" t="s">
        <v>17</v>
      </c>
      <c r="D1413" s="28" t="s">
        <v>3043</v>
      </c>
      <c r="E1413" s="26">
        <v>13436</v>
      </c>
      <c r="F1413" s="29" t="s">
        <v>247</v>
      </c>
    </row>
    <row r="1414" spans="1:6" ht="29" x14ac:dyDescent="0.35">
      <c r="A1414" s="26" t="s">
        <v>216</v>
      </c>
      <c r="B1414" s="26" t="s">
        <v>3044</v>
      </c>
      <c r="C1414" s="26" t="s">
        <v>20</v>
      </c>
      <c r="D1414" s="28" t="s">
        <v>3045</v>
      </c>
      <c r="E1414" s="26">
        <v>13436</v>
      </c>
      <c r="F1414" s="29" t="s">
        <v>223</v>
      </c>
    </row>
    <row r="1415" spans="1:6" ht="58" x14ac:dyDescent="0.35">
      <c r="A1415" s="26" t="s">
        <v>216</v>
      </c>
      <c r="B1415" s="26" t="s">
        <v>3046</v>
      </c>
      <c r="C1415" s="26" t="s">
        <v>25</v>
      </c>
      <c r="D1415" s="28" t="s">
        <v>3047</v>
      </c>
      <c r="E1415" s="26">
        <v>0</v>
      </c>
      <c r="F1415" s="29" t="s">
        <v>226</v>
      </c>
    </row>
    <row r="1416" spans="1:6" ht="43.5" x14ac:dyDescent="0.35">
      <c r="A1416" s="26" t="s">
        <v>216</v>
      </c>
      <c r="B1416" s="26" t="s">
        <v>3048</v>
      </c>
      <c r="C1416" s="26" t="s">
        <v>27</v>
      </c>
      <c r="D1416" s="28" t="s">
        <v>3049</v>
      </c>
      <c r="E1416" s="26">
        <v>0</v>
      </c>
      <c r="F1416" s="29" t="s">
        <v>229</v>
      </c>
    </row>
    <row r="1417" spans="1:6" ht="29" x14ac:dyDescent="0.35">
      <c r="A1417" s="26" t="s">
        <v>216</v>
      </c>
      <c r="B1417" s="26" t="s">
        <v>3050</v>
      </c>
      <c r="C1417" s="26" t="s">
        <v>24</v>
      </c>
      <c r="D1417" s="28" t="s">
        <v>3051</v>
      </c>
      <c r="E1417" s="26">
        <v>0</v>
      </c>
      <c r="F1417" s="29" t="s">
        <v>232</v>
      </c>
    </row>
    <row r="1418" spans="1:6" ht="43.5" x14ac:dyDescent="0.35">
      <c r="A1418" s="26" t="s">
        <v>216</v>
      </c>
      <c r="B1418" s="26" t="s">
        <v>3052</v>
      </c>
      <c r="C1418" s="26" t="s">
        <v>15</v>
      </c>
      <c r="D1418" s="28" t="s">
        <v>218</v>
      </c>
      <c r="E1418" s="26" t="s">
        <v>3053</v>
      </c>
      <c r="F1418" s="29" t="s">
        <v>220</v>
      </c>
    </row>
    <row r="1419" spans="1:6" ht="29" x14ac:dyDescent="0.35">
      <c r="A1419" s="26" t="s">
        <v>216</v>
      </c>
      <c r="B1419" s="26" t="s">
        <v>3054</v>
      </c>
      <c r="C1419" s="26" t="s">
        <v>17</v>
      </c>
      <c r="D1419" s="28" t="s">
        <v>3055</v>
      </c>
      <c r="E1419" s="26">
        <v>13436</v>
      </c>
      <c r="F1419" s="29" t="s">
        <v>247</v>
      </c>
    </row>
    <row r="1420" spans="1:6" ht="29" x14ac:dyDescent="0.35">
      <c r="A1420" s="26" t="s">
        <v>216</v>
      </c>
      <c r="B1420" s="26" t="s">
        <v>3056</v>
      </c>
      <c r="C1420" s="26" t="s">
        <v>20</v>
      </c>
      <c r="D1420" s="28" t="s">
        <v>3057</v>
      </c>
      <c r="E1420" s="26">
        <v>13436</v>
      </c>
      <c r="F1420" s="29" t="s">
        <v>223</v>
      </c>
    </row>
    <row r="1421" spans="1:6" ht="58" x14ac:dyDescent="0.35">
      <c r="A1421" s="26" t="s">
        <v>216</v>
      </c>
      <c r="B1421" s="26" t="s">
        <v>3058</v>
      </c>
      <c r="C1421" s="26" t="s">
        <v>25</v>
      </c>
      <c r="D1421" s="28" t="s">
        <v>3059</v>
      </c>
      <c r="E1421" s="26">
        <v>0</v>
      </c>
      <c r="F1421" s="29" t="s">
        <v>226</v>
      </c>
    </row>
    <row r="1422" spans="1:6" ht="43.5" x14ac:dyDescent="0.35">
      <c r="A1422" s="26" t="s">
        <v>216</v>
      </c>
      <c r="B1422" s="26" t="s">
        <v>3060</v>
      </c>
      <c r="C1422" s="26" t="s">
        <v>27</v>
      </c>
      <c r="D1422" s="28" t="s">
        <v>3061</v>
      </c>
      <c r="E1422" s="26">
        <v>0</v>
      </c>
      <c r="F1422" s="29" t="s">
        <v>229</v>
      </c>
    </row>
    <row r="1423" spans="1:6" ht="29" x14ac:dyDescent="0.35">
      <c r="A1423" s="26" t="s">
        <v>216</v>
      </c>
      <c r="B1423" s="26" t="s">
        <v>3062</v>
      </c>
      <c r="C1423" s="26" t="s">
        <v>24</v>
      </c>
      <c r="D1423" s="28" t="s">
        <v>3063</v>
      </c>
      <c r="E1423" s="26">
        <v>0</v>
      </c>
      <c r="F1423" s="29" t="s">
        <v>232</v>
      </c>
    </row>
    <row r="1424" spans="1:6" ht="43.5" x14ac:dyDescent="0.35">
      <c r="A1424" s="26" t="s">
        <v>216</v>
      </c>
      <c r="B1424" s="26" t="s">
        <v>3064</v>
      </c>
      <c r="C1424" s="26" t="s">
        <v>15</v>
      </c>
      <c r="D1424" s="28" t="s">
        <v>218</v>
      </c>
      <c r="E1424" s="26" t="s">
        <v>3065</v>
      </c>
      <c r="F1424" s="29" t="s">
        <v>220</v>
      </c>
    </row>
    <row r="1425" spans="1:6" ht="29" x14ac:dyDescent="0.35">
      <c r="A1425" s="26" t="s">
        <v>216</v>
      </c>
      <c r="B1425" s="26" t="s">
        <v>3066</v>
      </c>
      <c r="C1425" s="26" t="s">
        <v>17</v>
      </c>
      <c r="D1425" s="28" t="s">
        <v>3067</v>
      </c>
      <c r="E1425" s="26">
        <v>13436</v>
      </c>
      <c r="F1425" s="29" t="s">
        <v>247</v>
      </c>
    </row>
    <row r="1426" spans="1:6" ht="29" x14ac:dyDescent="0.35">
      <c r="A1426" s="26" t="s">
        <v>216</v>
      </c>
      <c r="B1426" s="26" t="s">
        <v>3068</v>
      </c>
      <c r="C1426" s="26" t="s">
        <v>20</v>
      </c>
      <c r="D1426" s="28" t="s">
        <v>3069</v>
      </c>
      <c r="E1426" s="26">
        <v>13436</v>
      </c>
      <c r="F1426" s="29" t="s">
        <v>223</v>
      </c>
    </row>
    <row r="1427" spans="1:6" ht="58" x14ac:dyDescent="0.35">
      <c r="A1427" s="26" t="s">
        <v>216</v>
      </c>
      <c r="B1427" s="26" t="s">
        <v>3070</v>
      </c>
      <c r="C1427" s="26" t="s">
        <v>25</v>
      </c>
      <c r="D1427" s="28" t="s">
        <v>3071</v>
      </c>
      <c r="E1427" s="26">
        <v>0</v>
      </c>
      <c r="F1427" s="29" t="s">
        <v>226</v>
      </c>
    </row>
    <row r="1428" spans="1:6" ht="43.5" x14ac:dyDescent="0.35">
      <c r="A1428" s="26" t="s">
        <v>216</v>
      </c>
      <c r="B1428" s="26" t="s">
        <v>3072</v>
      </c>
      <c r="C1428" s="26" t="s">
        <v>27</v>
      </c>
      <c r="D1428" s="28" t="s">
        <v>3073</v>
      </c>
      <c r="E1428" s="26">
        <v>0</v>
      </c>
      <c r="F1428" s="29" t="s">
        <v>229</v>
      </c>
    </row>
    <row r="1429" spans="1:6" ht="29" x14ac:dyDescent="0.35">
      <c r="A1429" s="26" t="s">
        <v>216</v>
      </c>
      <c r="B1429" s="26" t="s">
        <v>3074</v>
      </c>
      <c r="C1429" s="26" t="s">
        <v>24</v>
      </c>
      <c r="D1429" s="28" t="s">
        <v>3075</v>
      </c>
      <c r="E1429" s="26">
        <v>0</v>
      </c>
      <c r="F1429" s="29" t="s">
        <v>232</v>
      </c>
    </row>
    <row r="1430" spans="1:6" ht="43.5" x14ac:dyDescent="0.35">
      <c r="A1430" s="26" t="s">
        <v>216</v>
      </c>
      <c r="B1430" s="26" t="s">
        <v>3076</v>
      </c>
      <c r="C1430" s="26" t="s">
        <v>15</v>
      </c>
      <c r="D1430" s="28" t="s">
        <v>218</v>
      </c>
      <c r="E1430" s="26" t="s">
        <v>3077</v>
      </c>
      <c r="F1430" s="29" t="s">
        <v>220</v>
      </c>
    </row>
    <row r="1431" spans="1:6" ht="29" x14ac:dyDescent="0.35">
      <c r="A1431" s="26" t="s">
        <v>216</v>
      </c>
      <c r="B1431" s="26" t="s">
        <v>3078</v>
      </c>
      <c r="C1431" s="26" t="s">
        <v>17</v>
      </c>
      <c r="D1431" s="28" t="s">
        <v>3079</v>
      </c>
      <c r="E1431" s="26">
        <v>13436</v>
      </c>
      <c r="F1431" s="29" t="s">
        <v>247</v>
      </c>
    </row>
    <row r="1432" spans="1:6" ht="29" x14ac:dyDescent="0.35">
      <c r="A1432" s="26" t="s">
        <v>216</v>
      </c>
      <c r="B1432" s="26" t="s">
        <v>3080</v>
      </c>
      <c r="C1432" s="26" t="s">
        <v>20</v>
      </c>
      <c r="D1432" s="28" t="s">
        <v>3081</v>
      </c>
      <c r="E1432" s="26">
        <v>13436</v>
      </c>
      <c r="F1432" s="29" t="s">
        <v>223</v>
      </c>
    </row>
    <row r="1433" spans="1:6" ht="58" x14ac:dyDescent="0.35">
      <c r="A1433" s="26" t="s">
        <v>216</v>
      </c>
      <c r="B1433" s="26" t="s">
        <v>3082</v>
      </c>
      <c r="C1433" s="26" t="s">
        <v>25</v>
      </c>
      <c r="D1433" s="28" t="s">
        <v>3083</v>
      </c>
      <c r="E1433" s="26">
        <v>0</v>
      </c>
      <c r="F1433" s="29" t="s">
        <v>226</v>
      </c>
    </row>
    <row r="1434" spans="1:6" ht="43.5" x14ac:dyDescent="0.35">
      <c r="A1434" s="26" t="s">
        <v>216</v>
      </c>
      <c r="B1434" s="26" t="s">
        <v>3084</v>
      </c>
      <c r="C1434" s="26" t="s">
        <v>27</v>
      </c>
      <c r="D1434" s="28" t="s">
        <v>3085</v>
      </c>
      <c r="E1434" s="26">
        <v>0</v>
      </c>
      <c r="F1434" s="29" t="s">
        <v>229</v>
      </c>
    </row>
    <row r="1435" spans="1:6" ht="29" x14ac:dyDescent="0.35">
      <c r="A1435" s="26" t="s">
        <v>216</v>
      </c>
      <c r="B1435" s="26" t="s">
        <v>3086</v>
      </c>
      <c r="C1435" s="26" t="s">
        <v>24</v>
      </c>
      <c r="D1435" s="28" t="s">
        <v>3087</v>
      </c>
      <c r="E1435" s="26">
        <v>0</v>
      </c>
      <c r="F1435" s="29" t="s">
        <v>232</v>
      </c>
    </row>
    <row r="1436" spans="1:6" ht="43.5" x14ac:dyDescent="0.35">
      <c r="A1436" s="26" t="s">
        <v>216</v>
      </c>
      <c r="B1436" s="26" t="s">
        <v>3088</v>
      </c>
      <c r="C1436" s="26" t="s">
        <v>15</v>
      </c>
      <c r="D1436" s="28" t="s">
        <v>218</v>
      </c>
      <c r="E1436" s="26" t="s">
        <v>3089</v>
      </c>
      <c r="F1436" s="29" t="s">
        <v>220</v>
      </c>
    </row>
    <row r="1437" spans="1:6" ht="29" x14ac:dyDescent="0.35">
      <c r="A1437" s="26" t="s">
        <v>216</v>
      </c>
      <c r="B1437" s="26" t="s">
        <v>3090</v>
      </c>
      <c r="C1437" s="26" t="s">
        <v>17</v>
      </c>
      <c r="D1437" s="28" t="s">
        <v>3091</v>
      </c>
      <c r="E1437" s="26">
        <v>13436</v>
      </c>
      <c r="F1437" s="29" t="s">
        <v>247</v>
      </c>
    </row>
    <row r="1438" spans="1:6" ht="29" x14ac:dyDescent="0.35">
      <c r="A1438" s="26" t="s">
        <v>216</v>
      </c>
      <c r="B1438" s="26" t="s">
        <v>3092</v>
      </c>
      <c r="C1438" s="26" t="s">
        <v>20</v>
      </c>
      <c r="D1438" s="28" t="s">
        <v>3093</v>
      </c>
      <c r="E1438" s="26">
        <v>13436</v>
      </c>
      <c r="F1438" s="29" t="s">
        <v>223</v>
      </c>
    </row>
    <row r="1439" spans="1:6" ht="58" x14ac:dyDescent="0.35">
      <c r="A1439" s="26" t="s">
        <v>216</v>
      </c>
      <c r="B1439" s="26" t="s">
        <v>3094</v>
      </c>
      <c r="C1439" s="26" t="s">
        <v>25</v>
      </c>
      <c r="D1439" s="28" t="s">
        <v>3095</v>
      </c>
      <c r="E1439" s="26">
        <v>0</v>
      </c>
      <c r="F1439" s="29" t="s">
        <v>226</v>
      </c>
    </row>
    <row r="1440" spans="1:6" ht="43.5" x14ac:dyDescent="0.35">
      <c r="A1440" s="26" t="s">
        <v>216</v>
      </c>
      <c r="B1440" s="26" t="s">
        <v>3096</v>
      </c>
      <c r="C1440" s="26" t="s">
        <v>27</v>
      </c>
      <c r="D1440" s="28" t="s">
        <v>3097</v>
      </c>
      <c r="E1440" s="26">
        <v>0</v>
      </c>
      <c r="F1440" s="29" t="s">
        <v>229</v>
      </c>
    </row>
    <row r="1441" spans="1:6" ht="29" x14ac:dyDescent="0.35">
      <c r="A1441" s="26" t="s">
        <v>216</v>
      </c>
      <c r="B1441" s="26" t="s">
        <v>3098</v>
      </c>
      <c r="C1441" s="26" t="s">
        <v>24</v>
      </c>
      <c r="D1441" s="28" t="s">
        <v>3099</v>
      </c>
      <c r="E1441" s="26">
        <v>0</v>
      </c>
      <c r="F1441" s="29" t="s">
        <v>232</v>
      </c>
    </row>
    <row r="1442" spans="1:6" ht="43.5" x14ac:dyDescent="0.35">
      <c r="A1442" s="26" t="s">
        <v>216</v>
      </c>
      <c r="B1442" s="26" t="s">
        <v>3100</v>
      </c>
      <c r="C1442" s="26" t="s">
        <v>15</v>
      </c>
      <c r="D1442" s="28" t="s">
        <v>218</v>
      </c>
      <c r="E1442" s="26" t="s">
        <v>3101</v>
      </c>
      <c r="F1442" s="29" t="s">
        <v>220</v>
      </c>
    </row>
    <row r="1443" spans="1:6" ht="29" x14ac:dyDescent="0.35">
      <c r="A1443" s="26" t="s">
        <v>216</v>
      </c>
      <c r="B1443" s="26" t="s">
        <v>3102</v>
      </c>
      <c r="C1443" s="26" t="s">
        <v>17</v>
      </c>
      <c r="D1443" s="28" t="s">
        <v>3103</v>
      </c>
      <c r="E1443" s="26">
        <v>13436</v>
      </c>
      <c r="F1443" s="29" t="s">
        <v>247</v>
      </c>
    </row>
    <row r="1444" spans="1:6" ht="29" x14ac:dyDescent="0.35">
      <c r="A1444" s="26" t="s">
        <v>216</v>
      </c>
      <c r="B1444" s="26" t="s">
        <v>3104</v>
      </c>
      <c r="C1444" s="26" t="s">
        <v>20</v>
      </c>
      <c r="D1444" s="28" t="s">
        <v>3105</v>
      </c>
      <c r="E1444" s="26">
        <v>13436</v>
      </c>
      <c r="F1444" s="29" t="s">
        <v>223</v>
      </c>
    </row>
    <row r="1445" spans="1:6" ht="58" x14ac:dyDescent="0.35">
      <c r="A1445" s="26" t="s">
        <v>216</v>
      </c>
      <c r="B1445" s="26" t="s">
        <v>3106</v>
      </c>
      <c r="C1445" s="26" t="s">
        <v>25</v>
      </c>
      <c r="D1445" s="28" t="s">
        <v>3107</v>
      </c>
      <c r="E1445" s="26">
        <v>0</v>
      </c>
      <c r="F1445" s="29" t="s">
        <v>226</v>
      </c>
    </row>
    <row r="1446" spans="1:6" ht="43.5" x14ac:dyDescent="0.35">
      <c r="A1446" s="26" t="s">
        <v>216</v>
      </c>
      <c r="B1446" s="26" t="s">
        <v>3108</v>
      </c>
      <c r="C1446" s="26" t="s">
        <v>27</v>
      </c>
      <c r="D1446" s="28" t="s">
        <v>3109</v>
      </c>
      <c r="E1446" s="26">
        <v>0</v>
      </c>
      <c r="F1446" s="29" t="s">
        <v>229</v>
      </c>
    </row>
    <row r="1447" spans="1:6" ht="29" x14ac:dyDescent="0.35">
      <c r="A1447" s="26" t="s">
        <v>216</v>
      </c>
      <c r="B1447" s="26" t="s">
        <v>3110</v>
      </c>
      <c r="C1447" s="26" t="s">
        <v>24</v>
      </c>
      <c r="D1447" s="28" t="s">
        <v>3111</v>
      </c>
      <c r="E1447" s="26">
        <v>0</v>
      </c>
      <c r="F1447" s="29" t="s">
        <v>232</v>
      </c>
    </row>
    <row r="1448" spans="1:6" ht="43.5" x14ac:dyDescent="0.35">
      <c r="A1448" s="26" t="s">
        <v>216</v>
      </c>
      <c r="B1448" s="26" t="s">
        <v>3112</v>
      </c>
      <c r="C1448" s="26" t="s">
        <v>15</v>
      </c>
      <c r="D1448" s="28" t="s">
        <v>218</v>
      </c>
      <c r="E1448" s="26" t="s">
        <v>3113</v>
      </c>
      <c r="F1448" s="29" t="s">
        <v>220</v>
      </c>
    </row>
    <row r="1449" spans="1:6" ht="29" x14ac:dyDescent="0.35">
      <c r="A1449" s="26" t="s">
        <v>216</v>
      </c>
      <c r="B1449" s="26" t="s">
        <v>3114</v>
      </c>
      <c r="C1449" s="26" t="s">
        <v>17</v>
      </c>
      <c r="D1449" s="28" t="s">
        <v>3115</v>
      </c>
      <c r="E1449" s="26">
        <v>13436</v>
      </c>
      <c r="F1449" s="29" t="s">
        <v>247</v>
      </c>
    </row>
    <row r="1450" spans="1:6" ht="29" x14ac:dyDescent="0.35">
      <c r="A1450" s="26" t="s">
        <v>216</v>
      </c>
      <c r="B1450" s="26" t="s">
        <v>3116</v>
      </c>
      <c r="C1450" s="26" t="s">
        <v>20</v>
      </c>
      <c r="D1450" s="28" t="s">
        <v>3117</v>
      </c>
      <c r="E1450" s="26">
        <v>13436</v>
      </c>
      <c r="F1450" s="29" t="s">
        <v>223</v>
      </c>
    </row>
    <row r="1451" spans="1:6" ht="58" x14ac:dyDescent="0.35">
      <c r="A1451" s="26" t="s">
        <v>216</v>
      </c>
      <c r="B1451" s="26" t="s">
        <v>3118</v>
      </c>
      <c r="C1451" s="26" t="s">
        <v>25</v>
      </c>
      <c r="D1451" s="28" t="s">
        <v>3119</v>
      </c>
      <c r="E1451" s="26">
        <v>0</v>
      </c>
      <c r="F1451" s="29" t="s">
        <v>226</v>
      </c>
    </row>
    <row r="1452" spans="1:6" ht="43.5" x14ac:dyDescent="0.35">
      <c r="A1452" s="26" t="s">
        <v>216</v>
      </c>
      <c r="B1452" s="26" t="s">
        <v>3120</v>
      </c>
      <c r="C1452" s="26" t="s">
        <v>27</v>
      </c>
      <c r="D1452" s="28" t="s">
        <v>3121</v>
      </c>
      <c r="E1452" s="26">
        <v>0</v>
      </c>
      <c r="F1452" s="29" t="s">
        <v>229</v>
      </c>
    </row>
    <row r="1453" spans="1:6" ht="29" x14ac:dyDescent="0.35">
      <c r="A1453" s="26" t="s">
        <v>216</v>
      </c>
      <c r="B1453" s="26" t="s">
        <v>3122</v>
      </c>
      <c r="C1453" s="26" t="s">
        <v>24</v>
      </c>
      <c r="D1453" s="28" t="s">
        <v>3123</v>
      </c>
      <c r="E1453" s="26">
        <v>0</v>
      </c>
      <c r="F1453" s="29" t="s">
        <v>232</v>
      </c>
    </row>
    <row r="1454" spans="1:6" ht="43.5" x14ac:dyDescent="0.35">
      <c r="A1454" s="26" t="s">
        <v>216</v>
      </c>
      <c r="B1454" s="26" t="s">
        <v>3124</v>
      </c>
      <c r="C1454" s="26" t="s">
        <v>15</v>
      </c>
      <c r="D1454" s="28" t="s">
        <v>218</v>
      </c>
      <c r="E1454" s="26" t="s">
        <v>3125</v>
      </c>
      <c r="F1454" s="29" t="s">
        <v>220</v>
      </c>
    </row>
    <row r="1455" spans="1:6" ht="29" x14ac:dyDescent="0.35">
      <c r="A1455" s="26" t="s">
        <v>216</v>
      </c>
      <c r="B1455" s="26" t="s">
        <v>3126</v>
      </c>
      <c r="C1455" s="26" t="s">
        <v>17</v>
      </c>
      <c r="D1455" s="28" t="s">
        <v>3127</v>
      </c>
      <c r="E1455" s="26">
        <v>13436</v>
      </c>
      <c r="F1455" s="29" t="s">
        <v>247</v>
      </c>
    </row>
    <row r="1456" spans="1:6" ht="29" x14ac:dyDescent="0.35">
      <c r="A1456" s="26" t="s">
        <v>216</v>
      </c>
      <c r="B1456" s="26" t="s">
        <v>3128</v>
      </c>
      <c r="C1456" s="26" t="s">
        <v>20</v>
      </c>
      <c r="D1456" s="28" t="s">
        <v>3129</v>
      </c>
      <c r="E1456" s="26">
        <v>13436</v>
      </c>
      <c r="F1456" s="29" t="s">
        <v>223</v>
      </c>
    </row>
    <row r="1457" spans="1:6" ht="58" x14ac:dyDescent="0.35">
      <c r="A1457" s="26" t="s">
        <v>216</v>
      </c>
      <c r="B1457" s="26" t="s">
        <v>3130</v>
      </c>
      <c r="C1457" s="26" t="s">
        <v>25</v>
      </c>
      <c r="D1457" s="28" t="s">
        <v>3131</v>
      </c>
      <c r="E1457" s="26">
        <v>0</v>
      </c>
      <c r="F1457" s="29" t="s">
        <v>226</v>
      </c>
    </row>
    <row r="1458" spans="1:6" ht="43.5" x14ac:dyDescent="0.35">
      <c r="A1458" s="26" t="s">
        <v>216</v>
      </c>
      <c r="B1458" s="26" t="s">
        <v>3132</v>
      </c>
      <c r="C1458" s="26" t="s">
        <v>27</v>
      </c>
      <c r="D1458" s="28" t="s">
        <v>3133</v>
      </c>
      <c r="E1458" s="26">
        <v>0</v>
      </c>
      <c r="F1458" s="29" t="s">
        <v>229</v>
      </c>
    </row>
    <row r="1459" spans="1:6" ht="29" x14ac:dyDescent="0.35">
      <c r="A1459" s="26" t="s">
        <v>216</v>
      </c>
      <c r="B1459" s="26" t="s">
        <v>3134</v>
      </c>
      <c r="C1459" s="26" t="s">
        <v>24</v>
      </c>
      <c r="D1459" s="28" t="s">
        <v>3135</v>
      </c>
      <c r="E1459" s="26">
        <v>0</v>
      </c>
      <c r="F1459" s="29" t="s">
        <v>232</v>
      </c>
    </row>
    <row r="1460" spans="1:6" ht="43.5" x14ac:dyDescent="0.35">
      <c r="A1460" s="26" t="s">
        <v>216</v>
      </c>
      <c r="B1460" s="26" t="s">
        <v>3136</v>
      </c>
      <c r="C1460" s="26" t="s">
        <v>15</v>
      </c>
      <c r="D1460" s="28" t="s">
        <v>218</v>
      </c>
      <c r="E1460" s="26" t="s">
        <v>3137</v>
      </c>
      <c r="F1460" s="29" t="s">
        <v>220</v>
      </c>
    </row>
    <row r="1461" spans="1:6" ht="29" x14ac:dyDescent="0.35">
      <c r="A1461" s="26" t="s">
        <v>216</v>
      </c>
      <c r="B1461" s="26" t="s">
        <v>3138</v>
      </c>
      <c r="C1461" s="26" t="s">
        <v>17</v>
      </c>
      <c r="D1461" s="28" t="s">
        <v>3139</v>
      </c>
      <c r="E1461" s="26">
        <v>13436</v>
      </c>
      <c r="F1461" s="29" t="s">
        <v>247</v>
      </c>
    </row>
    <row r="1462" spans="1:6" ht="29" x14ac:dyDescent="0.35">
      <c r="A1462" s="26" t="s">
        <v>216</v>
      </c>
      <c r="B1462" s="26" t="s">
        <v>3140</v>
      </c>
      <c r="C1462" s="26" t="s">
        <v>20</v>
      </c>
      <c r="D1462" s="28" t="s">
        <v>3141</v>
      </c>
      <c r="E1462" s="26">
        <v>13436</v>
      </c>
      <c r="F1462" s="29" t="s">
        <v>223</v>
      </c>
    </row>
    <row r="1463" spans="1:6" ht="58" x14ac:dyDescent="0.35">
      <c r="A1463" s="26" t="s">
        <v>216</v>
      </c>
      <c r="B1463" s="26" t="s">
        <v>3142</v>
      </c>
      <c r="C1463" s="26" t="s">
        <v>25</v>
      </c>
      <c r="D1463" s="28" t="s">
        <v>3143</v>
      </c>
      <c r="E1463" s="26">
        <v>0</v>
      </c>
      <c r="F1463" s="29" t="s">
        <v>226</v>
      </c>
    </row>
    <row r="1464" spans="1:6" ht="43.5" x14ac:dyDescent="0.35">
      <c r="A1464" s="26" t="s">
        <v>216</v>
      </c>
      <c r="B1464" s="26" t="s">
        <v>3144</v>
      </c>
      <c r="C1464" s="26" t="s">
        <v>27</v>
      </c>
      <c r="D1464" s="28" t="s">
        <v>3145</v>
      </c>
      <c r="E1464" s="26">
        <v>0</v>
      </c>
      <c r="F1464" s="29" t="s">
        <v>229</v>
      </c>
    </row>
    <row r="1465" spans="1:6" ht="29" x14ac:dyDescent="0.35">
      <c r="A1465" s="26" t="s">
        <v>216</v>
      </c>
      <c r="B1465" s="26" t="s">
        <v>3146</v>
      </c>
      <c r="C1465" s="26" t="s">
        <v>24</v>
      </c>
      <c r="D1465" s="28" t="s">
        <v>3147</v>
      </c>
      <c r="E1465" s="26">
        <v>0</v>
      </c>
      <c r="F1465" s="29" t="s">
        <v>232</v>
      </c>
    </row>
    <row r="1466" spans="1:6" ht="43.5" x14ac:dyDescent="0.35">
      <c r="A1466" s="26" t="s">
        <v>216</v>
      </c>
      <c r="B1466" s="26" t="s">
        <v>3148</v>
      </c>
      <c r="C1466" s="26" t="s">
        <v>15</v>
      </c>
      <c r="D1466" s="28" t="s">
        <v>218</v>
      </c>
      <c r="E1466" s="26" t="s">
        <v>3149</v>
      </c>
      <c r="F1466" s="29" t="s">
        <v>220</v>
      </c>
    </row>
    <row r="1467" spans="1:6" ht="29" x14ac:dyDescent="0.35">
      <c r="A1467" s="26" t="s">
        <v>216</v>
      </c>
      <c r="B1467" s="26" t="s">
        <v>3150</v>
      </c>
      <c r="C1467" s="26" t="s">
        <v>17</v>
      </c>
      <c r="D1467" s="28" t="s">
        <v>3151</v>
      </c>
      <c r="E1467" s="26">
        <v>13436</v>
      </c>
      <c r="F1467" s="29" t="s">
        <v>247</v>
      </c>
    </row>
    <row r="1468" spans="1:6" ht="29" x14ac:dyDescent="0.35">
      <c r="A1468" s="26" t="s">
        <v>216</v>
      </c>
      <c r="B1468" s="26" t="s">
        <v>3152</v>
      </c>
      <c r="C1468" s="26" t="s">
        <v>20</v>
      </c>
      <c r="D1468" s="28" t="s">
        <v>3153</v>
      </c>
      <c r="E1468" s="26">
        <v>13436</v>
      </c>
      <c r="F1468" s="29" t="s">
        <v>223</v>
      </c>
    </row>
    <row r="1469" spans="1:6" ht="58" x14ac:dyDescent="0.35">
      <c r="A1469" s="26" t="s">
        <v>216</v>
      </c>
      <c r="B1469" s="26" t="s">
        <v>3154</v>
      </c>
      <c r="C1469" s="26" t="s">
        <v>25</v>
      </c>
      <c r="D1469" s="28" t="s">
        <v>3155</v>
      </c>
      <c r="E1469" s="26">
        <v>0</v>
      </c>
      <c r="F1469" s="29" t="s">
        <v>226</v>
      </c>
    </row>
    <row r="1470" spans="1:6" ht="43.5" x14ac:dyDescent="0.35">
      <c r="A1470" s="26" t="s">
        <v>216</v>
      </c>
      <c r="B1470" s="26" t="s">
        <v>3156</v>
      </c>
      <c r="C1470" s="26" t="s">
        <v>27</v>
      </c>
      <c r="D1470" s="28" t="s">
        <v>3157</v>
      </c>
      <c r="E1470" s="26">
        <v>0</v>
      </c>
      <c r="F1470" s="29" t="s">
        <v>229</v>
      </c>
    </row>
    <row r="1471" spans="1:6" ht="29" x14ac:dyDescent="0.35">
      <c r="A1471" s="26" t="s">
        <v>216</v>
      </c>
      <c r="B1471" s="26" t="s">
        <v>3158</v>
      </c>
      <c r="C1471" s="26" t="s">
        <v>24</v>
      </c>
      <c r="D1471" s="28" t="s">
        <v>3159</v>
      </c>
      <c r="E1471" s="26">
        <v>0</v>
      </c>
      <c r="F1471" s="29" t="s">
        <v>232</v>
      </c>
    </row>
    <row r="1472" spans="1:6" ht="43.5" x14ac:dyDescent="0.35">
      <c r="A1472" s="26" t="s">
        <v>216</v>
      </c>
      <c r="B1472" s="26" t="s">
        <v>3160</v>
      </c>
      <c r="C1472" s="26" t="s">
        <v>15</v>
      </c>
      <c r="D1472" s="28" t="s">
        <v>218</v>
      </c>
      <c r="E1472" s="26" t="s">
        <v>3161</v>
      </c>
      <c r="F1472" s="29" t="s">
        <v>220</v>
      </c>
    </row>
    <row r="1473" spans="1:6" ht="29" x14ac:dyDescent="0.35">
      <c r="A1473" s="26" t="s">
        <v>216</v>
      </c>
      <c r="B1473" s="26" t="s">
        <v>3162</v>
      </c>
      <c r="C1473" s="26" t="s">
        <v>17</v>
      </c>
      <c r="D1473" s="28" t="s">
        <v>3163</v>
      </c>
      <c r="E1473" s="26">
        <v>13436</v>
      </c>
      <c r="F1473" s="29" t="s">
        <v>247</v>
      </c>
    </row>
    <row r="1474" spans="1:6" ht="29" x14ac:dyDescent="0.35">
      <c r="A1474" s="26" t="s">
        <v>216</v>
      </c>
      <c r="B1474" s="26" t="s">
        <v>3164</v>
      </c>
      <c r="C1474" s="26" t="s">
        <v>20</v>
      </c>
      <c r="D1474" s="28" t="s">
        <v>3165</v>
      </c>
      <c r="E1474" s="26">
        <v>13436</v>
      </c>
      <c r="F1474" s="29" t="s">
        <v>223</v>
      </c>
    </row>
    <row r="1475" spans="1:6" ht="58" x14ac:dyDescent="0.35">
      <c r="A1475" s="26" t="s">
        <v>216</v>
      </c>
      <c r="B1475" s="26" t="s">
        <v>3166</v>
      </c>
      <c r="C1475" s="26" t="s">
        <v>25</v>
      </c>
      <c r="D1475" s="28" t="s">
        <v>3167</v>
      </c>
      <c r="E1475" s="26">
        <v>0</v>
      </c>
      <c r="F1475" s="29" t="s">
        <v>226</v>
      </c>
    </row>
    <row r="1476" spans="1:6" ht="43.5" x14ac:dyDescent="0.35">
      <c r="A1476" s="26" t="s">
        <v>216</v>
      </c>
      <c r="B1476" s="26" t="s">
        <v>3168</v>
      </c>
      <c r="C1476" s="26" t="s">
        <v>27</v>
      </c>
      <c r="D1476" s="28" t="s">
        <v>3169</v>
      </c>
      <c r="E1476" s="26">
        <v>0</v>
      </c>
      <c r="F1476" s="29" t="s">
        <v>229</v>
      </c>
    </row>
    <row r="1477" spans="1:6" ht="29" x14ac:dyDescent="0.35">
      <c r="A1477" s="26" t="s">
        <v>216</v>
      </c>
      <c r="B1477" s="26" t="s">
        <v>3170</v>
      </c>
      <c r="C1477" s="26" t="s">
        <v>24</v>
      </c>
      <c r="D1477" s="28" t="s">
        <v>3171</v>
      </c>
      <c r="E1477" s="26">
        <v>0</v>
      </c>
      <c r="F1477" s="29" t="s">
        <v>232</v>
      </c>
    </row>
    <row r="1478" spans="1:6" ht="43.5" x14ac:dyDescent="0.35">
      <c r="A1478" s="26" t="s">
        <v>216</v>
      </c>
      <c r="B1478" s="26" t="s">
        <v>3172</v>
      </c>
      <c r="C1478" s="26" t="s">
        <v>15</v>
      </c>
      <c r="D1478" s="28" t="s">
        <v>218</v>
      </c>
      <c r="E1478" s="26" t="s">
        <v>3173</v>
      </c>
      <c r="F1478" s="29" t="s">
        <v>220</v>
      </c>
    </row>
    <row r="1479" spans="1:6" ht="29" x14ac:dyDescent="0.35">
      <c r="A1479" s="26" t="s">
        <v>216</v>
      </c>
      <c r="B1479" s="26" t="s">
        <v>3174</v>
      </c>
      <c r="C1479" s="26" t="s">
        <v>17</v>
      </c>
      <c r="D1479" s="28" t="s">
        <v>3175</v>
      </c>
      <c r="E1479" s="26">
        <v>13436</v>
      </c>
      <c r="F1479" s="29" t="s">
        <v>247</v>
      </c>
    </row>
    <row r="1480" spans="1:6" ht="29" x14ac:dyDescent="0.35">
      <c r="A1480" s="26" t="s">
        <v>216</v>
      </c>
      <c r="B1480" s="26" t="s">
        <v>3176</v>
      </c>
      <c r="C1480" s="26" t="s">
        <v>20</v>
      </c>
      <c r="D1480" s="28" t="s">
        <v>3177</v>
      </c>
      <c r="E1480" s="26">
        <v>13436</v>
      </c>
      <c r="F1480" s="29" t="s">
        <v>223</v>
      </c>
    </row>
    <row r="1481" spans="1:6" ht="58" x14ac:dyDescent="0.35">
      <c r="A1481" s="26" t="s">
        <v>216</v>
      </c>
      <c r="B1481" s="26" t="s">
        <v>3178</v>
      </c>
      <c r="C1481" s="26" t="s">
        <v>25</v>
      </c>
      <c r="D1481" s="28" t="s">
        <v>3179</v>
      </c>
      <c r="E1481" s="26">
        <v>0</v>
      </c>
      <c r="F1481" s="29" t="s">
        <v>226</v>
      </c>
    </row>
    <row r="1482" spans="1:6" ht="43.5" x14ac:dyDescent="0.35">
      <c r="A1482" s="26" t="s">
        <v>216</v>
      </c>
      <c r="B1482" s="26" t="s">
        <v>3180</v>
      </c>
      <c r="C1482" s="26" t="s">
        <v>27</v>
      </c>
      <c r="D1482" s="28" t="s">
        <v>3181</v>
      </c>
      <c r="E1482" s="26">
        <v>0</v>
      </c>
      <c r="F1482" s="29" t="s">
        <v>229</v>
      </c>
    </row>
    <row r="1483" spans="1:6" ht="29" x14ac:dyDescent="0.35">
      <c r="A1483" s="26" t="s">
        <v>216</v>
      </c>
      <c r="B1483" s="26" t="s">
        <v>3182</v>
      </c>
      <c r="C1483" s="26" t="s">
        <v>24</v>
      </c>
      <c r="D1483" s="28" t="s">
        <v>3183</v>
      </c>
      <c r="E1483" s="26">
        <v>0</v>
      </c>
      <c r="F1483" s="29" t="s">
        <v>232</v>
      </c>
    </row>
    <row r="1484" spans="1:6" ht="43.5" x14ac:dyDescent="0.35">
      <c r="A1484" s="26" t="s">
        <v>216</v>
      </c>
      <c r="B1484" s="26" t="s">
        <v>3184</v>
      </c>
      <c r="C1484" s="26" t="s">
        <v>15</v>
      </c>
      <c r="D1484" s="28" t="s">
        <v>218</v>
      </c>
      <c r="E1484" s="26" t="s">
        <v>3185</v>
      </c>
      <c r="F1484" s="29" t="s">
        <v>220</v>
      </c>
    </row>
    <row r="1485" spans="1:6" ht="29" x14ac:dyDescent="0.35">
      <c r="A1485" s="26" t="s">
        <v>216</v>
      </c>
      <c r="B1485" s="26" t="s">
        <v>3186</v>
      </c>
      <c r="C1485" s="26" t="s">
        <v>17</v>
      </c>
      <c r="D1485" s="28" t="s">
        <v>3187</v>
      </c>
      <c r="E1485" s="26">
        <v>13436</v>
      </c>
      <c r="F1485" s="29" t="s">
        <v>247</v>
      </c>
    </row>
    <row r="1486" spans="1:6" ht="29" x14ac:dyDescent="0.35">
      <c r="A1486" s="26" t="s">
        <v>216</v>
      </c>
      <c r="B1486" s="26" t="s">
        <v>3188</v>
      </c>
      <c r="C1486" s="26" t="s">
        <v>20</v>
      </c>
      <c r="D1486" s="28" t="s">
        <v>3189</v>
      </c>
      <c r="E1486" s="26">
        <v>13436</v>
      </c>
      <c r="F1486" s="29" t="s">
        <v>223</v>
      </c>
    </row>
    <row r="1487" spans="1:6" ht="58" x14ac:dyDescent="0.35">
      <c r="A1487" s="26" t="s">
        <v>216</v>
      </c>
      <c r="B1487" s="26" t="s">
        <v>3190</v>
      </c>
      <c r="C1487" s="26" t="s">
        <v>25</v>
      </c>
      <c r="D1487" s="28" t="s">
        <v>3191</v>
      </c>
      <c r="E1487" s="26">
        <v>0</v>
      </c>
      <c r="F1487" s="29" t="s">
        <v>226</v>
      </c>
    </row>
    <row r="1488" spans="1:6" ht="43.5" x14ac:dyDescent="0.35">
      <c r="A1488" s="26" t="s">
        <v>216</v>
      </c>
      <c r="B1488" s="26" t="s">
        <v>3192</v>
      </c>
      <c r="C1488" s="26" t="s">
        <v>27</v>
      </c>
      <c r="D1488" s="28" t="s">
        <v>3193</v>
      </c>
      <c r="E1488" s="26">
        <v>0</v>
      </c>
      <c r="F1488" s="29" t="s">
        <v>229</v>
      </c>
    </row>
    <row r="1489" spans="1:6" ht="29" x14ac:dyDescent="0.35">
      <c r="A1489" s="26" t="s">
        <v>216</v>
      </c>
      <c r="B1489" s="26" t="s">
        <v>3194</v>
      </c>
      <c r="C1489" s="26" t="s">
        <v>24</v>
      </c>
      <c r="D1489" s="28" t="s">
        <v>3195</v>
      </c>
      <c r="E1489" s="26">
        <v>0</v>
      </c>
      <c r="F1489" s="29" t="s">
        <v>232</v>
      </c>
    </row>
    <row r="1490" spans="1:6" ht="43.5" x14ac:dyDescent="0.35">
      <c r="A1490" s="26" t="s">
        <v>216</v>
      </c>
      <c r="B1490" s="26" t="s">
        <v>3196</v>
      </c>
      <c r="C1490" s="26" t="s">
        <v>15</v>
      </c>
      <c r="D1490" s="28" t="s">
        <v>218</v>
      </c>
      <c r="E1490" s="26" t="s">
        <v>3197</v>
      </c>
      <c r="F1490" s="29" t="s">
        <v>220</v>
      </c>
    </row>
    <row r="1491" spans="1:6" ht="29" x14ac:dyDescent="0.35">
      <c r="A1491" s="26" t="s">
        <v>216</v>
      </c>
      <c r="B1491" s="26" t="s">
        <v>3198</v>
      </c>
      <c r="C1491" s="26" t="s">
        <v>17</v>
      </c>
      <c r="D1491" s="28" t="s">
        <v>3199</v>
      </c>
      <c r="E1491" s="26">
        <v>13436</v>
      </c>
      <c r="F1491" s="29" t="s">
        <v>247</v>
      </c>
    </row>
    <row r="1492" spans="1:6" ht="29" x14ac:dyDescent="0.35">
      <c r="A1492" s="26" t="s">
        <v>216</v>
      </c>
      <c r="B1492" s="26" t="s">
        <v>3200</v>
      </c>
      <c r="C1492" s="26" t="s">
        <v>20</v>
      </c>
      <c r="D1492" s="28" t="s">
        <v>3201</v>
      </c>
      <c r="E1492" s="26">
        <v>13436</v>
      </c>
      <c r="F1492" s="29" t="s">
        <v>223</v>
      </c>
    </row>
    <row r="1493" spans="1:6" ht="58" x14ac:dyDescent="0.35">
      <c r="A1493" s="26" t="s">
        <v>216</v>
      </c>
      <c r="B1493" s="26" t="s">
        <v>3202</v>
      </c>
      <c r="C1493" s="26" t="s">
        <v>25</v>
      </c>
      <c r="D1493" s="28" t="s">
        <v>3203</v>
      </c>
      <c r="E1493" s="26">
        <v>0</v>
      </c>
      <c r="F1493" s="29" t="s">
        <v>226</v>
      </c>
    </row>
    <row r="1494" spans="1:6" ht="43.5" x14ac:dyDescent="0.35">
      <c r="A1494" s="26" t="s">
        <v>216</v>
      </c>
      <c r="B1494" s="26" t="s">
        <v>3204</v>
      </c>
      <c r="C1494" s="26" t="s">
        <v>27</v>
      </c>
      <c r="D1494" s="28" t="s">
        <v>3205</v>
      </c>
      <c r="E1494" s="26">
        <v>0</v>
      </c>
      <c r="F1494" s="29" t="s">
        <v>229</v>
      </c>
    </row>
    <row r="1495" spans="1:6" ht="29" x14ac:dyDescent="0.35">
      <c r="A1495" s="26" t="s">
        <v>216</v>
      </c>
      <c r="B1495" s="26" t="s">
        <v>3206</v>
      </c>
      <c r="C1495" s="26" t="s">
        <v>24</v>
      </c>
      <c r="D1495" s="28" t="s">
        <v>3207</v>
      </c>
      <c r="E1495" s="26">
        <v>0</v>
      </c>
      <c r="F1495" s="29" t="s">
        <v>232</v>
      </c>
    </row>
    <row r="1496" spans="1:6" ht="43.5" x14ac:dyDescent="0.35">
      <c r="A1496" s="26" t="s">
        <v>216</v>
      </c>
      <c r="B1496" s="26" t="s">
        <v>3208</v>
      </c>
      <c r="C1496" s="26" t="s">
        <v>15</v>
      </c>
      <c r="D1496" s="28" t="s">
        <v>218</v>
      </c>
      <c r="E1496" s="26" t="s">
        <v>3209</v>
      </c>
      <c r="F1496" s="29" t="s">
        <v>220</v>
      </c>
    </row>
    <row r="1497" spans="1:6" ht="29" x14ac:dyDescent="0.35">
      <c r="A1497" s="26" t="s">
        <v>216</v>
      </c>
      <c r="B1497" s="26" t="s">
        <v>3210</v>
      </c>
      <c r="C1497" s="26" t="s">
        <v>17</v>
      </c>
      <c r="D1497" s="28" t="s">
        <v>3211</v>
      </c>
      <c r="E1497" s="26">
        <v>13436</v>
      </c>
      <c r="F1497" s="29" t="s">
        <v>247</v>
      </c>
    </row>
    <row r="1498" spans="1:6" ht="29" x14ac:dyDescent="0.35">
      <c r="A1498" s="26" t="s">
        <v>216</v>
      </c>
      <c r="B1498" s="26" t="s">
        <v>3212</v>
      </c>
      <c r="C1498" s="26" t="s">
        <v>20</v>
      </c>
      <c r="D1498" s="28" t="s">
        <v>3213</v>
      </c>
      <c r="E1498" s="26">
        <v>13436</v>
      </c>
      <c r="F1498" s="29" t="s">
        <v>223</v>
      </c>
    </row>
    <row r="1499" spans="1:6" ht="58" x14ac:dyDescent="0.35">
      <c r="A1499" s="26" t="s">
        <v>216</v>
      </c>
      <c r="B1499" s="26" t="s">
        <v>3214</v>
      </c>
      <c r="C1499" s="26" t="s">
        <v>25</v>
      </c>
      <c r="D1499" s="28" t="s">
        <v>3215</v>
      </c>
      <c r="E1499" s="26">
        <v>0</v>
      </c>
      <c r="F1499" s="29" t="s">
        <v>226</v>
      </c>
    </row>
    <row r="1500" spans="1:6" ht="43.5" x14ac:dyDescent="0.35">
      <c r="A1500" s="26" t="s">
        <v>216</v>
      </c>
      <c r="B1500" s="26" t="s">
        <v>3216</v>
      </c>
      <c r="C1500" s="26" t="s">
        <v>27</v>
      </c>
      <c r="D1500" s="28" t="s">
        <v>3217</v>
      </c>
      <c r="E1500" s="26">
        <v>0</v>
      </c>
      <c r="F1500" s="29" t="s">
        <v>229</v>
      </c>
    </row>
    <row r="1501" spans="1:6" ht="29" x14ac:dyDescent="0.35">
      <c r="A1501" s="26" t="s">
        <v>216</v>
      </c>
      <c r="B1501" s="26" t="s">
        <v>3218</v>
      </c>
      <c r="C1501" s="26" t="s">
        <v>24</v>
      </c>
      <c r="D1501" s="28" t="s">
        <v>3219</v>
      </c>
      <c r="E1501" s="26">
        <v>0</v>
      </c>
      <c r="F1501" s="29" t="s">
        <v>232</v>
      </c>
    </row>
    <row r="1502" spans="1:6" ht="43.5" x14ac:dyDescent="0.35">
      <c r="A1502" s="26" t="s">
        <v>216</v>
      </c>
      <c r="B1502" s="26" t="s">
        <v>3220</v>
      </c>
      <c r="C1502" s="26" t="s">
        <v>15</v>
      </c>
      <c r="D1502" s="28" t="s">
        <v>218</v>
      </c>
      <c r="E1502" s="26" t="s">
        <v>3221</v>
      </c>
      <c r="F1502" s="29" t="s">
        <v>220</v>
      </c>
    </row>
    <row r="1503" spans="1:6" ht="29" x14ac:dyDescent="0.35">
      <c r="A1503" s="26" t="s">
        <v>216</v>
      </c>
      <c r="B1503" s="26" t="s">
        <v>3222</v>
      </c>
      <c r="C1503" s="26" t="s">
        <v>17</v>
      </c>
      <c r="D1503" s="28" t="s">
        <v>3223</v>
      </c>
      <c r="E1503" s="26">
        <v>13436</v>
      </c>
      <c r="F1503" s="29" t="s">
        <v>247</v>
      </c>
    </row>
    <row r="1504" spans="1:6" ht="29" x14ac:dyDescent="0.35">
      <c r="A1504" s="26" t="s">
        <v>216</v>
      </c>
      <c r="B1504" s="26" t="s">
        <v>3224</v>
      </c>
      <c r="C1504" s="26" t="s">
        <v>20</v>
      </c>
      <c r="D1504" s="28" t="s">
        <v>3225</v>
      </c>
      <c r="E1504" s="26">
        <v>13436</v>
      </c>
      <c r="F1504" s="29" t="s">
        <v>223</v>
      </c>
    </row>
    <row r="1505" spans="1:6" ht="58" x14ac:dyDescent="0.35">
      <c r="A1505" s="26" t="s">
        <v>216</v>
      </c>
      <c r="B1505" s="26" t="s">
        <v>3226</v>
      </c>
      <c r="C1505" s="26" t="s">
        <v>25</v>
      </c>
      <c r="D1505" s="28" t="s">
        <v>3227</v>
      </c>
      <c r="E1505" s="26">
        <v>0</v>
      </c>
      <c r="F1505" s="29" t="s">
        <v>226</v>
      </c>
    </row>
    <row r="1506" spans="1:6" ht="43.5" x14ac:dyDescent="0.35">
      <c r="A1506" s="26" t="s">
        <v>216</v>
      </c>
      <c r="B1506" s="26" t="s">
        <v>3228</v>
      </c>
      <c r="C1506" s="26" t="s">
        <v>27</v>
      </c>
      <c r="D1506" s="28" t="s">
        <v>3229</v>
      </c>
      <c r="E1506" s="26">
        <v>0</v>
      </c>
      <c r="F1506" s="29" t="s">
        <v>229</v>
      </c>
    </row>
    <row r="1507" spans="1:6" ht="29" x14ac:dyDescent="0.35">
      <c r="A1507" s="26" t="s">
        <v>216</v>
      </c>
      <c r="B1507" s="26" t="s">
        <v>3230</v>
      </c>
      <c r="C1507" s="26" t="s">
        <v>24</v>
      </c>
      <c r="D1507" s="28" t="s">
        <v>3231</v>
      </c>
      <c r="E1507" s="26">
        <v>0</v>
      </c>
      <c r="F1507" s="29" t="s">
        <v>232</v>
      </c>
    </row>
    <row r="1508" spans="1:6" ht="43.5" x14ac:dyDescent="0.35">
      <c r="A1508" s="26" t="s">
        <v>216</v>
      </c>
      <c r="B1508" s="26" t="s">
        <v>3232</v>
      </c>
      <c r="C1508" s="26" t="s">
        <v>15</v>
      </c>
      <c r="D1508" s="28" t="s">
        <v>218</v>
      </c>
      <c r="E1508" s="26" t="s">
        <v>3233</v>
      </c>
      <c r="F1508" s="29" t="s">
        <v>220</v>
      </c>
    </row>
    <row r="1509" spans="1:6" ht="29" x14ac:dyDescent="0.35">
      <c r="A1509" s="26" t="s">
        <v>216</v>
      </c>
      <c r="B1509" s="26" t="s">
        <v>3234</v>
      </c>
      <c r="C1509" s="26" t="s">
        <v>17</v>
      </c>
      <c r="D1509" s="28" t="s">
        <v>3235</v>
      </c>
      <c r="E1509" s="26">
        <v>13436</v>
      </c>
      <c r="F1509" s="29" t="s">
        <v>247</v>
      </c>
    </row>
    <row r="1510" spans="1:6" ht="29" x14ac:dyDescent="0.35">
      <c r="A1510" s="26" t="s">
        <v>216</v>
      </c>
      <c r="B1510" s="26" t="s">
        <v>3236</v>
      </c>
      <c r="C1510" s="26" t="s">
        <v>20</v>
      </c>
      <c r="D1510" s="28" t="s">
        <v>3237</v>
      </c>
      <c r="E1510" s="26">
        <v>13436</v>
      </c>
      <c r="F1510" s="29" t="s">
        <v>223</v>
      </c>
    </row>
    <row r="1511" spans="1:6" ht="58" x14ac:dyDescent="0.35">
      <c r="A1511" s="26" t="s">
        <v>216</v>
      </c>
      <c r="B1511" s="26" t="s">
        <v>3238</v>
      </c>
      <c r="C1511" s="26" t="s">
        <v>25</v>
      </c>
      <c r="D1511" s="28" t="s">
        <v>3239</v>
      </c>
      <c r="E1511" s="26">
        <v>0</v>
      </c>
      <c r="F1511" s="29" t="s">
        <v>226</v>
      </c>
    </row>
    <row r="1512" spans="1:6" ht="43.5" x14ac:dyDescent="0.35">
      <c r="A1512" s="26" t="s">
        <v>216</v>
      </c>
      <c r="B1512" s="26" t="s">
        <v>3240</v>
      </c>
      <c r="C1512" s="26" t="s">
        <v>27</v>
      </c>
      <c r="D1512" s="28" t="s">
        <v>3241</v>
      </c>
      <c r="E1512" s="26">
        <v>0</v>
      </c>
      <c r="F1512" s="29" t="s">
        <v>229</v>
      </c>
    </row>
    <row r="1513" spans="1:6" ht="29" x14ac:dyDescent="0.35">
      <c r="A1513" s="26" t="s">
        <v>216</v>
      </c>
      <c r="B1513" s="26" t="s">
        <v>3242</v>
      </c>
      <c r="C1513" s="26" t="s">
        <v>24</v>
      </c>
      <c r="D1513" s="28" t="s">
        <v>3243</v>
      </c>
      <c r="E1513" s="26">
        <v>0</v>
      </c>
      <c r="F1513" s="29" t="s">
        <v>232</v>
      </c>
    </row>
    <row r="1514" spans="1:6" ht="43.5" x14ac:dyDescent="0.35">
      <c r="A1514" s="26" t="s">
        <v>216</v>
      </c>
      <c r="B1514" s="26" t="s">
        <v>3244</v>
      </c>
      <c r="C1514" s="26" t="s">
        <v>15</v>
      </c>
      <c r="D1514" s="28" t="s">
        <v>218</v>
      </c>
      <c r="E1514" s="26" t="s">
        <v>3245</v>
      </c>
      <c r="F1514" s="29" t="s">
        <v>220</v>
      </c>
    </row>
    <row r="1515" spans="1:6" ht="29" x14ac:dyDescent="0.35">
      <c r="A1515" s="26" t="s">
        <v>216</v>
      </c>
      <c r="B1515" s="26" t="s">
        <v>3246</v>
      </c>
      <c r="C1515" s="26" t="s">
        <v>17</v>
      </c>
      <c r="D1515" s="28" t="s">
        <v>3247</v>
      </c>
      <c r="E1515" s="26">
        <v>13436</v>
      </c>
      <c r="F1515" s="29" t="s">
        <v>247</v>
      </c>
    </row>
    <row r="1516" spans="1:6" ht="29" x14ac:dyDescent="0.35">
      <c r="A1516" s="26" t="s">
        <v>216</v>
      </c>
      <c r="B1516" s="26" t="s">
        <v>3248</v>
      </c>
      <c r="C1516" s="26" t="s">
        <v>20</v>
      </c>
      <c r="D1516" s="28" t="s">
        <v>3249</v>
      </c>
      <c r="E1516" s="26">
        <v>13436</v>
      </c>
      <c r="F1516" s="29" t="s">
        <v>223</v>
      </c>
    </row>
    <row r="1517" spans="1:6" ht="58" x14ac:dyDescent="0.35">
      <c r="A1517" s="26" t="s">
        <v>216</v>
      </c>
      <c r="B1517" s="26" t="s">
        <v>3250</v>
      </c>
      <c r="C1517" s="26" t="s">
        <v>25</v>
      </c>
      <c r="D1517" s="28" t="s">
        <v>3251</v>
      </c>
      <c r="E1517" s="26">
        <v>0</v>
      </c>
      <c r="F1517" s="29" t="s">
        <v>226</v>
      </c>
    </row>
    <row r="1518" spans="1:6" ht="43.5" x14ac:dyDescent="0.35">
      <c r="A1518" s="26" t="s">
        <v>216</v>
      </c>
      <c r="B1518" s="26" t="s">
        <v>3252</v>
      </c>
      <c r="C1518" s="26" t="s">
        <v>27</v>
      </c>
      <c r="D1518" s="28" t="s">
        <v>3253</v>
      </c>
      <c r="E1518" s="26">
        <v>0</v>
      </c>
      <c r="F1518" s="29" t="s">
        <v>229</v>
      </c>
    </row>
    <row r="1519" spans="1:6" ht="29" x14ac:dyDescent="0.35">
      <c r="A1519" s="26" t="s">
        <v>216</v>
      </c>
      <c r="B1519" s="26" t="s">
        <v>3254</v>
      </c>
      <c r="C1519" s="26" t="s">
        <v>24</v>
      </c>
      <c r="D1519" s="28" t="s">
        <v>3255</v>
      </c>
      <c r="E1519" s="26">
        <v>0</v>
      </c>
      <c r="F1519" s="29" t="s">
        <v>232</v>
      </c>
    </row>
    <row r="1520" spans="1:6" ht="43.5" x14ac:dyDescent="0.35">
      <c r="A1520" s="26" t="s">
        <v>216</v>
      </c>
      <c r="B1520" s="26" t="s">
        <v>3256</v>
      </c>
      <c r="C1520" s="26" t="s">
        <v>15</v>
      </c>
      <c r="D1520" s="28" t="s">
        <v>218</v>
      </c>
      <c r="E1520" s="26" t="s">
        <v>3257</v>
      </c>
      <c r="F1520" s="29" t="s">
        <v>220</v>
      </c>
    </row>
    <row r="1521" spans="1:6" ht="29" x14ac:dyDescent="0.35">
      <c r="A1521" s="26" t="s">
        <v>216</v>
      </c>
      <c r="B1521" s="26" t="s">
        <v>3258</v>
      </c>
      <c r="C1521" s="26" t="s">
        <v>17</v>
      </c>
      <c r="D1521" s="28" t="s">
        <v>3259</v>
      </c>
      <c r="E1521" s="26">
        <v>13436</v>
      </c>
      <c r="F1521" s="29" t="s">
        <v>247</v>
      </c>
    </row>
    <row r="1522" spans="1:6" ht="29" x14ac:dyDescent="0.35">
      <c r="A1522" s="26" t="s">
        <v>216</v>
      </c>
      <c r="B1522" s="26" t="s">
        <v>3260</v>
      </c>
      <c r="C1522" s="26" t="s">
        <v>20</v>
      </c>
      <c r="D1522" s="28" t="s">
        <v>3261</v>
      </c>
      <c r="E1522" s="26">
        <v>13436</v>
      </c>
      <c r="F1522" s="29" t="s">
        <v>223</v>
      </c>
    </row>
    <row r="1523" spans="1:6" ht="58" x14ac:dyDescent="0.35">
      <c r="A1523" s="26" t="s">
        <v>216</v>
      </c>
      <c r="B1523" s="26" t="s">
        <v>3262</v>
      </c>
      <c r="C1523" s="26" t="s">
        <v>25</v>
      </c>
      <c r="D1523" s="28" t="s">
        <v>3263</v>
      </c>
      <c r="E1523" s="26">
        <v>0</v>
      </c>
      <c r="F1523" s="29" t="s">
        <v>226</v>
      </c>
    </row>
    <row r="1524" spans="1:6" ht="43.5" x14ac:dyDescent="0.35">
      <c r="A1524" s="26" t="s">
        <v>216</v>
      </c>
      <c r="B1524" s="26" t="s">
        <v>3264</v>
      </c>
      <c r="C1524" s="26" t="s">
        <v>27</v>
      </c>
      <c r="D1524" s="28" t="s">
        <v>3265</v>
      </c>
      <c r="E1524" s="26">
        <v>0</v>
      </c>
      <c r="F1524" s="29" t="s">
        <v>229</v>
      </c>
    </row>
    <row r="1525" spans="1:6" ht="29" x14ac:dyDescent="0.35">
      <c r="A1525" s="26" t="s">
        <v>216</v>
      </c>
      <c r="B1525" s="26" t="s">
        <v>3266</v>
      </c>
      <c r="C1525" s="26" t="s">
        <v>24</v>
      </c>
      <c r="D1525" s="28" t="s">
        <v>3267</v>
      </c>
      <c r="E1525" s="26">
        <v>0</v>
      </c>
      <c r="F1525" s="29" t="s">
        <v>232</v>
      </c>
    </row>
    <row r="1526" spans="1:6" ht="43.5" x14ac:dyDescent="0.35">
      <c r="A1526" s="26" t="s">
        <v>216</v>
      </c>
      <c r="B1526" s="26" t="s">
        <v>3268</v>
      </c>
      <c r="C1526" s="26" t="s">
        <v>15</v>
      </c>
      <c r="D1526" s="28" t="s">
        <v>218</v>
      </c>
      <c r="E1526" s="26" t="s">
        <v>3269</v>
      </c>
      <c r="F1526" s="29" t="s">
        <v>220</v>
      </c>
    </row>
    <row r="1527" spans="1:6" ht="29" x14ac:dyDescent="0.35">
      <c r="A1527" s="26" t="s">
        <v>216</v>
      </c>
      <c r="B1527" s="26" t="s">
        <v>3270</v>
      </c>
      <c r="C1527" s="26" t="s">
        <v>17</v>
      </c>
      <c r="D1527" s="28" t="s">
        <v>3271</v>
      </c>
      <c r="E1527" s="26">
        <v>13436</v>
      </c>
      <c r="F1527" s="29" t="s">
        <v>247</v>
      </c>
    </row>
    <row r="1528" spans="1:6" ht="29" x14ac:dyDescent="0.35">
      <c r="A1528" s="26" t="s">
        <v>216</v>
      </c>
      <c r="B1528" s="26" t="s">
        <v>3272</v>
      </c>
      <c r="C1528" s="26" t="s">
        <v>20</v>
      </c>
      <c r="D1528" s="28" t="s">
        <v>3273</v>
      </c>
      <c r="E1528" s="26">
        <v>13436</v>
      </c>
      <c r="F1528" s="29" t="s">
        <v>223</v>
      </c>
    </row>
    <row r="1529" spans="1:6" ht="58" x14ac:dyDescent="0.35">
      <c r="A1529" s="26" t="s">
        <v>216</v>
      </c>
      <c r="B1529" s="26" t="s">
        <v>3274</v>
      </c>
      <c r="C1529" s="26" t="s">
        <v>25</v>
      </c>
      <c r="D1529" s="28" t="s">
        <v>3275</v>
      </c>
      <c r="E1529" s="26">
        <v>0</v>
      </c>
      <c r="F1529" s="29" t="s">
        <v>226</v>
      </c>
    </row>
    <row r="1530" spans="1:6" ht="43.5" x14ac:dyDescent="0.35">
      <c r="A1530" s="26" t="s">
        <v>216</v>
      </c>
      <c r="B1530" s="26" t="s">
        <v>3276</v>
      </c>
      <c r="C1530" s="26" t="s">
        <v>27</v>
      </c>
      <c r="D1530" s="28" t="s">
        <v>3277</v>
      </c>
      <c r="E1530" s="26">
        <v>0</v>
      </c>
      <c r="F1530" s="29" t="s">
        <v>229</v>
      </c>
    </row>
    <row r="1531" spans="1:6" ht="29" x14ac:dyDescent="0.35">
      <c r="A1531" s="26" t="s">
        <v>216</v>
      </c>
      <c r="B1531" s="26" t="s">
        <v>3278</v>
      </c>
      <c r="C1531" s="26" t="s">
        <v>24</v>
      </c>
      <c r="D1531" s="28" t="s">
        <v>3279</v>
      </c>
      <c r="E1531" s="26">
        <v>0</v>
      </c>
      <c r="F1531" s="29" t="s">
        <v>232</v>
      </c>
    </row>
    <row r="1532" spans="1:6" ht="43.5" x14ac:dyDescent="0.35">
      <c r="A1532" s="26" t="s">
        <v>216</v>
      </c>
      <c r="B1532" s="26" t="s">
        <v>3280</v>
      </c>
      <c r="C1532" s="26" t="s">
        <v>15</v>
      </c>
      <c r="D1532" s="28" t="s">
        <v>218</v>
      </c>
      <c r="E1532" s="26" t="s">
        <v>3281</v>
      </c>
      <c r="F1532" s="29" t="s">
        <v>220</v>
      </c>
    </row>
    <row r="1533" spans="1:6" ht="29" x14ac:dyDescent="0.35">
      <c r="A1533" s="26" t="s">
        <v>216</v>
      </c>
      <c r="B1533" s="26" t="s">
        <v>3282</v>
      </c>
      <c r="C1533" s="26" t="s">
        <v>17</v>
      </c>
      <c r="D1533" s="28" t="s">
        <v>3283</v>
      </c>
      <c r="E1533" s="26">
        <v>13436</v>
      </c>
      <c r="F1533" s="29" t="s">
        <v>247</v>
      </c>
    </row>
    <row r="1534" spans="1:6" ht="29" x14ac:dyDescent="0.35">
      <c r="A1534" s="26" t="s">
        <v>216</v>
      </c>
      <c r="B1534" s="26" t="s">
        <v>3284</v>
      </c>
      <c r="C1534" s="26" t="s">
        <v>20</v>
      </c>
      <c r="D1534" s="28" t="s">
        <v>3285</v>
      </c>
      <c r="E1534" s="26">
        <v>13436</v>
      </c>
      <c r="F1534" s="29" t="s">
        <v>223</v>
      </c>
    </row>
    <row r="1535" spans="1:6" ht="58" x14ac:dyDescent="0.35">
      <c r="A1535" s="26" t="s">
        <v>216</v>
      </c>
      <c r="B1535" s="26" t="s">
        <v>3286</v>
      </c>
      <c r="C1535" s="26" t="s">
        <v>25</v>
      </c>
      <c r="D1535" s="28" t="s">
        <v>3287</v>
      </c>
      <c r="E1535" s="26">
        <v>0</v>
      </c>
      <c r="F1535" s="29" t="s">
        <v>226</v>
      </c>
    </row>
    <row r="1536" spans="1:6" ht="43.5" x14ac:dyDescent="0.35">
      <c r="A1536" s="26" t="s">
        <v>216</v>
      </c>
      <c r="B1536" s="26" t="s">
        <v>3288</v>
      </c>
      <c r="C1536" s="26" t="s">
        <v>27</v>
      </c>
      <c r="D1536" s="28" t="s">
        <v>3289</v>
      </c>
      <c r="E1536" s="26">
        <v>0</v>
      </c>
      <c r="F1536" s="29" t="s">
        <v>229</v>
      </c>
    </row>
    <row r="1537" spans="1:6" ht="29" x14ac:dyDescent="0.35">
      <c r="A1537" s="26" t="s">
        <v>216</v>
      </c>
      <c r="B1537" s="26" t="s">
        <v>3290</v>
      </c>
      <c r="C1537" s="26" t="s">
        <v>24</v>
      </c>
      <c r="D1537" s="28" t="s">
        <v>3291</v>
      </c>
      <c r="E1537" s="26">
        <v>0</v>
      </c>
      <c r="F1537" s="29" t="s">
        <v>232</v>
      </c>
    </row>
    <row r="1538" spans="1:6" ht="43.5" x14ac:dyDescent="0.35">
      <c r="A1538" s="26" t="s">
        <v>216</v>
      </c>
      <c r="B1538" s="26" t="s">
        <v>3292</v>
      </c>
      <c r="C1538" s="26" t="s">
        <v>15</v>
      </c>
      <c r="D1538" s="28" t="s">
        <v>218</v>
      </c>
      <c r="E1538" s="26" t="s">
        <v>3293</v>
      </c>
      <c r="F1538" s="29" t="s">
        <v>220</v>
      </c>
    </row>
    <row r="1539" spans="1:6" ht="29" x14ac:dyDescent="0.35">
      <c r="A1539" s="26" t="s">
        <v>216</v>
      </c>
      <c r="B1539" s="26" t="s">
        <v>3294</v>
      </c>
      <c r="C1539" s="26" t="s">
        <v>17</v>
      </c>
      <c r="D1539" s="28" t="s">
        <v>3295</v>
      </c>
      <c r="E1539" s="26">
        <v>13436</v>
      </c>
      <c r="F1539" s="29" t="s">
        <v>247</v>
      </c>
    </row>
    <row r="1540" spans="1:6" ht="29" x14ac:dyDescent="0.35">
      <c r="A1540" s="26" t="s">
        <v>216</v>
      </c>
      <c r="B1540" s="26" t="s">
        <v>3296</v>
      </c>
      <c r="C1540" s="26" t="s">
        <v>20</v>
      </c>
      <c r="D1540" s="28" t="s">
        <v>3297</v>
      </c>
      <c r="E1540" s="26">
        <v>13436</v>
      </c>
      <c r="F1540" s="29" t="s">
        <v>223</v>
      </c>
    </row>
    <row r="1541" spans="1:6" ht="58" x14ac:dyDescent="0.35">
      <c r="A1541" s="26" t="s">
        <v>216</v>
      </c>
      <c r="B1541" s="26" t="s">
        <v>3298</v>
      </c>
      <c r="C1541" s="26" t="s">
        <v>25</v>
      </c>
      <c r="D1541" s="28" t="s">
        <v>3299</v>
      </c>
      <c r="E1541" s="26">
        <v>0</v>
      </c>
      <c r="F1541" s="29" t="s">
        <v>226</v>
      </c>
    </row>
    <row r="1542" spans="1:6" ht="43.5" x14ac:dyDescent="0.35">
      <c r="A1542" s="26" t="s">
        <v>216</v>
      </c>
      <c r="B1542" s="26" t="s">
        <v>3300</v>
      </c>
      <c r="C1542" s="26" t="s">
        <v>27</v>
      </c>
      <c r="D1542" s="28" t="s">
        <v>3301</v>
      </c>
      <c r="E1542" s="26">
        <v>0</v>
      </c>
      <c r="F1542" s="29" t="s">
        <v>229</v>
      </c>
    </row>
    <row r="1543" spans="1:6" ht="29" x14ac:dyDescent="0.35">
      <c r="A1543" s="26" t="s">
        <v>216</v>
      </c>
      <c r="B1543" s="26" t="s">
        <v>3302</v>
      </c>
      <c r="C1543" s="26" t="s">
        <v>24</v>
      </c>
      <c r="D1543" s="28" t="s">
        <v>3303</v>
      </c>
      <c r="E1543" s="26">
        <v>0</v>
      </c>
      <c r="F1543" s="29" t="s">
        <v>232</v>
      </c>
    </row>
    <row r="1544" spans="1:6" ht="43.5" x14ac:dyDescent="0.35">
      <c r="A1544" s="26" t="s">
        <v>216</v>
      </c>
      <c r="B1544" s="26" t="s">
        <v>3304</v>
      </c>
      <c r="C1544" s="26" t="s">
        <v>15</v>
      </c>
      <c r="D1544" s="28" t="s">
        <v>218</v>
      </c>
      <c r="E1544" s="26" t="s">
        <v>3305</v>
      </c>
      <c r="F1544" s="29" t="s">
        <v>220</v>
      </c>
    </row>
    <row r="1545" spans="1:6" ht="29" x14ac:dyDescent="0.35">
      <c r="A1545" s="26" t="s">
        <v>216</v>
      </c>
      <c r="B1545" s="26" t="s">
        <v>3306</v>
      </c>
      <c r="C1545" s="26" t="s">
        <v>17</v>
      </c>
      <c r="D1545" s="28" t="s">
        <v>3307</v>
      </c>
      <c r="E1545" s="26">
        <v>13436</v>
      </c>
      <c r="F1545" s="29" t="s">
        <v>247</v>
      </c>
    </row>
    <row r="1546" spans="1:6" ht="29" x14ac:dyDescent="0.35">
      <c r="A1546" s="26" t="s">
        <v>216</v>
      </c>
      <c r="B1546" s="26" t="s">
        <v>3308</v>
      </c>
      <c r="C1546" s="26" t="s">
        <v>20</v>
      </c>
      <c r="D1546" s="28" t="s">
        <v>3309</v>
      </c>
      <c r="E1546" s="26">
        <v>13436</v>
      </c>
      <c r="F1546" s="29" t="s">
        <v>223</v>
      </c>
    </row>
    <row r="1547" spans="1:6" ht="58" x14ac:dyDescent="0.35">
      <c r="A1547" s="26" t="s">
        <v>216</v>
      </c>
      <c r="B1547" s="26" t="s">
        <v>3310</v>
      </c>
      <c r="C1547" s="26" t="s">
        <v>25</v>
      </c>
      <c r="D1547" s="28" t="s">
        <v>3311</v>
      </c>
      <c r="E1547" s="26">
        <v>0</v>
      </c>
      <c r="F1547" s="29" t="s">
        <v>226</v>
      </c>
    </row>
    <row r="1548" spans="1:6" ht="43.5" x14ac:dyDescent="0.35">
      <c r="A1548" s="26" t="s">
        <v>216</v>
      </c>
      <c r="B1548" s="26" t="s">
        <v>3312</v>
      </c>
      <c r="C1548" s="26" t="s">
        <v>27</v>
      </c>
      <c r="D1548" s="28" t="s">
        <v>3313</v>
      </c>
      <c r="E1548" s="26">
        <v>0</v>
      </c>
      <c r="F1548" s="29" t="s">
        <v>229</v>
      </c>
    </row>
    <row r="1549" spans="1:6" ht="29" x14ac:dyDescent="0.35">
      <c r="A1549" s="26" t="s">
        <v>216</v>
      </c>
      <c r="B1549" s="26" t="s">
        <v>3314</v>
      </c>
      <c r="C1549" s="26" t="s">
        <v>24</v>
      </c>
      <c r="D1549" s="28" t="s">
        <v>3315</v>
      </c>
      <c r="E1549" s="26">
        <v>0</v>
      </c>
      <c r="F1549" s="29" t="s">
        <v>232</v>
      </c>
    </row>
    <row r="1550" spans="1:6" ht="43.5" x14ac:dyDescent="0.35">
      <c r="A1550" s="26" t="s">
        <v>216</v>
      </c>
      <c r="B1550" s="26" t="s">
        <v>3316</v>
      </c>
      <c r="C1550" s="26" t="s">
        <v>15</v>
      </c>
      <c r="D1550" s="28" t="s">
        <v>218</v>
      </c>
      <c r="E1550" s="26" t="s">
        <v>3317</v>
      </c>
      <c r="F1550" s="29" t="s">
        <v>220</v>
      </c>
    </row>
    <row r="1551" spans="1:6" ht="29" x14ac:dyDescent="0.35">
      <c r="A1551" s="26" t="s">
        <v>216</v>
      </c>
      <c r="B1551" s="26" t="s">
        <v>3318</v>
      </c>
      <c r="C1551" s="26" t="s">
        <v>17</v>
      </c>
      <c r="D1551" s="28" t="s">
        <v>3319</v>
      </c>
      <c r="E1551" s="26">
        <v>13436</v>
      </c>
      <c r="F1551" s="29" t="s">
        <v>247</v>
      </c>
    </row>
    <row r="1552" spans="1:6" ht="29" x14ac:dyDescent="0.35">
      <c r="A1552" s="26" t="s">
        <v>216</v>
      </c>
      <c r="B1552" s="26" t="s">
        <v>3320</v>
      </c>
      <c r="C1552" s="26" t="s">
        <v>20</v>
      </c>
      <c r="D1552" s="28" t="s">
        <v>3321</v>
      </c>
      <c r="E1552" s="26">
        <v>13436</v>
      </c>
      <c r="F1552" s="29" t="s">
        <v>223</v>
      </c>
    </row>
    <row r="1553" spans="1:6" ht="58" x14ac:dyDescent="0.35">
      <c r="A1553" s="26" t="s">
        <v>216</v>
      </c>
      <c r="B1553" s="26" t="s">
        <v>3322</v>
      </c>
      <c r="C1553" s="26" t="s">
        <v>25</v>
      </c>
      <c r="D1553" s="28" t="s">
        <v>3323</v>
      </c>
      <c r="E1553" s="26">
        <v>0</v>
      </c>
      <c r="F1553" s="29" t="s">
        <v>226</v>
      </c>
    </row>
    <row r="1554" spans="1:6" ht="43.5" x14ac:dyDescent="0.35">
      <c r="A1554" s="26" t="s">
        <v>216</v>
      </c>
      <c r="B1554" s="26" t="s">
        <v>3324</v>
      </c>
      <c r="C1554" s="26" t="s">
        <v>27</v>
      </c>
      <c r="D1554" s="28" t="s">
        <v>3325</v>
      </c>
      <c r="E1554" s="26">
        <v>0</v>
      </c>
      <c r="F1554" s="29" t="s">
        <v>229</v>
      </c>
    </row>
    <row r="1555" spans="1:6" ht="29" x14ac:dyDescent="0.35">
      <c r="A1555" s="26" t="s">
        <v>216</v>
      </c>
      <c r="B1555" s="26" t="s">
        <v>3326</v>
      </c>
      <c r="C1555" s="26" t="s">
        <v>24</v>
      </c>
      <c r="D1555" s="28" t="s">
        <v>3327</v>
      </c>
      <c r="E1555" s="26">
        <v>0</v>
      </c>
      <c r="F1555" s="29" t="s">
        <v>232</v>
      </c>
    </row>
    <row r="1556" spans="1:6" ht="43.5" x14ac:dyDescent="0.35">
      <c r="A1556" s="26" t="s">
        <v>216</v>
      </c>
      <c r="B1556" s="26" t="s">
        <v>3328</v>
      </c>
      <c r="C1556" s="26" t="s">
        <v>15</v>
      </c>
      <c r="D1556" s="28" t="s">
        <v>218</v>
      </c>
      <c r="E1556" s="26" t="s">
        <v>3329</v>
      </c>
      <c r="F1556" s="29" t="s">
        <v>220</v>
      </c>
    </row>
    <row r="1557" spans="1:6" ht="29" x14ac:dyDescent="0.35">
      <c r="A1557" s="26" t="s">
        <v>216</v>
      </c>
      <c r="B1557" s="26" t="s">
        <v>3330</v>
      </c>
      <c r="C1557" s="26" t="s">
        <v>17</v>
      </c>
      <c r="D1557" s="28" t="s">
        <v>3331</v>
      </c>
      <c r="E1557" s="26">
        <v>13436</v>
      </c>
      <c r="F1557" s="29" t="s">
        <v>247</v>
      </c>
    </row>
    <row r="1558" spans="1:6" ht="29" x14ac:dyDescent="0.35">
      <c r="A1558" s="26" t="s">
        <v>216</v>
      </c>
      <c r="B1558" s="26" t="s">
        <v>3332</v>
      </c>
      <c r="C1558" s="26" t="s">
        <v>20</v>
      </c>
      <c r="D1558" s="28" t="s">
        <v>3333</v>
      </c>
      <c r="E1558" s="26">
        <v>13436</v>
      </c>
      <c r="F1558" s="29" t="s">
        <v>223</v>
      </c>
    </row>
    <row r="1559" spans="1:6" ht="58" x14ac:dyDescent="0.35">
      <c r="A1559" s="26" t="s">
        <v>216</v>
      </c>
      <c r="B1559" s="26" t="s">
        <v>3334</v>
      </c>
      <c r="C1559" s="26" t="s">
        <v>25</v>
      </c>
      <c r="D1559" s="28" t="s">
        <v>3335</v>
      </c>
      <c r="E1559" s="26">
        <v>0</v>
      </c>
      <c r="F1559" s="29" t="s">
        <v>226</v>
      </c>
    </row>
    <row r="1560" spans="1:6" ht="43.5" x14ac:dyDescent="0.35">
      <c r="A1560" s="26" t="s">
        <v>216</v>
      </c>
      <c r="B1560" s="26" t="s">
        <v>3336</v>
      </c>
      <c r="C1560" s="26" t="s">
        <v>27</v>
      </c>
      <c r="D1560" s="28" t="s">
        <v>3337</v>
      </c>
      <c r="E1560" s="26">
        <v>0</v>
      </c>
      <c r="F1560" s="29" t="s">
        <v>229</v>
      </c>
    </row>
    <row r="1561" spans="1:6" ht="29" x14ac:dyDescent="0.35">
      <c r="A1561" s="26" t="s">
        <v>216</v>
      </c>
      <c r="B1561" s="26" t="s">
        <v>3338</v>
      </c>
      <c r="C1561" s="26" t="s">
        <v>24</v>
      </c>
      <c r="D1561" s="28" t="s">
        <v>3339</v>
      </c>
      <c r="E1561" s="26">
        <v>0</v>
      </c>
      <c r="F1561" s="29" t="s">
        <v>232</v>
      </c>
    </row>
    <row r="1562" spans="1:6" ht="43.5" x14ac:dyDescent="0.35">
      <c r="A1562" s="26" t="s">
        <v>216</v>
      </c>
      <c r="B1562" s="26" t="s">
        <v>3340</v>
      </c>
      <c r="C1562" s="26" t="s">
        <v>15</v>
      </c>
      <c r="D1562" s="28" t="s">
        <v>218</v>
      </c>
      <c r="E1562" s="26" t="s">
        <v>3341</v>
      </c>
      <c r="F1562" s="29" t="s">
        <v>220</v>
      </c>
    </row>
    <row r="1563" spans="1:6" ht="29" x14ac:dyDescent="0.35">
      <c r="A1563" s="26" t="s">
        <v>216</v>
      </c>
      <c r="B1563" s="26" t="s">
        <v>3342</v>
      </c>
      <c r="C1563" s="26" t="s">
        <v>17</v>
      </c>
      <c r="D1563" s="28" t="s">
        <v>3343</v>
      </c>
      <c r="E1563" s="26">
        <v>13436</v>
      </c>
      <c r="F1563" s="29" t="s">
        <v>247</v>
      </c>
    </row>
    <row r="1564" spans="1:6" ht="29" x14ac:dyDescent="0.35">
      <c r="A1564" s="26" t="s">
        <v>216</v>
      </c>
      <c r="B1564" s="26" t="s">
        <v>3344</v>
      </c>
      <c r="C1564" s="26" t="s">
        <v>20</v>
      </c>
      <c r="D1564" s="28" t="s">
        <v>3345</v>
      </c>
      <c r="E1564" s="26">
        <v>13436</v>
      </c>
      <c r="F1564" s="29" t="s">
        <v>223</v>
      </c>
    </row>
    <row r="1565" spans="1:6" ht="58" x14ac:dyDescent="0.35">
      <c r="A1565" s="26" t="s">
        <v>216</v>
      </c>
      <c r="B1565" s="26" t="s">
        <v>3346</v>
      </c>
      <c r="C1565" s="26" t="s">
        <v>25</v>
      </c>
      <c r="D1565" s="28" t="s">
        <v>3347</v>
      </c>
      <c r="E1565" s="26">
        <v>0</v>
      </c>
      <c r="F1565" s="29" t="s">
        <v>226</v>
      </c>
    </row>
    <row r="1566" spans="1:6" ht="43.5" x14ac:dyDescent="0.35">
      <c r="A1566" s="26" t="s">
        <v>216</v>
      </c>
      <c r="B1566" s="26" t="s">
        <v>3348</v>
      </c>
      <c r="C1566" s="26" t="s">
        <v>27</v>
      </c>
      <c r="D1566" s="28" t="s">
        <v>3349</v>
      </c>
      <c r="E1566" s="26">
        <v>0</v>
      </c>
      <c r="F1566" s="29" t="s">
        <v>229</v>
      </c>
    </row>
    <row r="1567" spans="1:6" ht="29" x14ac:dyDescent="0.35">
      <c r="A1567" s="26" t="s">
        <v>216</v>
      </c>
      <c r="B1567" s="26" t="s">
        <v>3350</v>
      </c>
      <c r="C1567" s="26" t="s">
        <v>24</v>
      </c>
      <c r="D1567" s="28" t="s">
        <v>3351</v>
      </c>
      <c r="E1567" s="26">
        <v>0</v>
      </c>
      <c r="F1567" s="29" t="s">
        <v>232</v>
      </c>
    </row>
    <row r="1568" spans="1:6" ht="43.5" x14ac:dyDescent="0.35">
      <c r="A1568" s="26" t="s">
        <v>216</v>
      </c>
      <c r="B1568" s="26" t="s">
        <v>3352</v>
      </c>
      <c r="C1568" s="26" t="s">
        <v>15</v>
      </c>
      <c r="D1568" s="28" t="s">
        <v>218</v>
      </c>
      <c r="E1568" s="26" t="s">
        <v>3353</v>
      </c>
      <c r="F1568" s="29" t="s">
        <v>220</v>
      </c>
    </row>
    <row r="1569" spans="1:6" ht="29" x14ac:dyDescent="0.35">
      <c r="A1569" s="26" t="s">
        <v>216</v>
      </c>
      <c r="B1569" s="26" t="s">
        <v>3354</v>
      </c>
      <c r="C1569" s="26" t="s">
        <v>17</v>
      </c>
      <c r="D1569" s="28" t="s">
        <v>3355</v>
      </c>
      <c r="E1569" s="26">
        <v>13436</v>
      </c>
      <c r="F1569" s="29" t="s">
        <v>247</v>
      </c>
    </row>
    <row r="1570" spans="1:6" ht="29" x14ac:dyDescent="0.35">
      <c r="A1570" s="26" t="s">
        <v>216</v>
      </c>
      <c r="B1570" s="26" t="s">
        <v>3356</v>
      </c>
      <c r="C1570" s="26" t="s">
        <v>20</v>
      </c>
      <c r="D1570" s="28" t="s">
        <v>3357</v>
      </c>
      <c r="E1570" s="26">
        <v>13436</v>
      </c>
      <c r="F1570" s="29" t="s">
        <v>223</v>
      </c>
    </row>
    <row r="1571" spans="1:6" ht="58" x14ac:dyDescent="0.35">
      <c r="A1571" s="26" t="s">
        <v>216</v>
      </c>
      <c r="B1571" s="26" t="s">
        <v>3358</v>
      </c>
      <c r="C1571" s="26" t="s">
        <v>25</v>
      </c>
      <c r="D1571" s="28" t="s">
        <v>3359</v>
      </c>
      <c r="E1571" s="26">
        <v>0</v>
      </c>
      <c r="F1571" s="29" t="s">
        <v>226</v>
      </c>
    </row>
    <row r="1572" spans="1:6" ht="43.5" x14ac:dyDescent="0.35">
      <c r="A1572" s="26" t="s">
        <v>216</v>
      </c>
      <c r="B1572" s="26" t="s">
        <v>3360</v>
      </c>
      <c r="C1572" s="26" t="s">
        <v>27</v>
      </c>
      <c r="D1572" s="28" t="s">
        <v>3361</v>
      </c>
      <c r="E1572" s="26">
        <v>0</v>
      </c>
      <c r="F1572" s="29" t="s">
        <v>229</v>
      </c>
    </row>
    <row r="1573" spans="1:6" ht="29" x14ac:dyDescent="0.35">
      <c r="A1573" s="26" t="s">
        <v>216</v>
      </c>
      <c r="B1573" s="26" t="s">
        <v>3362</v>
      </c>
      <c r="C1573" s="26" t="s">
        <v>24</v>
      </c>
      <c r="D1573" s="28" t="s">
        <v>3363</v>
      </c>
      <c r="E1573" s="26">
        <v>0</v>
      </c>
      <c r="F1573" s="29" t="s">
        <v>232</v>
      </c>
    </row>
    <row r="1574" spans="1:6" ht="43.5" x14ac:dyDescent="0.35">
      <c r="A1574" s="26" t="s">
        <v>216</v>
      </c>
      <c r="B1574" s="26" t="s">
        <v>3364</v>
      </c>
      <c r="C1574" s="26" t="s">
        <v>15</v>
      </c>
      <c r="D1574" s="28" t="s">
        <v>218</v>
      </c>
      <c r="E1574" s="26" t="s">
        <v>3365</v>
      </c>
      <c r="F1574" s="29" t="s">
        <v>220</v>
      </c>
    </row>
    <row r="1575" spans="1:6" ht="29" x14ac:dyDescent="0.35">
      <c r="A1575" s="26" t="s">
        <v>216</v>
      </c>
      <c r="B1575" s="26" t="s">
        <v>3366</v>
      </c>
      <c r="C1575" s="26" t="s">
        <v>17</v>
      </c>
      <c r="D1575" s="28" t="s">
        <v>3367</v>
      </c>
      <c r="E1575" s="26">
        <v>13436</v>
      </c>
      <c r="F1575" s="29" t="s">
        <v>247</v>
      </c>
    </row>
    <row r="1576" spans="1:6" ht="29" x14ac:dyDescent="0.35">
      <c r="A1576" s="26" t="s">
        <v>216</v>
      </c>
      <c r="B1576" s="26" t="s">
        <v>3368</v>
      </c>
      <c r="C1576" s="26" t="s">
        <v>20</v>
      </c>
      <c r="D1576" s="28" t="s">
        <v>3369</v>
      </c>
      <c r="E1576" s="26">
        <v>13436</v>
      </c>
      <c r="F1576" s="29" t="s">
        <v>223</v>
      </c>
    </row>
    <row r="1577" spans="1:6" ht="58" x14ac:dyDescent="0.35">
      <c r="A1577" s="26" t="s">
        <v>216</v>
      </c>
      <c r="B1577" s="26" t="s">
        <v>3370</v>
      </c>
      <c r="C1577" s="26" t="s">
        <v>25</v>
      </c>
      <c r="D1577" s="28" t="s">
        <v>3371</v>
      </c>
      <c r="E1577" s="26">
        <v>0</v>
      </c>
      <c r="F1577" s="29" t="s">
        <v>226</v>
      </c>
    </row>
    <row r="1578" spans="1:6" ht="43.5" x14ac:dyDescent="0.35">
      <c r="A1578" s="26" t="s">
        <v>216</v>
      </c>
      <c r="B1578" s="26" t="s">
        <v>3372</v>
      </c>
      <c r="C1578" s="26" t="s">
        <v>27</v>
      </c>
      <c r="D1578" s="28" t="s">
        <v>3373</v>
      </c>
      <c r="E1578" s="26">
        <v>0</v>
      </c>
      <c r="F1578" s="29" t="s">
        <v>229</v>
      </c>
    </row>
    <row r="1579" spans="1:6" ht="29" x14ac:dyDescent="0.35">
      <c r="A1579" s="26" t="s">
        <v>216</v>
      </c>
      <c r="B1579" s="26" t="s">
        <v>3374</v>
      </c>
      <c r="C1579" s="26" t="s">
        <v>24</v>
      </c>
      <c r="D1579" s="28" t="s">
        <v>3375</v>
      </c>
      <c r="E1579" s="26">
        <v>0</v>
      </c>
      <c r="F1579" s="29" t="s">
        <v>232</v>
      </c>
    </row>
    <row r="1580" spans="1:6" ht="43.5" x14ac:dyDescent="0.35">
      <c r="A1580" s="26" t="s">
        <v>216</v>
      </c>
      <c r="B1580" s="26" t="s">
        <v>3376</v>
      </c>
      <c r="C1580" s="26" t="s">
        <v>15</v>
      </c>
      <c r="D1580" s="28" t="s">
        <v>218</v>
      </c>
      <c r="E1580" s="26" t="s">
        <v>3377</v>
      </c>
      <c r="F1580" s="29" t="s">
        <v>220</v>
      </c>
    </row>
    <row r="1581" spans="1:6" ht="29" x14ac:dyDescent="0.35">
      <c r="A1581" s="26" t="s">
        <v>216</v>
      </c>
      <c r="B1581" s="26" t="s">
        <v>3378</v>
      </c>
      <c r="C1581" s="26" t="s">
        <v>17</v>
      </c>
      <c r="D1581" s="28" t="s">
        <v>3379</v>
      </c>
      <c r="E1581" s="26">
        <v>13436</v>
      </c>
      <c r="F1581" s="29" t="s">
        <v>247</v>
      </c>
    </row>
    <row r="1582" spans="1:6" ht="29" x14ac:dyDescent="0.35">
      <c r="A1582" s="26" t="s">
        <v>216</v>
      </c>
      <c r="B1582" s="26" t="s">
        <v>3380</v>
      </c>
      <c r="C1582" s="26" t="s">
        <v>20</v>
      </c>
      <c r="D1582" s="28" t="s">
        <v>3381</v>
      </c>
      <c r="E1582" s="26">
        <v>13436</v>
      </c>
      <c r="F1582" s="29" t="s">
        <v>223</v>
      </c>
    </row>
    <row r="1583" spans="1:6" ht="58" x14ac:dyDescent="0.35">
      <c r="A1583" s="26" t="s">
        <v>216</v>
      </c>
      <c r="B1583" s="26" t="s">
        <v>3382</v>
      </c>
      <c r="C1583" s="26" t="s">
        <v>25</v>
      </c>
      <c r="D1583" s="28" t="s">
        <v>3383</v>
      </c>
      <c r="E1583" s="26">
        <v>0</v>
      </c>
      <c r="F1583" s="29" t="s">
        <v>226</v>
      </c>
    </row>
    <row r="1584" spans="1:6" ht="43.5" x14ac:dyDescent="0.35">
      <c r="A1584" s="26" t="s">
        <v>216</v>
      </c>
      <c r="B1584" s="26" t="s">
        <v>3384</v>
      </c>
      <c r="C1584" s="26" t="s">
        <v>27</v>
      </c>
      <c r="D1584" s="28" t="s">
        <v>3385</v>
      </c>
      <c r="E1584" s="26">
        <v>0</v>
      </c>
      <c r="F1584" s="29" t="s">
        <v>229</v>
      </c>
    </row>
    <row r="1585" spans="1:6" ht="29" x14ac:dyDescent="0.35">
      <c r="A1585" s="26" t="s">
        <v>216</v>
      </c>
      <c r="B1585" s="26" t="s">
        <v>3386</v>
      </c>
      <c r="C1585" s="26" t="s">
        <v>24</v>
      </c>
      <c r="D1585" s="28" t="s">
        <v>3387</v>
      </c>
      <c r="E1585" s="26">
        <v>0</v>
      </c>
      <c r="F1585" s="29" t="s">
        <v>232</v>
      </c>
    </row>
    <row r="1586" spans="1:6" ht="43.5" x14ac:dyDescent="0.35">
      <c r="A1586" s="26" t="s">
        <v>216</v>
      </c>
      <c r="B1586" s="26" t="s">
        <v>3388</v>
      </c>
      <c r="C1586" s="26" t="s">
        <v>15</v>
      </c>
      <c r="D1586" s="28" t="s">
        <v>218</v>
      </c>
      <c r="E1586" s="26" t="s">
        <v>3389</v>
      </c>
      <c r="F1586" s="29" t="s">
        <v>220</v>
      </c>
    </row>
    <row r="1587" spans="1:6" ht="29" x14ac:dyDescent="0.35">
      <c r="A1587" s="26" t="s">
        <v>216</v>
      </c>
      <c r="B1587" s="26" t="s">
        <v>3390</v>
      </c>
      <c r="C1587" s="26" t="s">
        <v>17</v>
      </c>
      <c r="D1587" s="28" t="s">
        <v>3391</v>
      </c>
      <c r="E1587" s="26">
        <v>13436</v>
      </c>
      <c r="F1587" s="29" t="s">
        <v>247</v>
      </c>
    </row>
    <row r="1588" spans="1:6" ht="29" x14ac:dyDescent="0.35">
      <c r="A1588" s="26" t="s">
        <v>216</v>
      </c>
      <c r="B1588" s="26" t="s">
        <v>3392</v>
      </c>
      <c r="C1588" s="26" t="s">
        <v>20</v>
      </c>
      <c r="D1588" s="28" t="s">
        <v>3393</v>
      </c>
      <c r="E1588" s="26">
        <v>13436</v>
      </c>
      <c r="F1588" s="29" t="s">
        <v>223</v>
      </c>
    </row>
    <row r="1589" spans="1:6" ht="58" x14ac:dyDescent="0.35">
      <c r="A1589" s="26" t="s">
        <v>216</v>
      </c>
      <c r="B1589" s="26" t="s">
        <v>3394</v>
      </c>
      <c r="C1589" s="26" t="s">
        <v>25</v>
      </c>
      <c r="D1589" s="28" t="s">
        <v>3395</v>
      </c>
      <c r="E1589" s="26">
        <v>0</v>
      </c>
      <c r="F1589" s="29" t="s">
        <v>226</v>
      </c>
    </row>
    <row r="1590" spans="1:6" ht="43.5" x14ac:dyDescent="0.35">
      <c r="A1590" s="26" t="s">
        <v>216</v>
      </c>
      <c r="B1590" s="26" t="s">
        <v>3396</v>
      </c>
      <c r="C1590" s="26" t="s">
        <v>27</v>
      </c>
      <c r="D1590" s="28" t="s">
        <v>3397</v>
      </c>
      <c r="E1590" s="26">
        <v>0</v>
      </c>
      <c r="F1590" s="29" t="s">
        <v>229</v>
      </c>
    </row>
    <row r="1591" spans="1:6" ht="29" x14ac:dyDescent="0.35">
      <c r="A1591" s="26" t="s">
        <v>216</v>
      </c>
      <c r="B1591" s="26" t="s">
        <v>3398</v>
      </c>
      <c r="C1591" s="26" t="s">
        <v>24</v>
      </c>
      <c r="D1591" s="28" t="s">
        <v>3399</v>
      </c>
      <c r="E1591" s="26">
        <v>0</v>
      </c>
      <c r="F1591" s="29" t="s">
        <v>232</v>
      </c>
    </row>
    <row r="1592" spans="1:6" ht="43.5" x14ac:dyDescent="0.35">
      <c r="A1592" s="26" t="s">
        <v>216</v>
      </c>
      <c r="B1592" s="26" t="s">
        <v>3400</v>
      </c>
      <c r="C1592" s="26" t="s">
        <v>15</v>
      </c>
      <c r="D1592" s="28" t="s">
        <v>218</v>
      </c>
      <c r="E1592" s="26" t="s">
        <v>3401</v>
      </c>
      <c r="F1592" s="29" t="s">
        <v>220</v>
      </c>
    </row>
    <row r="1593" spans="1:6" ht="29" x14ac:dyDescent="0.35">
      <c r="A1593" s="26" t="s">
        <v>216</v>
      </c>
      <c r="B1593" s="26" t="s">
        <v>3402</v>
      </c>
      <c r="C1593" s="26" t="s">
        <v>17</v>
      </c>
      <c r="D1593" s="28" t="s">
        <v>3403</v>
      </c>
      <c r="E1593" s="26">
        <v>13436</v>
      </c>
      <c r="F1593" s="29" t="s">
        <v>247</v>
      </c>
    </row>
    <row r="1594" spans="1:6" ht="29" x14ac:dyDescent="0.35">
      <c r="A1594" s="26" t="s">
        <v>216</v>
      </c>
      <c r="B1594" s="26" t="s">
        <v>3404</v>
      </c>
      <c r="C1594" s="26" t="s">
        <v>20</v>
      </c>
      <c r="D1594" s="28" t="s">
        <v>3405</v>
      </c>
      <c r="E1594" s="26">
        <v>13436</v>
      </c>
      <c r="F1594" s="29" t="s">
        <v>223</v>
      </c>
    </row>
    <row r="1595" spans="1:6" ht="58" x14ac:dyDescent="0.35">
      <c r="A1595" s="26" t="s">
        <v>216</v>
      </c>
      <c r="B1595" s="26" t="s">
        <v>3406</v>
      </c>
      <c r="C1595" s="26" t="s">
        <v>25</v>
      </c>
      <c r="D1595" s="28" t="s">
        <v>3407</v>
      </c>
      <c r="E1595" s="26">
        <v>0</v>
      </c>
      <c r="F1595" s="29" t="s">
        <v>226</v>
      </c>
    </row>
    <row r="1596" spans="1:6" ht="43.5" x14ac:dyDescent="0.35">
      <c r="A1596" s="26" t="s">
        <v>216</v>
      </c>
      <c r="B1596" s="26" t="s">
        <v>3408</v>
      </c>
      <c r="C1596" s="26" t="s">
        <v>27</v>
      </c>
      <c r="D1596" s="28" t="s">
        <v>3409</v>
      </c>
      <c r="E1596" s="26">
        <v>0</v>
      </c>
      <c r="F1596" s="29" t="s">
        <v>229</v>
      </c>
    </row>
    <row r="1597" spans="1:6" ht="29" x14ac:dyDescent="0.35">
      <c r="A1597" s="26" t="s">
        <v>216</v>
      </c>
      <c r="B1597" s="26" t="s">
        <v>3410</v>
      </c>
      <c r="C1597" s="26" t="s">
        <v>24</v>
      </c>
      <c r="D1597" s="28" t="s">
        <v>3411</v>
      </c>
      <c r="E1597" s="26">
        <v>0</v>
      </c>
      <c r="F1597" s="29" t="s">
        <v>232</v>
      </c>
    </row>
    <row r="1598" spans="1:6" ht="43.5" x14ac:dyDescent="0.35">
      <c r="A1598" s="26" t="s">
        <v>216</v>
      </c>
      <c r="B1598" s="26" t="s">
        <v>3412</v>
      </c>
      <c r="C1598" s="26" t="s">
        <v>15</v>
      </c>
      <c r="D1598" s="28" t="s">
        <v>218</v>
      </c>
      <c r="E1598" s="26" t="s">
        <v>3413</v>
      </c>
      <c r="F1598" s="29" t="s">
        <v>220</v>
      </c>
    </row>
    <row r="1599" spans="1:6" ht="29" x14ac:dyDescent="0.35">
      <c r="A1599" s="26" t="s">
        <v>216</v>
      </c>
      <c r="B1599" s="26" t="s">
        <v>3414</v>
      </c>
      <c r="C1599" s="26" t="s">
        <v>17</v>
      </c>
      <c r="D1599" s="28" t="s">
        <v>3415</v>
      </c>
      <c r="E1599" s="26">
        <v>13436</v>
      </c>
      <c r="F1599" s="29" t="s">
        <v>247</v>
      </c>
    </row>
    <row r="1600" spans="1:6" ht="29" x14ac:dyDescent="0.35">
      <c r="A1600" s="26" t="s">
        <v>216</v>
      </c>
      <c r="B1600" s="26" t="s">
        <v>3416</v>
      </c>
      <c r="C1600" s="26" t="s">
        <v>20</v>
      </c>
      <c r="D1600" s="28" t="s">
        <v>3417</v>
      </c>
      <c r="E1600" s="26">
        <v>13436</v>
      </c>
      <c r="F1600" s="29" t="s">
        <v>223</v>
      </c>
    </row>
    <row r="1601" spans="1:6" ht="58" x14ac:dyDescent="0.35">
      <c r="A1601" s="26" t="s">
        <v>216</v>
      </c>
      <c r="B1601" s="26" t="s">
        <v>3418</v>
      </c>
      <c r="C1601" s="26" t="s">
        <v>25</v>
      </c>
      <c r="D1601" s="28" t="s">
        <v>3419</v>
      </c>
      <c r="E1601" s="26">
        <v>0</v>
      </c>
      <c r="F1601" s="29" t="s">
        <v>226</v>
      </c>
    </row>
    <row r="1602" spans="1:6" ht="43.5" x14ac:dyDescent="0.35">
      <c r="A1602" s="26" t="s">
        <v>216</v>
      </c>
      <c r="B1602" s="26" t="s">
        <v>3420</v>
      </c>
      <c r="C1602" s="26" t="s">
        <v>27</v>
      </c>
      <c r="D1602" s="28" t="s">
        <v>3421</v>
      </c>
      <c r="E1602" s="26">
        <v>0</v>
      </c>
      <c r="F1602" s="29" t="s">
        <v>229</v>
      </c>
    </row>
    <row r="1603" spans="1:6" ht="29" x14ac:dyDescent="0.35">
      <c r="A1603" s="26" t="s">
        <v>216</v>
      </c>
      <c r="B1603" s="26" t="s">
        <v>3422</v>
      </c>
      <c r="C1603" s="26" t="s">
        <v>24</v>
      </c>
      <c r="D1603" s="28" t="s">
        <v>3423</v>
      </c>
      <c r="E1603" s="26">
        <v>0</v>
      </c>
      <c r="F1603" s="29" t="s">
        <v>232</v>
      </c>
    </row>
    <row r="1604" spans="1:6" ht="43.5" x14ac:dyDescent="0.35">
      <c r="A1604" s="26" t="s">
        <v>216</v>
      </c>
      <c r="B1604" s="26" t="s">
        <v>3424</v>
      </c>
      <c r="C1604" s="26" t="s">
        <v>15</v>
      </c>
      <c r="D1604" s="28" t="s">
        <v>218</v>
      </c>
      <c r="E1604" s="26" t="s">
        <v>3425</v>
      </c>
      <c r="F1604" s="29" t="s">
        <v>220</v>
      </c>
    </row>
    <row r="1605" spans="1:6" ht="29" x14ac:dyDescent="0.35">
      <c r="A1605" s="26" t="s">
        <v>216</v>
      </c>
      <c r="B1605" s="26" t="s">
        <v>3426</v>
      </c>
      <c r="C1605" s="26" t="s">
        <v>17</v>
      </c>
      <c r="D1605" s="28" t="s">
        <v>3427</v>
      </c>
      <c r="E1605" s="26">
        <v>13436</v>
      </c>
      <c r="F1605" s="29" t="s">
        <v>247</v>
      </c>
    </row>
    <row r="1606" spans="1:6" ht="29" x14ac:dyDescent="0.35">
      <c r="A1606" s="26" t="s">
        <v>216</v>
      </c>
      <c r="B1606" s="26" t="s">
        <v>3428</v>
      </c>
      <c r="C1606" s="26" t="s">
        <v>20</v>
      </c>
      <c r="D1606" s="28" t="s">
        <v>3429</v>
      </c>
      <c r="E1606" s="26">
        <v>13436</v>
      </c>
      <c r="F1606" s="29" t="s">
        <v>223</v>
      </c>
    </row>
    <row r="1607" spans="1:6" ht="58" x14ac:dyDescent="0.35">
      <c r="A1607" s="26" t="s">
        <v>216</v>
      </c>
      <c r="B1607" s="26" t="s">
        <v>3430</v>
      </c>
      <c r="C1607" s="26" t="s">
        <v>25</v>
      </c>
      <c r="D1607" s="28" t="s">
        <v>3431</v>
      </c>
      <c r="E1607" s="26">
        <v>0</v>
      </c>
      <c r="F1607" s="29" t="s">
        <v>226</v>
      </c>
    </row>
    <row r="1608" spans="1:6" ht="43.5" x14ac:dyDescent="0.35">
      <c r="A1608" s="26" t="s">
        <v>216</v>
      </c>
      <c r="B1608" s="26" t="s">
        <v>3432</v>
      </c>
      <c r="C1608" s="26" t="s">
        <v>27</v>
      </c>
      <c r="D1608" s="28" t="s">
        <v>3433</v>
      </c>
      <c r="E1608" s="26">
        <v>0</v>
      </c>
      <c r="F1608" s="29" t="s">
        <v>229</v>
      </c>
    </row>
    <row r="1609" spans="1:6" ht="29" x14ac:dyDescent="0.35">
      <c r="A1609" s="26" t="s">
        <v>216</v>
      </c>
      <c r="B1609" s="26" t="s">
        <v>3434</v>
      </c>
      <c r="C1609" s="26" t="s">
        <v>24</v>
      </c>
      <c r="D1609" s="28" t="s">
        <v>3435</v>
      </c>
      <c r="E1609" s="26">
        <v>0</v>
      </c>
      <c r="F1609" s="29" t="s">
        <v>232</v>
      </c>
    </row>
    <row r="1610" spans="1:6" ht="43.5" x14ac:dyDescent="0.35">
      <c r="A1610" s="26" t="s">
        <v>216</v>
      </c>
      <c r="B1610" s="26" t="s">
        <v>3436</v>
      </c>
      <c r="C1610" s="26" t="s">
        <v>15</v>
      </c>
      <c r="D1610" s="28" t="s">
        <v>218</v>
      </c>
      <c r="E1610" s="26" t="s">
        <v>3437</v>
      </c>
      <c r="F1610" s="29" t="s">
        <v>220</v>
      </c>
    </row>
    <row r="1611" spans="1:6" ht="29" x14ac:dyDescent="0.35">
      <c r="A1611" s="26" t="s">
        <v>216</v>
      </c>
      <c r="B1611" s="26" t="s">
        <v>3438</v>
      </c>
      <c r="C1611" s="26" t="s">
        <v>17</v>
      </c>
      <c r="D1611" s="28" t="s">
        <v>3439</v>
      </c>
      <c r="E1611" s="26">
        <v>13436</v>
      </c>
      <c r="F1611" s="29" t="s">
        <v>247</v>
      </c>
    </row>
    <row r="1612" spans="1:6" ht="29" x14ac:dyDescent="0.35">
      <c r="A1612" s="26" t="s">
        <v>216</v>
      </c>
      <c r="B1612" s="26" t="s">
        <v>3440</v>
      </c>
      <c r="C1612" s="26" t="s">
        <v>20</v>
      </c>
      <c r="D1612" s="28" t="s">
        <v>3441</v>
      </c>
      <c r="E1612" s="26">
        <v>13436</v>
      </c>
      <c r="F1612" s="29" t="s">
        <v>223</v>
      </c>
    </row>
    <row r="1613" spans="1:6" ht="58" x14ac:dyDescent="0.35">
      <c r="A1613" s="26" t="s">
        <v>216</v>
      </c>
      <c r="B1613" s="26" t="s">
        <v>3442</v>
      </c>
      <c r="C1613" s="26" t="s">
        <v>25</v>
      </c>
      <c r="D1613" s="28" t="s">
        <v>3443</v>
      </c>
      <c r="E1613" s="26">
        <v>0</v>
      </c>
      <c r="F1613" s="29" t="s">
        <v>226</v>
      </c>
    </row>
    <row r="1614" spans="1:6" ht="43.5" x14ac:dyDescent="0.35">
      <c r="A1614" s="26" t="s">
        <v>216</v>
      </c>
      <c r="B1614" s="26" t="s">
        <v>3444</v>
      </c>
      <c r="C1614" s="26" t="s">
        <v>27</v>
      </c>
      <c r="D1614" s="28" t="s">
        <v>3445</v>
      </c>
      <c r="E1614" s="26">
        <v>0</v>
      </c>
      <c r="F1614" s="29" t="s">
        <v>229</v>
      </c>
    </row>
    <row r="1615" spans="1:6" ht="29" x14ac:dyDescent="0.35">
      <c r="A1615" s="26" t="s">
        <v>216</v>
      </c>
      <c r="B1615" s="26" t="s">
        <v>3446</v>
      </c>
      <c r="C1615" s="26" t="s">
        <v>24</v>
      </c>
      <c r="D1615" s="28" t="s">
        <v>3447</v>
      </c>
      <c r="E1615" s="26">
        <v>0</v>
      </c>
      <c r="F1615" s="29" t="s">
        <v>232</v>
      </c>
    </row>
    <row r="1616" spans="1:6" ht="43.5" x14ac:dyDescent="0.35">
      <c r="A1616" s="26" t="s">
        <v>216</v>
      </c>
      <c r="B1616" s="26" t="s">
        <v>3448</v>
      </c>
      <c r="C1616" s="26" t="s">
        <v>15</v>
      </c>
      <c r="D1616" s="28" t="s">
        <v>218</v>
      </c>
      <c r="E1616" s="26" t="s">
        <v>3449</v>
      </c>
      <c r="F1616" s="29" t="s">
        <v>220</v>
      </c>
    </row>
    <row r="1617" spans="1:6" ht="29" x14ac:dyDescent="0.35">
      <c r="A1617" s="26" t="s">
        <v>216</v>
      </c>
      <c r="B1617" s="26" t="s">
        <v>3450</v>
      </c>
      <c r="C1617" s="26" t="s">
        <v>17</v>
      </c>
      <c r="D1617" s="28" t="s">
        <v>3451</v>
      </c>
      <c r="E1617" s="26">
        <v>13436</v>
      </c>
      <c r="F1617" s="29" t="s">
        <v>247</v>
      </c>
    </row>
    <row r="1618" spans="1:6" ht="29" x14ac:dyDescent="0.35">
      <c r="A1618" s="26" t="s">
        <v>216</v>
      </c>
      <c r="B1618" s="26" t="s">
        <v>3452</v>
      </c>
      <c r="C1618" s="26" t="s">
        <v>20</v>
      </c>
      <c r="D1618" s="28" t="s">
        <v>3453</v>
      </c>
      <c r="E1618" s="26">
        <v>13436</v>
      </c>
      <c r="F1618" s="29" t="s">
        <v>223</v>
      </c>
    </row>
    <row r="1619" spans="1:6" ht="58" x14ac:dyDescent="0.35">
      <c r="A1619" s="26" t="s">
        <v>216</v>
      </c>
      <c r="B1619" s="26" t="s">
        <v>3454</v>
      </c>
      <c r="C1619" s="26" t="s">
        <v>25</v>
      </c>
      <c r="D1619" s="28" t="s">
        <v>3455</v>
      </c>
      <c r="E1619" s="26">
        <v>0</v>
      </c>
      <c r="F1619" s="29" t="s">
        <v>226</v>
      </c>
    </row>
    <row r="1620" spans="1:6" ht="43.5" x14ac:dyDescent="0.35">
      <c r="A1620" s="26" t="s">
        <v>216</v>
      </c>
      <c r="B1620" s="26" t="s">
        <v>3456</v>
      </c>
      <c r="C1620" s="26" t="s">
        <v>27</v>
      </c>
      <c r="D1620" s="28" t="s">
        <v>3457</v>
      </c>
      <c r="E1620" s="26">
        <v>0</v>
      </c>
      <c r="F1620" s="29" t="s">
        <v>229</v>
      </c>
    </row>
    <row r="1621" spans="1:6" ht="29" x14ac:dyDescent="0.35">
      <c r="A1621" s="26" t="s">
        <v>216</v>
      </c>
      <c r="B1621" s="26" t="s">
        <v>3458</v>
      </c>
      <c r="C1621" s="26" t="s">
        <v>24</v>
      </c>
      <c r="D1621" s="28" t="s">
        <v>3459</v>
      </c>
      <c r="E1621" s="26">
        <v>0</v>
      </c>
      <c r="F1621" s="29" t="s">
        <v>232</v>
      </c>
    </row>
    <row r="1622" spans="1:6" ht="43.5" x14ac:dyDescent="0.35">
      <c r="A1622" s="26" t="s">
        <v>216</v>
      </c>
      <c r="B1622" s="26" t="s">
        <v>3460</v>
      </c>
      <c r="C1622" s="26" t="s">
        <v>15</v>
      </c>
      <c r="D1622" s="28" t="s">
        <v>218</v>
      </c>
      <c r="E1622" s="26" t="s">
        <v>3461</v>
      </c>
      <c r="F1622" s="29" t="s">
        <v>220</v>
      </c>
    </row>
    <row r="1623" spans="1:6" ht="29" x14ac:dyDescent="0.35">
      <c r="A1623" s="26" t="s">
        <v>216</v>
      </c>
      <c r="B1623" s="26" t="s">
        <v>3462</v>
      </c>
      <c r="C1623" s="26" t="s">
        <v>17</v>
      </c>
      <c r="D1623" s="28" t="s">
        <v>3463</v>
      </c>
      <c r="E1623" s="26">
        <v>13436</v>
      </c>
      <c r="F1623" s="29" t="s">
        <v>247</v>
      </c>
    </row>
    <row r="1624" spans="1:6" ht="29" x14ac:dyDescent="0.35">
      <c r="A1624" s="26" t="s">
        <v>216</v>
      </c>
      <c r="B1624" s="26" t="s">
        <v>3464</v>
      </c>
      <c r="C1624" s="26" t="s">
        <v>20</v>
      </c>
      <c r="D1624" s="28" t="s">
        <v>3465</v>
      </c>
      <c r="E1624" s="26">
        <v>13436</v>
      </c>
      <c r="F1624" s="29" t="s">
        <v>223</v>
      </c>
    </row>
    <row r="1625" spans="1:6" ht="58" x14ac:dyDescent="0.35">
      <c r="A1625" s="26" t="s">
        <v>216</v>
      </c>
      <c r="B1625" s="26" t="s">
        <v>3466</v>
      </c>
      <c r="C1625" s="26" t="s">
        <v>25</v>
      </c>
      <c r="D1625" s="28" t="s">
        <v>3467</v>
      </c>
      <c r="E1625" s="26">
        <v>0</v>
      </c>
      <c r="F1625" s="29" t="s">
        <v>226</v>
      </c>
    </row>
    <row r="1626" spans="1:6" ht="43.5" x14ac:dyDescent="0.35">
      <c r="A1626" s="26" t="s">
        <v>216</v>
      </c>
      <c r="B1626" s="26" t="s">
        <v>3468</v>
      </c>
      <c r="C1626" s="26" t="s">
        <v>27</v>
      </c>
      <c r="D1626" s="28" t="s">
        <v>3469</v>
      </c>
      <c r="E1626" s="26">
        <v>0</v>
      </c>
      <c r="F1626" s="29" t="s">
        <v>229</v>
      </c>
    </row>
    <row r="1627" spans="1:6" ht="29" x14ac:dyDescent="0.35">
      <c r="A1627" s="26" t="s">
        <v>216</v>
      </c>
      <c r="B1627" s="26" t="s">
        <v>3470</v>
      </c>
      <c r="C1627" s="26" t="s">
        <v>24</v>
      </c>
      <c r="D1627" s="28" t="s">
        <v>3471</v>
      </c>
      <c r="E1627" s="26">
        <v>0</v>
      </c>
      <c r="F1627" s="29" t="s">
        <v>232</v>
      </c>
    </row>
    <row r="1628" spans="1:6" ht="43.5" x14ac:dyDescent="0.35">
      <c r="A1628" s="26" t="s">
        <v>216</v>
      </c>
      <c r="B1628" s="26" t="s">
        <v>3472</v>
      </c>
      <c r="C1628" s="26" t="s">
        <v>15</v>
      </c>
      <c r="D1628" s="28" t="s">
        <v>218</v>
      </c>
      <c r="E1628" s="26" t="s">
        <v>3473</v>
      </c>
      <c r="F1628" s="29" t="s">
        <v>220</v>
      </c>
    </row>
    <row r="1629" spans="1:6" ht="29" x14ac:dyDescent="0.35">
      <c r="A1629" s="26" t="s">
        <v>216</v>
      </c>
      <c r="B1629" s="26" t="s">
        <v>3474</v>
      </c>
      <c r="C1629" s="26" t="s">
        <v>17</v>
      </c>
      <c r="D1629" s="28" t="s">
        <v>3475</v>
      </c>
      <c r="E1629" s="26">
        <v>13436</v>
      </c>
      <c r="F1629" s="29" t="s">
        <v>247</v>
      </c>
    </row>
    <row r="1630" spans="1:6" ht="29" x14ac:dyDescent="0.35">
      <c r="A1630" s="26" t="s">
        <v>216</v>
      </c>
      <c r="B1630" s="26" t="s">
        <v>3476</v>
      </c>
      <c r="C1630" s="26" t="s">
        <v>20</v>
      </c>
      <c r="D1630" s="28" t="s">
        <v>3477</v>
      </c>
      <c r="E1630" s="26">
        <v>13436</v>
      </c>
      <c r="F1630" s="29" t="s">
        <v>223</v>
      </c>
    </row>
    <row r="1631" spans="1:6" ht="58" x14ac:dyDescent="0.35">
      <c r="A1631" s="26" t="s">
        <v>216</v>
      </c>
      <c r="B1631" s="26" t="s">
        <v>3478</v>
      </c>
      <c r="C1631" s="26" t="s">
        <v>25</v>
      </c>
      <c r="D1631" s="28" t="s">
        <v>3479</v>
      </c>
      <c r="E1631" s="26">
        <v>0</v>
      </c>
      <c r="F1631" s="29" t="s">
        <v>226</v>
      </c>
    </row>
    <row r="1632" spans="1:6" ht="43.5" x14ac:dyDescent="0.35">
      <c r="A1632" s="26" t="s">
        <v>216</v>
      </c>
      <c r="B1632" s="26" t="s">
        <v>3480</v>
      </c>
      <c r="C1632" s="26" t="s">
        <v>27</v>
      </c>
      <c r="D1632" s="28" t="s">
        <v>3481</v>
      </c>
      <c r="E1632" s="26">
        <v>0</v>
      </c>
      <c r="F1632" s="29" t="s">
        <v>229</v>
      </c>
    </row>
    <row r="1633" spans="1:6" ht="29" x14ac:dyDescent="0.35">
      <c r="A1633" s="26" t="s">
        <v>216</v>
      </c>
      <c r="B1633" s="26" t="s">
        <v>3482</v>
      </c>
      <c r="C1633" s="26" t="s">
        <v>24</v>
      </c>
      <c r="D1633" s="28" t="s">
        <v>3483</v>
      </c>
      <c r="E1633" s="26">
        <v>0</v>
      </c>
      <c r="F1633" s="29" t="s">
        <v>232</v>
      </c>
    </row>
    <row r="1634" spans="1:6" ht="43.5" x14ac:dyDescent="0.35">
      <c r="A1634" s="26" t="s">
        <v>216</v>
      </c>
      <c r="B1634" s="26" t="s">
        <v>3484</v>
      </c>
      <c r="C1634" s="26" t="s">
        <v>15</v>
      </c>
      <c r="D1634" s="28" t="s">
        <v>218</v>
      </c>
      <c r="E1634" s="26" t="s">
        <v>3485</v>
      </c>
      <c r="F1634" s="29" t="s">
        <v>220</v>
      </c>
    </row>
    <row r="1635" spans="1:6" ht="29" x14ac:dyDescent="0.35">
      <c r="A1635" s="26" t="s">
        <v>216</v>
      </c>
      <c r="B1635" s="26" t="s">
        <v>3486</v>
      </c>
      <c r="C1635" s="26" t="s">
        <v>17</v>
      </c>
      <c r="D1635" s="28" t="s">
        <v>3487</v>
      </c>
      <c r="E1635" s="26">
        <v>13436</v>
      </c>
      <c r="F1635" s="29" t="s">
        <v>247</v>
      </c>
    </row>
    <row r="1636" spans="1:6" ht="29" x14ac:dyDescent="0.35">
      <c r="A1636" s="26" t="s">
        <v>216</v>
      </c>
      <c r="B1636" s="26" t="s">
        <v>3488</v>
      </c>
      <c r="C1636" s="26" t="s">
        <v>20</v>
      </c>
      <c r="D1636" s="28" t="s">
        <v>3489</v>
      </c>
      <c r="E1636" s="26">
        <v>13436</v>
      </c>
      <c r="F1636" s="29" t="s">
        <v>223</v>
      </c>
    </row>
    <row r="1637" spans="1:6" ht="58" x14ac:dyDescent="0.35">
      <c r="A1637" s="26" t="s">
        <v>216</v>
      </c>
      <c r="B1637" s="26" t="s">
        <v>3490</v>
      </c>
      <c r="C1637" s="26" t="s">
        <v>25</v>
      </c>
      <c r="D1637" s="28" t="s">
        <v>3491</v>
      </c>
      <c r="E1637" s="26">
        <v>0</v>
      </c>
      <c r="F1637" s="29" t="s">
        <v>226</v>
      </c>
    </row>
    <row r="1638" spans="1:6" ht="43.5" x14ac:dyDescent="0.35">
      <c r="A1638" s="26" t="s">
        <v>216</v>
      </c>
      <c r="B1638" s="26" t="s">
        <v>3492</v>
      </c>
      <c r="C1638" s="26" t="s">
        <v>27</v>
      </c>
      <c r="D1638" s="28" t="s">
        <v>3493</v>
      </c>
      <c r="E1638" s="26">
        <v>0</v>
      </c>
      <c r="F1638" s="29" t="s">
        <v>229</v>
      </c>
    </row>
    <row r="1639" spans="1:6" ht="29" x14ac:dyDescent="0.35">
      <c r="A1639" s="26" t="s">
        <v>216</v>
      </c>
      <c r="B1639" s="26" t="s">
        <v>3494</v>
      </c>
      <c r="C1639" s="26" t="s">
        <v>24</v>
      </c>
      <c r="D1639" s="28" t="s">
        <v>3495</v>
      </c>
      <c r="E1639" s="26">
        <v>0</v>
      </c>
      <c r="F1639" s="29" t="s">
        <v>232</v>
      </c>
    </row>
    <row r="1640" spans="1:6" ht="43.5" x14ac:dyDescent="0.35">
      <c r="A1640" s="26" t="s">
        <v>216</v>
      </c>
      <c r="B1640" s="26" t="s">
        <v>3496</v>
      </c>
      <c r="C1640" s="26" t="s">
        <v>15</v>
      </c>
      <c r="D1640" s="28" t="s">
        <v>218</v>
      </c>
      <c r="E1640" s="26" t="s">
        <v>3497</v>
      </c>
      <c r="F1640" s="29" t="s">
        <v>220</v>
      </c>
    </row>
    <row r="1641" spans="1:6" ht="29" x14ac:dyDescent="0.35">
      <c r="A1641" s="26" t="s">
        <v>216</v>
      </c>
      <c r="B1641" s="26" t="s">
        <v>3498</v>
      </c>
      <c r="C1641" s="26" t="s">
        <v>17</v>
      </c>
      <c r="D1641" s="28" t="s">
        <v>3499</v>
      </c>
      <c r="E1641" s="26">
        <v>13436</v>
      </c>
      <c r="F1641" s="29" t="s">
        <v>247</v>
      </c>
    </row>
    <row r="1642" spans="1:6" ht="29" x14ac:dyDescent="0.35">
      <c r="A1642" s="26" t="s">
        <v>216</v>
      </c>
      <c r="B1642" s="26" t="s">
        <v>3500</v>
      </c>
      <c r="C1642" s="26" t="s">
        <v>20</v>
      </c>
      <c r="D1642" s="28" t="s">
        <v>3501</v>
      </c>
      <c r="E1642" s="26">
        <v>13436</v>
      </c>
      <c r="F1642" s="29" t="s">
        <v>223</v>
      </c>
    </row>
    <row r="1643" spans="1:6" ht="58" x14ac:dyDescent="0.35">
      <c r="A1643" s="26" t="s">
        <v>216</v>
      </c>
      <c r="B1643" s="26" t="s">
        <v>3502</v>
      </c>
      <c r="C1643" s="26" t="s">
        <v>25</v>
      </c>
      <c r="D1643" s="28" t="s">
        <v>3503</v>
      </c>
      <c r="E1643" s="26">
        <v>0</v>
      </c>
      <c r="F1643" s="29" t="s">
        <v>226</v>
      </c>
    </row>
    <row r="1644" spans="1:6" ht="43.5" x14ac:dyDescent="0.35">
      <c r="A1644" s="26" t="s">
        <v>216</v>
      </c>
      <c r="B1644" s="26" t="s">
        <v>3504</v>
      </c>
      <c r="C1644" s="26" t="s">
        <v>27</v>
      </c>
      <c r="D1644" s="28" t="s">
        <v>3505</v>
      </c>
      <c r="E1644" s="26">
        <v>0</v>
      </c>
      <c r="F1644" s="29" t="s">
        <v>229</v>
      </c>
    </row>
    <row r="1645" spans="1:6" ht="29" x14ac:dyDescent="0.35">
      <c r="A1645" s="26" t="s">
        <v>216</v>
      </c>
      <c r="B1645" s="26" t="s">
        <v>3506</v>
      </c>
      <c r="C1645" s="26" t="s">
        <v>24</v>
      </c>
      <c r="D1645" s="28" t="s">
        <v>3507</v>
      </c>
      <c r="E1645" s="26">
        <v>0</v>
      </c>
      <c r="F1645" s="29" t="s">
        <v>232</v>
      </c>
    </row>
    <row r="1646" spans="1:6" ht="43.5" x14ac:dyDescent="0.35">
      <c r="A1646" s="26" t="s">
        <v>216</v>
      </c>
      <c r="B1646" s="26" t="s">
        <v>3508</v>
      </c>
      <c r="C1646" s="26" t="s">
        <v>15</v>
      </c>
      <c r="D1646" s="28" t="s">
        <v>218</v>
      </c>
      <c r="E1646" s="26" t="s">
        <v>3509</v>
      </c>
      <c r="F1646" s="29" t="s">
        <v>220</v>
      </c>
    </row>
    <row r="1647" spans="1:6" ht="29" x14ac:dyDescent="0.35">
      <c r="A1647" s="26" t="s">
        <v>216</v>
      </c>
      <c r="B1647" s="26" t="s">
        <v>3510</v>
      </c>
      <c r="C1647" s="26" t="s">
        <v>17</v>
      </c>
      <c r="D1647" s="28" t="s">
        <v>3511</v>
      </c>
      <c r="E1647" s="26">
        <v>13436</v>
      </c>
      <c r="F1647" s="29" t="s">
        <v>247</v>
      </c>
    </row>
    <row r="1648" spans="1:6" ht="29" x14ac:dyDescent="0.35">
      <c r="A1648" s="26" t="s">
        <v>216</v>
      </c>
      <c r="B1648" s="26" t="s">
        <v>3512</v>
      </c>
      <c r="C1648" s="26" t="s">
        <v>20</v>
      </c>
      <c r="D1648" s="28" t="s">
        <v>3513</v>
      </c>
      <c r="E1648" s="26">
        <v>13436</v>
      </c>
      <c r="F1648" s="29" t="s">
        <v>223</v>
      </c>
    </row>
    <row r="1649" spans="1:6" ht="58" x14ac:dyDescent="0.35">
      <c r="A1649" s="26" t="s">
        <v>216</v>
      </c>
      <c r="B1649" s="26" t="s">
        <v>3514</v>
      </c>
      <c r="C1649" s="26" t="s">
        <v>25</v>
      </c>
      <c r="D1649" s="28" t="s">
        <v>3515</v>
      </c>
      <c r="E1649" s="26">
        <v>0</v>
      </c>
      <c r="F1649" s="29" t="s">
        <v>226</v>
      </c>
    </row>
    <row r="1650" spans="1:6" ht="43.5" x14ac:dyDescent="0.35">
      <c r="A1650" s="26" t="s">
        <v>216</v>
      </c>
      <c r="B1650" s="26" t="s">
        <v>3516</v>
      </c>
      <c r="C1650" s="26" t="s">
        <v>27</v>
      </c>
      <c r="D1650" s="28" t="s">
        <v>3517</v>
      </c>
      <c r="E1650" s="26">
        <v>0</v>
      </c>
      <c r="F1650" s="29" t="s">
        <v>229</v>
      </c>
    </row>
    <row r="1651" spans="1:6" ht="29" x14ac:dyDescent="0.35">
      <c r="A1651" s="26" t="s">
        <v>216</v>
      </c>
      <c r="B1651" s="26" t="s">
        <v>3518</v>
      </c>
      <c r="C1651" s="26" t="s">
        <v>24</v>
      </c>
      <c r="D1651" s="28" t="s">
        <v>3519</v>
      </c>
      <c r="E1651" s="26">
        <v>0</v>
      </c>
      <c r="F1651" s="29" t="s">
        <v>232</v>
      </c>
    </row>
    <row r="1652" spans="1:6" ht="43.5" x14ac:dyDescent="0.35">
      <c r="A1652" s="26" t="s">
        <v>216</v>
      </c>
      <c r="B1652" s="26" t="s">
        <v>3520</v>
      </c>
      <c r="C1652" s="26" t="s">
        <v>15</v>
      </c>
      <c r="D1652" s="28" t="s">
        <v>218</v>
      </c>
      <c r="E1652" s="26" t="s">
        <v>3521</v>
      </c>
      <c r="F1652" s="29" t="s">
        <v>220</v>
      </c>
    </row>
    <row r="1653" spans="1:6" ht="29" x14ac:dyDescent="0.35">
      <c r="A1653" s="26" t="s">
        <v>216</v>
      </c>
      <c r="B1653" s="26" t="s">
        <v>3522</v>
      </c>
      <c r="C1653" s="26" t="s">
        <v>17</v>
      </c>
      <c r="D1653" s="28" t="s">
        <v>3523</v>
      </c>
      <c r="E1653" s="26">
        <v>13436</v>
      </c>
      <c r="F1653" s="29" t="s">
        <v>247</v>
      </c>
    </row>
    <row r="1654" spans="1:6" ht="29" x14ac:dyDescent="0.35">
      <c r="A1654" s="26" t="s">
        <v>216</v>
      </c>
      <c r="B1654" s="26" t="s">
        <v>3524</v>
      </c>
      <c r="C1654" s="26" t="s">
        <v>20</v>
      </c>
      <c r="D1654" s="28" t="s">
        <v>3525</v>
      </c>
      <c r="E1654" s="26">
        <v>13436</v>
      </c>
      <c r="F1654" s="29" t="s">
        <v>223</v>
      </c>
    </row>
    <row r="1655" spans="1:6" ht="58" x14ac:dyDescent="0.35">
      <c r="A1655" s="26" t="s">
        <v>216</v>
      </c>
      <c r="B1655" s="26" t="s">
        <v>3526</v>
      </c>
      <c r="C1655" s="26" t="s">
        <v>25</v>
      </c>
      <c r="D1655" s="28" t="s">
        <v>3527</v>
      </c>
      <c r="E1655" s="26">
        <v>0</v>
      </c>
      <c r="F1655" s="29" t="s">
        <v>226</v>
      </c>
    </row>
    <row r="1656" spans="1:6" ht="43.5" x14ac:dyDescent="0.35">
      <c r="A1656" s="26" t="s">
        <v>216</v>
      </c>
      <c r="B1656" s="26" t="s">
        <v>3528</v>
      </c>
      <c r="C1656" s="26" t="s">
        <v>27</v>
      </c>
      <c r="D1656" s="28" t="s">
        <v>3529</v>
      </c>
      <c r="E1656" s="26">
        <v>0</v>
      </c>
      <c r="F1656" s="29" t="s">
        <v>229</v>
      </c>
    </row>
    <row r="1657" spans="1:6" ht="29" x14ac:dyDescent="0.35">
      <c r="A1657" s="26" t="s">
        <v>216</v>
      </c>
      <c r="B1657" s="26" t="s">
        <v>3530</v>
      </c>
      <c r="C1657" s="26" t="s">
        <v>24</v>
      </c>
      <c r="D1657" s="28" t="s">
        <v>3531</v>
      </c>
      <c r="E1657" s="26">
        <v>0</v>
      </c>
      <c r="F1657" s="29" t="s">
        <v>232</v>
      </c>
    </row>
    <row r="1658" spans="1:6" ht="43.5" x14ac:dyDescent="0.35">
      <c r="A1658" s="26" t="s">
        <v>216</v>
      </c>
      <c r="B1658" s="26" t="s">
        <v>3532</v>
      </c>
      <c r="C1658" s="26" t="s">
        <v>15</v>
      </c>
      <c r="D1658" s="28" t="s">
        <v>218</v>
      </c>
      <c r="E1658" s="26" t="s">
        <v>3533</v>
      </c>
      <c r="F1658" s="29" t="s">
        <v>220</v>
      </c>
    </row>
    <row r="1659" spans="1:6" ht="29" x14ac:dyDescent="0.35">
      <c r="A1659" s="26" t="s">
        <v>216</v>
      </c>
      <c r="B1659" s="26" t="s">
        <v>3534</v>
      </c>
      <c r="C1659" s="26" t="s">
        <v>17</v>
      </c>
      <c r="D1659" s="28" t="s">
        <v>3535</v>
      </c>
      <c r="E1659" s="26">
        <v>13436</v>
      </c>
      <c r="F1659" s="29" t="s">
        <v>247</v>
      </c>
    </row>
    <row r="1660" spans="1:6" ht="29" x14ac:dyDescent="0.35">
      <c r="A1660" s="26" t="s">
        <v>216</v>
      </c>
      <c r="B1660" s="26" t="s">
        <v>3536</v>
      </c>
      <c r="C1660" s="26" t="s">
        <v>20</v>
      </c>
      <c r="D1660" s="28" t="s">
        <v>3537</v>
      </c>
      <c r="E1660" s="26">
        <v>13436</v>
      </c>
      <c r="F1660" s="29" t="s">
        <v>223</v>
      </c>
    </row>
    <row r="1661" spans="1:6" ht="58" x14ac:dyDescent="0.35">
      <c r="A1661" s="26" t="s">
        <v>216</v>
      </c>
      <c r="B1661" s="26" t="s">
        <v>3538</v>
      </c>
      <c r="C1661" s="26" t="s">
        <v>25</v>
      </c>
      <c r="D1661" s="28" t="s">
        <v>3539</v>
      </c>
      <c r="E1661" s="26">
        <v>0</v>
      </c>
      <c r="F1661" s="29" t="s">
        <v>226</v>
      </c>
    </row>
    <row r="1662" spans="1:6" ht="43.5" x14ac:dyDescent="0.35">
      <c r="A1662" s="26" t="s">
        <v>216</v>
      </c>
      <c r="B1662" s="26" t="s">
        <v>3540</v>
      </c>
      <c r="C1662" s="26" t="s">
        <v>27</v>
      </c>
      <c r="D1662" s="28" t="s">
        <v>3541</v>
      </c>
      <c r="E1662" s="26">
        <v>0</v>
      </c>
      <c r="F1662" s="29" t="s">
        <v>229</v>
      </c>
    </row>
    <row r="1663" spans="1:6" ht="29" x14ac:dyDescent="0.35">
      <c r="A1663" s="26" t="s">
        <v>216</v>
      </c>
      <c r="B1663" s="26" t="s">
        <v>3542</v>
      </c>
      <c r="C1663" s="26" t="s">
        <v>24</v>
      </c>
      <c r="D1663" s="28" t="s">
        <v>3543</v>
      </c>
      <c r="E1663" s="26">
        <v>0</v>
      </c>
      <c r="F1663" s="29" t="s">
        <v>232</v>
      </c>
    </row>
    <row r="1664" spans="1:6" ht="43.5" x14ac:dyDescent="0.35">
      <c r="A1664" s="26" t="s">
        <v>216</v>
      </c>
      <c r="B1664" s="26" t="s">
        <v>3544</v>
      </c>
      <c r="C1664" s="26" t="s">
        <v>15</v>
      </c>
      <c r="D1664" s="28" t="s">
        <v>218</v>
      </c>
      <c r="E1664" s="26" t="s">
        <v>3545</v>
      </c>
      <c r="F1664" s="29" t="s">
        <v>220</v>
      </c>
    </row>
    <row r="1665" spans="1:6" ht="29" x14ac:dyDescent="0.35">
      <c r="A1665" s="26" t="s">
        <v>216</v>
      </c>
      <c r="B1665" s="26" t="s">
        <v>3546</v>
      </c>
      <c r="C1665" s="26" t="s">
        <v>17</v>
      </c>
      <c r="D1665" s="28" t="s">
        <v>3547</v>
      </c>
      <c r="E1665" s="26">
        <v>13436</v>
      </c>
      <c r="F1665" s="29" t="s">
        <v>247</v>
      </c>
    </row>
    <row r="1666" spans="1:6" ht="29" x14ac:dyDescent="0.35">
      <c r="A1666" s="26" t="s">
        <v>216</v>
      </c>
      <c r="B1666" s="26" t="s">
        <v>3548</v>
      </c>
      <c r="C1666" s="26" t="s">
        <v>20</v>
      </c>
      <c r="D1666" s="28" t="s">
        <v>3549</v>
      </c>
      <c r="E1666" s="26">
        <v>13436</v>
      </c>
      <c r="F1666" s="29" t="s">
        <v>223</v>
      </c>
    </row>
    <row r="1667" spans="1:6" ht="58" x14ac:dyDescent="0.35">
      <c r="A1667" s="26" t="s">
        <v>216</v>
      </c>
      <c r="B1667" s="26" t="s">
        <v>3550</v>
      </c>
      <c r="C1667" s="26" t="s">
        <v>25</v>
      </c>
      <c r="D1667" s="28" t="s">
        <v>3551</v>
      </c>
      <c r="E1667" s="26">
        <v>0</v>
      </c>
      <c r="F1667" s="29" t="s">
        <v>226</v>
      </c>
    </row>
    <row r="1668" spans="1:6" ht="43.5" x14ac:dyDescent="0.35">
      <c r="A1668" s="26" t="s">
        <v>216</v>
      </c>
      <c r="B1668" s="26" t="s">
        <v>3552</v>
      </c>
      <c r="C1668" s="26" t="s">
        <v>27</v>
      </c>
      <c r="D1668" s="28" t="s">
        <v>3553</v>
      </c>
      <c r="E1668" s="26">
        <v>0</v>
      </c>
      <c r="F1668" s="29" t="s">
        <v>229</v>
      </c>
    </row>
    <row r="1669" spans="1:6" ht="29" x14ac:dyDescent="0.35">
      <c r="A1669" s="26" t="s">
        <v>216</v>
      </c>
      <c r="B1669" s="26" t="s">
        <v>3554</v>
      </c>
      <c r="C1669" s="26" t="s">
        <v>24</v>
      </c>
      <c r="D1669" s="28" t="s">
        <v>3555</v>
      </c>
      <c r="E1669" s="26">
        <v>0</v>
      </c>
      <c r="F1669" s="29" t="s">
        <v>232</v>
      </c>
    </row>
    <row r="1670" spans="1:6" ht="43.5" x14ac:dyDescent="0.35">
      <c r="A1670" s="26" t="s">
        <v>216</v>
      </c>
      <c r="B1670" s="26" t="s">
        <v>3556</v>
      </c>
      <c r="C1670" s="26" t="s">
        <v>15</v>
      </c>
      <c r="D1670" s="28" t="s">
        <v>218</v>
      </c>
      <c r="E1670" s="26" t="s">
        <v>3557</v>
      </c>
      <c r="F1670" s="29" t="s">
        <v>220</v>
      </c>
    </row>
    <row r="1671" spans="1:6" ht="29" x14ac:dyDescent="0.35">
      <c r="A1671" s="26" t="s">
        <v>216</v>
      </c>
      <c r="B1671" s="26" t="s">
        <v>3558</v>
      </c>
      <c r="C1671" s="26" t="s">
        <v>17</v>
      </c>
      <c r="D1671" s="28" t="s">
        <v>3559</v>
      </c>
      <c r="E1671" s="26">
        <v>13436</v>
      </c>
      <c r="F1671" s="29" t="s">
        <v>247</v>
      </c>
    </row>
    <row r="1672" spans="1:6" ht="29" x14ac:dyDescent="0.35">
      <c r="A1672" s="26" t="s">
        <v>216</v>
      </c>
      <c r="B1672" s="26" t="s">
        <v>3560</v>
      </c>
      <c r="C1672" s="26" t="s">
        <v>20</v>
      </c>
      <c r="D1672" s="28" t="s">
        <v>3561</v>
      </c>
      <c r="E1672" s="26">
        <v>13436</v>
      </c>
      <c r="F1672" s="29" t="s">
        <v>223</v>
      </c>
    </row>
    <row r="1673" spans="1:6" ht="58" x14ac:dyDescent="0.35">
      <c r="A1673" s="26" t="s">
        <v>216</v>
      </c>
      <c r="B1673" s="26" t="s">
        <v>3562</v>
      </c>
      <c r="C1673" s="26" t="s">
        <v>25</v>
      </c>
      <c r="D1673" s="28" t="s">
        <v>3563</v>
      </c>
      <c r="E1673" s="26">
        <v>0</v>
      </c>
      <c r="F1673" s="29" t="s">
        <v>226</v>
      </c>
    </row>
    <row r="1674" spans="1:6" ht="43.5" x14ac:dyDescent="0.35">
      <c r="A1674" s="26" t="s">
        <v>216</v>
      </c>
      <c r="B1674" s="26" t="s">
        <v>3564</v>
      </c>
      <c r="C1674" s="26" t="s">
        <v>27</v>
      </c>
      <c r="D1674" s="28" t="s">
        <v>3565</v>
      </c>
      <c r="E1674" s="26">
        <v>0</v>
      </c>
      <c r="F1674" s="29" t="s">
        <v>229</v>
      </c>
    </row>
    <row r="1675" spans="1:6" ht="29" x14ac:dyDescent="0.35">
      <c r="A1675" s="26" t="s">
        <v>216</v>
      </c>
      <c r="B1675" s="26" t="s">
        <v>3566</v>
      </c>
      <c r="C1675" s="26" t="s">
        <v>24</v>
      </c>
      <c r="D1675" s="28" t="s">
        <v>3567</v>
      </c>
      <c r="E1675" s="26">
        <v>0</v>
      </c>
      <c r="F1675" s="29" t="s">
        <v>232</v>
      </c>
    </row>
    <row r="1676" spans="1:6" ht="43.5" x14ac:dyDescent="0.35">
      <c r="A1676" s="26" t="s">
        <v>216</v>
      </c>
      <c r="B1676" s="26" t="s">
        <v>3568</v>
      </c>
      <c r="C1676" s="26" t="s">
        <v>15</v>
      </c>
      <c r="D1676" s="28" t="s">
        <v>218</v>
      </c>
      <c r="E1676" s="26" t="s">
        <v>3569</v>
      </c>
      <c r="F1676" s="29" t="s">
        <v>220</v>
      </c>
    </row>
    <row r="1677" spans="1:6" ht="29" x14ac:dyDescent="0.35">
      <c r="A1677" s="26" t="s">
        <v>216</v>
      </c>
      <c r="B1677" s="26" t="s">
        <v>3570</v>
      </c>
      <c r="C1677" s="26" t="s">
        <v>17</v>
      </c>
      <c r="D1677" s="28" t="s">
        <v>3571</v>
      </c>
      <c r="E1677" s="26">
        <v>13436</v>
      </c>
      <c r="F1677" s="29" t="s">
        <v>247</v>
      </c>
    </row>
    <row r="1678" spans="1:6" ht="29" x14ac:dyDescent="0.35">
      <c r="A1678" s="26" t="s">
        <v>216</v>
      </c>
      <c r="B1678" s="26" t="s">
        <v>3572</v>
      </c>
      <c r="C1678" s="26" t="s">
        <v>20</v>
      </c>
      <c r="D1678" s="28" t="s">
        <v>3573</v>
      </c>
      <c r="E1678" s="26">
        <v>13436</v>
      </c>
      <c r="F1678" s="29" t="s">
        <v>223</v>
      </c>
    </row>
    <row r="1679" spans="1:6" ht="58" x14ac:dyDescent="0.35">
      <c r="A1679" s="26" t="s">
        <v>216</v>
      </c>
      <c r="B1679" s="26" t="s">
        <v>3574</v>
      </c>
      <c r="C1679" s="26" t="s">
        <v>25</v>
      </c>
      <c r="D1679" s="28" t="s">
        <v>3575</v>
      </c>
      <c r="E1679" s="26">
        <v>0</v>
      </c>
      <c r="F1679" s="29" t="s">
        <v>226</v>
      </c>
    </row>
    <row r="1680" spans="1:6" ht="43.5" x14ac:dyDescent="0.35">
      <c r="A1680" s="26" t="s">
        <v>216</v>
      </c>
      <c r="B1680" s="26" t="s">
        <v>3576</v>
      </c>
      <c r="C1680" s="26" t="s">
        <v>27</v>
      </c>
      <c r="D1680" s="28" t="s">
        <v>3577</v>
      </c>
      <c r="E1680" s="26">
        <v>0</v>
      </c>
      <c r="F1680" s="29" t="s">
        <v>229</v>
      </c>
    </row>
    <row r="1681" spans="1:6" ht="29" x14ac:dyDescent="0.35">
      <c r="A1681" s="26" t="s">
        <v>216</v>
      </c>
      <c r="B1681" s="26" t="s">
        <v>3578</v>
      </c>
      <c r="C1681" s="26" t="s">
        <v>24</v>
      </c>
      <c r="D1681" s="28" t="s">
        <v>3579</v>
      </c>
      <c r="E1681" s="26">
        <v>0</v>
      </c>
      <c r="F1681" s="29" t="s">
        <v>232</v>
      </c>
    </row>
    <row r="1682" spans="1:6" ht="43.5" x14ac:dyDescent="0.35">
      <c r="A1682" s="26" t="s">
        <v>216</v>
      </c>
      <c r="B1682" s="26" t="s">
        <v>3580</v>
      </c>
      <c r="C1682" s="26" t="s">
        <v>15</v>
      </c>
      <c r="D1682" s="28" t="s">
        <v>218</v>
      </c>
      <c r="E1682" s="26" t="s">
        <v>3581</v>
      </c>
      <c r="F1682" s="29" t="s">
        <v>220</v>
      </c>
    </row>
    <row r="1683" spans="1:6" ht="29" x14ac:dyDescent="0.35">
      <c r="A1683" s="26" t="s">
        <v>216</v>
      </c>
      <c r="B1683" s="26" t="s">
        <v>3582</v>
      </c>
      <c r="C1683" s="26" t="s">
        <v>17</v>
      </c>
      <c r="D1683" s="28" t="s">
        <v>3583</v>
      </c>
      <c r="E1683" s="26">
        <v>13436</v>
      </c>
      <c r="F1683" s="29" t="s">
        <v>247</v>
      </c>
    </row>
    <row r="1684" spans="1:6" ht="29" x14ac:dyDescent="0.35">
      <c r="A1684" s="26" t="s">
        <v>216</v>
      </c>
      <c r="B1684" s="26" t="s">
        <v>3584</v>
      </c>
      <c r="C1684" s="26" t="s">
        <v>20</v>
      </c>
      <c r="D1684" s="28" t="s">
        <v>3585</v>
      </c>
      <c r="E1684" s="26">
        <v>13436</v>
      </c>
      <c r="F1684" s="29" t="s">
        <v>223</v>
      </c>
    </row>
    <row r="1685" spans="1:6" ht="58" x14ac:dyDescent="0.35">
      <c r="A1685" s="26" t="s">
        <v>216</v>
      </c>
      <c r="B1685" s="26" t="s">
        <v>3586</v>
      </c>
      <c r="C1685" s="26" t="s">
        <v>25</v>
      </c>
      <c r="D1685" s="28" t="s">
        <v>3587</v>
      </c>
      <c r="E1685" s="26">
        <v>0</v>
      </c>
      <c r="F1685" s="29" t="s">
        <v>226</v>
      </c>
    </row>
    <row r="1686" spans="1:6" ht="43.5" x14ac:dyDescent="0.35">
      <c r="A1686" s="26" t="s">
        <v>216</v>
      </c>
      <c r="B1686" s="26" t="s">
        <v>3588</v>
      </c>
      <c r="C1686" s="26" t="s">
        <v>27</v>
      </c>
      <c r="D1686" s="28" t="s">
        <v>3589</v>
      </c>
      <c r="E1686" s="26">
        <v>0</v>
      </c>
      <c r="F1686" s="29" t="s">
        <v>229</v>
      </c>
    </row>
    <row r="1687" spans="1:6" ht="29" x14ac:dyDescent="0.35">
      <c r="A1687" s="26" t="s">
        <v>216</v>
      </c>
      <c r="B1687" s="26" t="s">
        <v>3590</v>
      </c>
      <c r="C1687" s="26" t="s">
        <v>24</v>
      </c>
      <c r="D1687" s="28" t="s">
        <v>3591</v>
      </c>
      <c r="E1687" s="26">
        <v>0</v>
      </c>
      <c r="F1687" s="29" t="s">
        <v>232</v>
      </c>
    </row>
    <row r="1688" spans="1:6" ht="43.5" x14ac:dyDescent="0.35">
      <c r="A1688" s="26" t="s">
        <v>216</v>
      </c>
      <c r="B1688" s="26" t="s">
        <v>3592</v>
      </c>
      <c r="C1688" s="26" t="s">
        <v>15</v>
      </c>
      <c r="D1688" s="28" t="s">
        <v>218</v>
      </c>
      <c r="E1688" s="26" t="s">
        <v>3593</v>
      </c>
      <c r="F1688" s="29" t="s">
        <v>220</v>
      </c>
    </row>
    <row r="1689" spans="1:6" ht="29" x14ac:dyDescent="0.35">
      <c r="A1689" s="26" t="s">
        <v>216</v>
      </c>
      <c r="B1689" s="26" t="s">
        <v>3594</v>
      </c>
      <c r="C1689" s="26" t="s">
        <v>17</v>
      </c>
      <c r="D1689" s="28" t="s">
        <v>3595</v>
      </c>
      <c r="E1689" s="26">
        <v>13436</v>
      </c>
      <c r="F1689" s="29" t="s">
        <v>247</v>
      </c>
    </row>
    <row r="1690" spans="1:6" ht="29" x14ac:dyDescent="0.35">
      <c r="A1690" s="26" t="s">
        <v>216</v>
      </c>
      <c r="B1690" s="26" t="s">
        <v>3596</v>
      </c>
      <c r="C1690" s="26" t="s">
        <v>20</v>
      </c>
      <c r="D1690" s="28" t="s">
        <v>3597</v>
      </c>
      <c r="E1690" s="26">
        <v>13436</v>
      </c>
      <c r="F1690" s="29" t="s">
        <v>223</v>
      </c>
    </row>
    <row r="1691" spans="1:6" ht="58" x14ac:dyDescent="0.35">
      <c r="A1691" s="26" t="s">
        <v>216</v>
      </c>
      <c r="B1691" s="26" t="s">
        <v>3598</v>
      </c>
      <c r="C1691" s="26" t="s">
        <v>25</v>
      </c>
      <c r="D1691" s="28" t="s">
        <v>3599</v>
      </c>
      <c r="E1691" s="26">
        <v>0</v>
      </c>
      <c r="F1691" s="29" t="s">
        <v>226</v>
      </c>
    </row>
    <row r="1692" spans="1:6" ht="43.5" x14ac:dyDescent="0.35">
      <c r="A1692" s="26" t="s">
        <v>216</v>
      </c>
      <c r="B1692" s="26" t="s">
        <v>3600</v>
      </c>
      <c r="C1692" s="26" t="s">
        <v>27</v>
      </c>
      <c r="D1692" s="28" t="s">
        <v>3601</v>
      </c>
      <c r="E1692" s="26">
        <v>0</v>
      </c>
      <c r="F1692" s="29" t="s">
        <v>229</v>
      </c>
    </row>
    <row r="1693" spans="1:6" ht="29" x14ac:dyDescent="0.35">
      <c r="A1693" s="26" t="s">
        <v>216</v>
      </c>
      <c r="B1693" s="26" t="s">
        <v>3602</v>
      </c>
      <c r="C1693" s="26" t="s">
        <v>24</v>
      </c>
      <c r="D1693" s="28" t="s">
        <v>3603</v>
      </c>
      <c r="E1693" s="26">
        <v>0</v>
      </c>
      <c r="F1693" s="29" t="s">
        <v>232</v>
      </c>
    </row>
    <row r="1694" spans="1:6" ht="43.5" x14ac:dyDescent="0.35">
      <c r="A1694" s="26" t="s">
        <v>216</v>
      </c>
      <c r="B1694" s="26" t="s">
        <v>3604</v>
      </c>
      <c r="C1694" s="26" t="s">
        <v>15</v>
      </c>
      <c r="D1694" s="28" t="s">
        <v>218</v>
      </c>
      <c r="E1694" s="26" t="s">
        <v>3605</v>
      </c>
      <c r="F1694" s="29" t="s">
        <v>220</v>
      </c>
    </row>
    <row r="1695" spans="1:6" ht="29" x14ac:dyDescent="0.35">
      <c r="A1695" s="26" t="s">
        <v>216</v>
      </c>
      <c r="B1695" s="26" t="s">
        <v>3606</v>
      </c>
      <c r="C1695" s="26" t="s">
        <v>17</v>
      </c>
      <c r="D1695" s="28" t="s">
        <v>3607</v>
      </c>
      <c r="E1695" s="26">
        <v>13436</v>
      </c>
      <c r="F1695" s="29" t="s">
        <v>247</v>
      </c>
    </row>
    <row r="1696" spans="1:6" ht="29" x14ac:dyDescent="0.35">
      <c r="A1696" s="26" t="s">
        <v>216</v>
      </c>
      <c r="B1696" s="26" t="s">
        <v>3608</v>
      </c>
      <c r="C1696" s="26" t="s">
        <v>20</v>
      </c>
      <c r="D1696" s="28" t="s">
        <v>3609</v>
      </c>
      <c r="E1696" s="26">
        <v>13436</v>
      </c>
      <c r="F1696" s="29" t="s">
        <v>223</v>
      </c>
    </row>
    <row r="1697" spans="1:6" ht="58" x14ac:dyDescent="0.35">
      <c r="A1697" s="26" t="s">
        <v>216</v>
      </c>
      <c r="B1697" s="26" t="s">
        <v>3610</v>
      </c>
      <c r="C1697" s="26" t="s">
        <v>25</v>
      </c>
      <c r="D1697" s="28" t="s">
        <v>3611</v>
      </c>
      <c r="E1697" s="26">
        <v>0</v>
      </c>
      <c r="F1697" s="29" t="s">
        <v>226</v>
      </c>
    </row>
    <row r="1698" spans="1:6" ht="43.5" x14ac:dyDescent="0.35">
      <c r="A1698" s="26" t="s">
        <v>216</v>
      </c>
      <c r="B1698" s="26" t="s">
        <v>3612</v>
      </c>
      <c r="C1698" s="26" t="s">
        <v>27</v>
      </c>
      <c r="D1698" s="28" t="s">
        <v>3613</v>
      </c>
      <c r="E1698" s="26">
        <v>0</v>
      </c>
      <c r="F1698" s="29" t="s">
        <v>229</v>
      </c>
    </row>
    <row r="1699" spans="1:6" ht="29" x14ac:dyDescent="0.35">
      <c r="A1699" s="26" t="s">
        <v>216</v>
      </c>
      <c r="B1699" s="26" t="s">
        <v>3614</v>
      </c>
      <c r="C1699" s="26" t="s">
        <v>24</v>
      </c>
      <c r="D1699" s="28" t="s">
        <v>3615</v>
      </c>
      <c r="E1699" s="26">
        <v>0</v>
      </c>
      <c r="F1699" s="29" t="s">
        <v>232</v>
      </c>
    </row>
    <row r="1700" spans="1:6" ht="43.5" x14ac:dyDescent="0.35">
      <c r="A1700" s="26" t="s">
        <v>216</v>
      </c>
      <c r="B1700" s="26" t="s">
        <v>3616</v>
      </c>
      <c r="C1700" s="26" t="s">
        <v>15</v>
      </c>
      <c r="D1700" s="28" t="s">
        <v>218</v>
      </c>
      <c r="E1700" s="26" t="s">
        <v>3617</v>
      </c>
      <c r="F1700" s="29" t="s">
        <v>220</v>
      </c>
    </row>
    <row r="1701" spans="1:6" ht="29" x14ac:dyDescent="0.35">
      <c r="A1701" s="26" t="s">
        <v>216</v>
      </c>
      <c r="B1701" s="26" t="s">
        <v>3618</v>
      </c>
      <c r="C1701" s="26" t="s">
        <v>17</v>
      </c>
      <c r="D1701" s="28" t="s">
        <v>3619</v>
      </c>
      <c r="E1701" s="26">
        <v>13436</v>
      </c>
      <c r="F1701" s="29" t="s">
        <v>247</v>
      </c>
    </row>
    <row r="1702" spans="1:6" ht="29" x14ac:dyDescent="0.35">
      <c r="A1702" s="26" t="s">
        <v>216</v>
      </c>
      <c r="B1702" s="26" t="s">
        <v>3620</v>
      </c>
      <c r="C1702" s="26" t="s">
        <v>20</v>
      </c>
      <c r="D1702" s="28" t="s">
        <v>3621</v>
      </c>
      <c r="E1702" s="26">
        <v>13436</v>
      </c>
      <c r="F1702" s="29" t="s">
        <v>223</v>
      </c>
    </row>
    <row r="1703" spans="1:6" ht="58" x14ac:dyDescent="0.35">
      <c r="A1703" s="26" t="s">
        <v>216</v>
      </c>
      <c r="B1703" s="26" t="s">
        <v>3622</v>
      </c>
      <c r="C1703" s="26" t="s">
        <v>25</v>
      </c>
      <c r="D1703" s="28" t="s">
        <v>3623</v>
      </c>
      <c r="E1703" s="26">
        <v>0</v>
      </c>
      <c r="F1703" s="29" t="s">
        <v>226</v>
      </c>
    </row>
    <row r="1704" spans="1:6" ht="43.5" x14ac:dyDescent="0.35">
      <c r="A1704" s="26" t="s">
        <v>216</v>
      </c>
      <c r="B1704" s="26" t="s">
        <v>3624</v>
      </c>
      <c r="C1704" s="26" t="s">
        <v>27</v>
      </c>
      <c r="D1704" s="28" t="s">
        <v>3625</v>
      </c>
      <c r="E1704" s="26">
        <v>0</v>
      </c>
      <c r="F1704" s="29" t="s">
        <v>229</v>
      </c>
    </row>
    <row r="1705" spans="1:6" ht="29" x14ac:dyDescent="0.35">
      <c r="A1705" s="26" t="s">
        <v>216</v>
      </c>
      <c r="B1705" s="26" t="s">
        <v>3626</v>
      </c>
      <c r="C1705" s="26" t="s">
        <v>24</v>
      </c>
      <c r="D1705" s="28" t="s">
        <v>3627</v>
      </c>
      <c r="E1705" s="26">
        <v>0</v>
      </c>
      <c r="F1705" s="29" t="s">
        <v>232</v>
      </c>
    </row>
    <row r="1706" spans="1:6" ht="43.5" x14ac:dyDescent="0.35">
      <c r="A1706" s="26" t="s">
        <v>216</v>
      </c>
      <c r="B1706" s="26" t="s">
        <v>3628</v>
      </c>
      <c r="C1706" s="26" t="s">
        <v>15</v>
      </c>
      <c r="D1706" s="28" t="s">
        <v>218</v>
      </c>
      <c r="E1706" s="26" t="s">
        <v>3629</v>
      </c>
      <c r="F1706" s="29" t="s">
        <v>220</v>
      </c>
    </row>
    <row r="1707" spans="1:6" ht="29" x14ac:dyDescent="0.35">
      <c r="A1707" s="26" t="s">
        <v>216</v>
      </c>
      <c r="B1707" s="26" t="s">
        <v>3630</v>
      </c>
      <c r="C1707" s="26" t="s">
        <v>17</v>
      </c>
      <c r="D1707" s="28" t="s">
        <v>3631</v>
      </c>
      <c r="E1707" s="26">
        <v>13436</v>
      </c>
      <c r="F1707" s="29" t="s">
        <v>247</v>
      </c>
    </row>
    <row r="1708" spans="1:6" ht="29" x14ac:dyDescent="0.35">
      <c r="A1708" s="26" t="s">
        <v>216</v>
      </c>
      <c r="B1708" s="26" t="s">
        <v>3632</v>
      </c>
      <c r="C1708" s="26" t="s">
        <v>20</v>
      </c>
      <c r="D1708" s="28" t="s">
        <v>3633</v>
      </c>
      <c r="E1708" s="26">
        <v>13436</v>
      </c>
      <c r="F1708" s="29" t="s">
        <v>223</v>
      </c>
    </row>
    <row r="1709" spans="1:6" ht="58" x14ac:dyDescent="0.35">
      <c r="A1709" s="26" t="s">
        <v>216</v>
      </c>
      <c r="B1709" s="26" t="s">
        <v>3634</v>
      </c>
      <c r="C1709" s="26" t="s">
        <v>25</v>
      </c>
      <c r="D1709" s="28" t="s">
        <v>3635</v>
      </c>
      <c r="E1709" s="26">
        <v>0</v>
      </c>
      <c r="F1709" s="29" t="s">
        <v>226</v>
      </c>
    </row>
    <row r="1710" spans="1:6" ht="43.5" x14ac:dyDescent="0.35">
      <c r="A1710" s="26" t="s">
        <v>216</v>
      </c>
      <c r="B1710" s="26" t="s">
        <v>3636</v>
      </c>
      <c r="C1710" s="26" t="s">
        <v>27</v>
      </c>
      <c r="D1710" s="28" t="s">
        <v>3637</v>
      </c>
      <c r="E1710" s="26">
        <v>0</v>
      </c>
      <c r="F1710" s="29" t="s">
        <v>229</v>
      </c>
    </row>
    <row r="1711" spans="1:6" ht="29" x14ac:dyDescent="0.35">
      <c r="A1711" s="26" t="s">
        <v>216</v>
      </c>
      <c r="B1711" s="26" t="s">
        <v>3638</v>
      </c>
      <c r="C1711" s="26" t="s">
        <v>24</v>
      </c>
      <c r="D1711" s="28" t="s">
        <v>3639</v>
      </c>
      <c r="E1711" s="26">
        <v>0</v>
      </c>
      <c r="F1711" s="29" t="s">
        <v>232</v>
      </c>
    </row>
    <row r="1712" spans="1:6" ht="43.5" x14ac:dyDescent="0.35">
      <c r="A1712" s="26" t="s">
        <v>216</v>
      </c>
      <c r="B1712" s="26" t="s">
        <v>3640</v>
      </c>
      <c r="C1712" s="26" t="s">
        <v>15</v>
      </c>
      <c r="D1712" s="28" t="s">
        <v>218</v>
      </c>
      <c r="E1712" s="26" t="s">
        <v>3641</v>
      </c>
      <c r="F1712" s="29" t="s">
        <v>220</v>
      </c>
    </row>
    <row r="1713" spans="1:6" ht="29" x14ac:dyDescent="0.35">
      <c r="A1713" s="26" t="s">
        <v>216</v>
      </c>
      <c r="B1713" s="26" t="s">
        <v>3642</v>
      </c>
      <c r="C1713" s="26" t="s">
        <v>17</v>
      </c>
      <c r="D1713" s="28" t="s">
        <v>3643</v>
      </c>
      <c r="E1713" s="26">
        <v>13436</v>
      </c>
      <c r="F1713" s="29" t="s">
        <v>247</v>
      </c>
    </row>
    <row r="1714" spans="1:6" ht="29" x14ac:dyDescent="0.35">
      <c r="A1714" s="26" t="s">
        <v>216</v>
      </c>
      <c r="B1714" s="26" t="s">
        <v>3644</v>
      </c>
      <c r="C1714" s="26" t="s">
        <v>20</v>
      </c>
      <c r="D1714" s="28" t="s">
        <v>3645</v>
      </c>
      <c r="E1714" s="26">
        <v>13436</v>
      </c>
      <c r="F1714" s="29" t="s">
        <v>223</v>
      </c>
    </row>
    <row r="1715" spans="1:6" ht="58" x14ac:dyDescent="0.35">
      <c r="A1715" s="26" t="s">
        <v>216</v>
      </c>
      <c r="B1715" s="26" t="s">
        <v>3646</v>
      </c>
      <c r="C1715" s="26" t="s">
        <v>25</v>
      </c>
      <c r="D1715" s="28" t="s">
        <v>3647</v>
      </c>
      <c r="E1715" s="26">
        <v>0</v>
      </c>
      <c r="F1715" s="29" t="s">
        <v>226</v>
      </c>
    </row>
    <row r="1716" spans="1:6" ht="43.5" x14ac:dyDescent="0.35">
      <c r="A1716" s="26" t="s">
        <v>216</v>
      </c>
      <c r="B1716" s="26" t="s">
        <v>3648</v>
      </c>
      <c r="C1716" s="26" t="s">
        <v>27</v>
      </c>
      <c r="D1716" s="28" t="s">
        <v>3649</v>
      </c>
      <c r="E1716" s="26">
        <v>0</v>
      </c>
      <c r="F1716" s="29" t="s">
        <v>229</v>
      </c>
    </row>
    <row r="1717" spans="1:6" ht="29" x14ac:dyDescent="0.35">
      <c r="A1717" s="26" t="s">
        <v>216</v>
      </c>
      <c r="B1717" s="26" t="s">
        <v>3650</v>
      </c>
      <c r="C1717" s="26" t="s">
        <v>24</v>
      </c>
      <c r="D1717" s="28" t="s">
        <v>3651</v>
      </c>
      <c r="E1717" s="26">
        <v>0</v>
      </c>
      <c r="F1717" s="29" t="s">
        <v>232</v>
      </c>
    </row>
    <row r="1718" spans="1:6" ht="43.5" x14ac:dyDescent="0.35">
      <c r="A1718" s="26" t="s">
        <v>216</v>
      </c>
      <c r="B1718" s="26" t="s">
        <v>3652</v>
      </c>
      <c r="C1718" s="26" t="s">
        <v>15</v>
      </c>
      <c r="D1718" s="28" t="s">
        <v>218</v>
      </c>
      <c r="E1718" s="26" t="s">
        <v>3653</v>
      </c>
      <c r="F1718" s="29" t="s">
        <v>220</v>
      </c>
    </row>
    <row r="1719" spans="1:6" ht="29" x14ac:dyDescent="0.35">
      <c r="A1719" s="26" t="s">
        <v>216</v>
      </c>
      <c r="B1719" s="26" t="s">
        <v>3654</v>
      </c>
      <c r="C1719" s="26" t="s">
        <v>17</v>
      </c>
      <c r="D1719" s="28" t="s">
        <v>3655</v>
      </c>
      <c r="E1719" s="26">
        <v>13436</v>
      </c>
      <c r="F1719" s="29" t="s">
        <v>247</v>
      </c>
    </row>
    <row r="1720" spans="1:6" ht="29" x14ac:dyDescent="0.35">
      <c r="A1720" s="26" t="s">
        <v>216</v>
      </c>
      <c r="B1720" s="26" t="s">
        <v>3656</v>
      </c>
      <c r="C1720" s="26" t="s">
        <v>20</v>
      </c>
      <c r="D1720" s="28" t="s">
        <v>3657</v>
      </c>
      <c r="E1720" s="26">
        <v>13436</v>
      </c>
      <c r="F1720" s="29" t="s">
        <v>223</v>
      </c>
    </row>
    <row r="1721" spans="1:6" ht="58" x14ac:dyDescent="0.35">
      <c r="A1721" s="26" t="s">
        <v>216</v>
      </c>
      <c r="B1721" s="26" t="s">
        <v>3658</v>
      </c>
      <c r="C1721" s="26" t="s">
        <v>25</v>
      </c>
      <c r="D1721" s="28" t="s">
        <v>3659</v>
      </c>
      <c r="E1721" s="26">
        <v>0</v>
      </c>
      <c r="F1721" s="29" t="s">
        <v>226</v>
      </c>
    </row>
    <row r="1722" spans="1:6" ht="43.5" x14ac:dyDescent="0.35">
      <c r="A1722" s="26" t="s">
        <v>216</v>
      </c>
      <c r="B1722" s="26" t="s">
        <v>3660</v>
      </c>
      <c r="C1722" s="26" t="s">
        <v>27</v>
      </c>
      <c r="D1722" s="28" t="s">
        <v>3661</v>
      </c>
      <c r="E1722" s="26">
        <v>0</v>
      </c>
      <c r="F1722" s="29" t="s">
        <v>229</v>
      </c>
    </row>
    <row r="1723" spans="1:6" ht="29" x14ac:dyDescent="0.35">
      <c r="A1723" s="26" t="s">
        <v>216</v>
      </c>
      <c r="B1723" s="26" t="s">
        <v>3662</v>
      </c>
      <c r="C1723" s="26" t="s">
        <v>24</v>
      </c>
      <c r="D1723" s="28" t="s">
        <v>3663</v>
      </c>
      <c r="E1723" s="26">
        <v>0</v>
      </c>
      <c r="F1723" s="29" t="s">
        <v>232</v>
      </c>
    </row>
    <row r="1724" spans="1:6" ht="43.5" x14ac:dyDescent="0.35">
      <c r="A1724" s="26" t="s">
        <v>216</v>
      </c>
      <c r="B1724" s="26" t="s">
        <v>3664</v>
      </c>
      <c r="C1724" s="26" t="s">
        <v>15</v>
      </c>
      <c r="D1724" s="28" t="s">
        <v>218</v>
      </c>
      <c r="E1724" s="26" t="s">
        <v>3665</v>
      </c>
      <c r="F1724" s="29" t="s">
        <v>220</v>
      </c>
    </row>
    <row r="1725" spans="1:6" ht="29" x14ac:dyDescent="0.35">
      <c r="A1725" s="26" t="s">
        <v>216</v>
      </c>
      <c r="B1725" s="26" t="s">
        <v>3666</v>
      </c>
      <c r="C1725" s="26" t="s">
        <v>17</v>
      </c>
      <c r="D1725" s="28" t="s">
        <v>3667</v>
      </c>
      <c r="E1725" s="26">
        <v>13436</v>
      </c>
      <c r="F1725" s="29" t="s">
        <v>247</v>
      </c>
    </row>
    <row r="1726" spans="1:6" ht="29" x14ac:dyDescent="0.35">
      <c r="A1726" s="26" t="s">
        <v>216</v>
      </c>
      <c r="B1726" s="26" t="s">
        <v>3668</v>
      </c>
      <c r="C1726" s="26" t="s">
        <v>20</v>
      </c>
      <c r="D1726" s="28" t="s">
        <v>3669</v>
      </c>
      <c r="E1726" s="26">
        <v>13436</v>
      </c>
      <c r="F1726" s="29" t="s">
        <v>223</v>
      </c>
    </row>
    <row r="1727" spans="1:6" ht="58" x14ac:dyDescent="0.35">
      <c r="A1727" s="26" t="s">
        <v>216</v>
      </c>
      <c r="B1727" s="26" t="s">
        <v>3670</v>
      </c>
      <c r="C1727" s="26" t="s">
        <v>25</v>
      </c>
      <c r="D1727" s="28" t="s">
        <v>3671</v>
      </c>
      <c r="E1727" s="26">
        <v>0</v>
      </c>
      <c r="F1727" s="29" t="s">
        <v>226</v>
      </c>
    </row>
    <row r="1728" spans="1:6" ht="43.5" x14ac:dyDescent="0.35">
      <c r="A1728" s="26" t="s">
        <v>216</v>
      </c>
      <c r="B1728" s="26" t="s">
        <v>3672</v>
      </c>
      <c r="C1728" s="26" t="s">
        <v>27</v>
      </c>
      <c r="D1728" s="28" t="s">
        <v>3673</v>
      </c>
      <c r="E1728" s="26">
        <v>0</v>
      </c>
      <c r="F1728" s="29" t="s">
        <v>229</v>
      </c>
    </row>
    <row r="1729" spans="1:6" ht="29" x14ac:dyDescent="0.35">
      <c r="A1729" s="26" t="s">
        <v>216</v>
      </c>
      <c r="B1729" s="26" t="s">
        <v>3674</v>
      </c>
      <c r="C1729" s="26" t="s">
        <v>24</v>
      </c>
      <c r="D1729" s="28" t="s">
        <v>3675</v>
      </c>
      <c r="E1729" s="26">
        <v>0</v>
      </c>
      <c r="F1729" s="29" t="s">
        <v>232</v>
      </c>
    </row>
    <row r="1730" spans="1:6" ht="43.5" x14ac:dyDescent="0.35">
      <c r="A1730" s="26" t="s">
        <v>216</v>
      </c>
      <c r="B1730" s="26" t="s">
        <v>3676</v>
      </c>
      <c r="C1730" s="26" t="s">
        <v>15</v>
      </c>
      <c r="D1730" s="28" t="s">
        <v>218</v>
      </c>
      <c r="E1730" s="26" t="s">
        <v>3677</v>
      </c>
      <c r="F1730" s="29" t="s">
        <v>220</v>
      </c>
    </row>
    <row r="1731" spans="1:6" ht="29" x14ac:dyDescent="0.35">
      <c r="A1731" s="26" t="s">
        <v>216</v>
      </c>
      <c r="B1731" s="26" t="s">
        <v>3678</v>
      </c>
      <c r="C1731" s="26" t="s">
        <v>17</v>
      </c>
      <c r="D1731" s="28" t="s">
        <v>3679</v>
      </c>
      <c r="E1731" s="26">
        <v>13436</v>
      </c>
      <c r="F1731" s="29" t="s">
        <v>247</v>
      </c>
    </row>
    <row r="1732" spans="1:6" ht="29" x14ac:dyDescent="0.35">
      <c r="A1732" s="26" t="s">
        <v>216</v>
      </c>
      <c r="B1732" s="26" t="s">
        <v>3680</v>
      </c>
      <c r="C1732" s="26" t="s">
        <v>20</v>
      </c>
      <c r="D1732" s="28" t="s">
        <v>3681</v>
      </c>
      <c r="E1732" s="26">
        <v>13436</v>
      </c>
      <c r="F1732" s="29" t="s">
        <v>223</v>
      </c>
    </row>
    <row r="1733" spans="1:6" ht="58" x14ac:dyDescent="0.35">
      <c r="A1733" s="26" t="s">
        <v>216</v>
      </c>
      <c r="B1733" s="26" t="s">
        <v>3682</v>
      </c>
      <c r="C1733" s="26" t="s">
        <v>25</v>
      </c>
      <c r="D1733" s="28" t="s">
        <v>3683</v>
      </c>
      <c r="E1733" s="26">
        <v>0</v>
      </c>
      <c r="F1733" s="29" t="s">
        <v>226</v>
      </c>
    </row>
    <row r="1734" spans="1:6" ht="43.5" x14ac:dyDescent="0.35">
      <c r="A1734" s="26" t="s">
        <v>216</v>
      </c>
      <c r="B1734" s="26" t="s">
        <v>3684</v>
      </c>
      <c r="C1734" s="26" t="s">
        <v>27</v>
      </c>
      <c r="D1734" s="28" t="s">
        <v>3685</v>
      </c>
      <c r="E1734" s="26">
        <v>0</v>
      </c>
      <c r="F1734" s="29" t="s">
        <v>229</v>
      </c>
    </row>
    <row r="1735" spans="1:6" ht="29" x14ac:dyDescent="0.35">
      <c r="A1735" s="26" t="s">
        <v>216</v>
      </c>
      <c r="B1735" s="26" t="s">
        <v>3686</v>
      </c>
      <c r="C1735" s="26" t="s">
        <v>24</v>
      </c>
      <c r="D1735" s="28" t="s">
        <v>3687</v>
      </c>
      <c r="E1735" s="26">
        <v>0</v>
      </c>
      <c r="F1735" s="29" t="s">
        <v>232</v>
      </c>
    </row>
    <row r="1736" spans="1:6" ht="43.5" x14ac:dyDescent="0.35">
      <c r="A1736" s="26" t="s">
        <v>216</v>
      </c>
      <c r="B1736" s="26" t="s">
        <v>3688</v>
      </c>
      <c r="C1736" s="26" t="s">
        <v>15</v>
      </c>
      <c r="D1736" s="28" t="s">
        <v>218</v>
      </c>
      <c r="E1736" s="26" t="s">
        <v>3689</v>
      </c>
      <c r="F1736" s="29" t="s">
        <v>220</v>
      </c>
    </row>
    <row r="1737" spans="1:6" ht="29" x14ac:dyDescent="0.35">
      <c r="A1737" s="26" t="s">
        <v>216</v>
      </c>
      <c r="B1737" s="26" t="s">
        <v>3690</v>
      </c>
      <c r="C1737" s="26" t="s">
        <v>17</v>
      </c>
      <c r="D1737" s="28" t="s">
        <v>3691</v>
      </c>
      <c r="E1737" s="26">
        <v>13436</v>
      </c>
      <c r="F1737" s="29" t="s">
        <v>247</v>
      </c>
    </row>
    <row r="1738" spans="1:6" ht="29" x14ac:dyDescent="0.35">
      <c r="A1738" s="26" t="s">
        <v>216</v>
      </c>
      <c r="B1738" s="26" t="s">
        <v>3692</v>
      </c>
      <c r="C1738" s="26" t="s">
        <v>20</v>
      </c>
      <c r="D1738" s="28" t="s">
        <v>3693</v>
      </c>
      <c r="E1738" s="26">
        <v>13436</v>
      </c>
      <c r="F1738" s="29" t="s">
        <v>223</v>
      </c>
    </row>
    <row r="1739" spans="1:6" ht="58" x14ac:dyDescent="0.35">
      <c r="A1739" s="26" t="s">
        <v>216</v>
      </c>
      <c r="B1739" s="26" t="s">
        <v>3694</v>
      </c>
      <c r="C1739" s="26" t="s">
        <v>25</v>
      </c>
      <c r="D1739" s="28" t="s">
        <v>3695</v>
      </c>
      <c r="E1739" s="26">
        <v>0</v>
      </c>
      <c r="F1739" s="29" t="s">
        <v>226</v>
      </c>
    </row>
    <row r="1740" spans="1:6" ht="43.5" x14ac:dyDescent="0.35">
      <c r="A1740" s="26" t="s">
        <v>216</v>
      </c>
      <c r="B1740" s="26" t="s">
        <v>3696</v>
      </c>
      <c r="C1740" s="26" t="s">
        <v>27</v>
      </c>
      <c r="D1740" s="28" t="s">
        <v>3697</v>
      </c>
      <c r="E1740" s="26">
        <v>0</v>
      </c>
      <c r="F1740" s="29" t="s">
        <v>229</v>
      </c>
    </row>
    <row r="1741" spans="1:6" ht="29" x14ac:dyDescent="0.35">
      <c r="A1741" s="26" t="s">
        <v>216</v>
      </c>
      <c r="B1741" s="26" t="s">
        <v>3698</v>
      </c>
      <c r="C1741" s="26" t="s">
        <v>24</v>
      </c>
      <c r="D1741" s="28" t="s">
        <v>3699</v>
      </c>
      <c r="E1741" s="26">
        <v>0</v>
      </c>
      <c r="F1741" s="29" t="s">
        <v>232</v>
      </c>
    </row>
    <row r="1742" spans="1:6" ht="43.5" x14ac:dyDescent="0.35">
      <c r="A1742" s="26" t="s">
        <v>216</v>
      </c>
      <c r="B1742" s="26" t="s">
        <v>3700</v>
      </c>
      <c r="C1742" s="26" t="s">
        <v>15</v>
      </c>
      <c r="D1742" s="28" t="s">
        <v>218</v>
      </c>
      <c r="E1742" s="26" t="s">
        <v>3701</v>
      </c>
      <c r="F1742" s="29" t="s">
        <v>220</v>
      </c>
    </row>
    <row r="1743" spans="1:6" ht="29" x14ac:dyDescent="0.35">
      <c r="A1743" s="26" t="s">
        <v>216</v>
      </c>
      <c r="B1743" s="26" t="s">
        <v>3702</v>
      </c>
      <c r="C1743" s="26" t="s">
        <v>17</v>
      </c>
      <c r="D1743" s="28" t="s">
        <v>3703</v>
      </c>
      <c r="E1743" s="26">
        <v>13436</v>
      </c>
      <c r="F1743" s="29" t="s">
        <v>247</v>
      </c>
    </row>
    <row r="1744" spans="1:6" ht="29" x14ac:dyDescent="0.35">
      <c r="A1744" s="26" t="s">
        <v>216</v>
      </c>
      <c r="B1744" s="26" t="s">
        <v>3704</v>
      </c>
      <c r="C1744" s="26" t="s">
        <v>20</v>
      </c>
      <c r="D1744" s="28" t="s">
        <v>3705</v>
      </c>
      <c r="E1744" s="26">
        <v>13436</v>
      </c>
      <c r="F1744" s="29" t="s">
        <v>223</v>
      </c>
    </row>
    <row r="1745" spans="1:6" ht="58" x14ac:dyDescent="0.35">
      <c r="A1745" s="26" t="s">
        <v>216</v>
      </c>
      <c r="B1745" s="26" t="s">
        <v>3706</v>
      </c>
      <c r="C1745" s="26" t="s">
        <v>25</v>
      </c>
      <c r="D1745" s="28" t="s">
        <v>3707</v>
      </c>
      <c r="E1745" s="26">
        <v>0</v>
      </c>
      <c r="F1745" s="29" t="s">
        <v>226</v>
      </c>
    </row>
    <row r="1746" spans="1:6" ht="43.5" x14ac:dyDescent="0.35">
      <c r="A1746" s="26" t="s">
        <v>216</v>
      </c>
      <c r="B1746" s="26" t="s">
        <v>3708</v>
      </c>
      <c r="C1746" s="26" t="s">
        <v>27</v>
      </c>
      <c r="D1746" s="28" t="s">
        <v>3709</v>
      </c>
      <c r="E1746" s="26">
        <v>0</v>
      </c>
      <c r="F1746" s="29" t="s">
        <v>229</v>
      </c>
    </row>
    <row r="1747" spans="1:6" ht="29" x14ac:dyDescent="0.35">
      <c r="A1747" s="26" t="s">
        <v>216</v>
      </c>
      <c r="B1747" s="26" t="s">
        <v>3710</v>
      </c>
      <c r="C1747" s="26" t="s">
        <v>24</v>
      </c>
      <c r="D1747" s="28" t="s">
        <v>3711</v>
      </c>
      <c r="E1747" s="26">
        <v>0</v>
      </c>
      <c r="F1747" s="29" t="s">
        <v>232</v>
      </c>
    </row>
    <row r="1748" spans="1:6" ht="43.5" x14ac:dyDescent="0.35">
      <c r="A1748" s="26" t="s">
        <v>216</v>
      </c>
      <c r="B1748" s="26" t="s">
        <v>3712</v>
      </c>
      <c r="C1748" s="26" t="s">
        <v>15</v>
      </c>
      <c r="D1748" s="28" t="s">
        <v>218</v>
      </c>
      <c r="E1748" s="26" t="s">
        <v>3713</v>
      </c>
      <c r="F1748" s="29" t="s">
        <v>220</v>
      </c>
    </row>
    <row r="1749" spans="1:6" ht="29" x14ac:dyDescent="0.35">
      <c r="A1749" s="26" t="s">
        <v>216</v>
      </c>
      <c r="B1749" s="26" t="s">
        <v>3714</v>
      </c>
      <c r="C1749" s="26" t="s">
        <v>17</v>
      </c>
      <c r="D1749" s="28" t="s">
        <v>3715</v>
      </c>
      <c r="E1749" s="26">
        <v>13436</v>
      </c>
      <c r="F1749" s="29" t="s">
        <v>247</v>
      </c>
    </row>
    <row r="1750" spans="1:6" ht="29" x14ac:dyDescent="0.35">
      <c r="A1750" s="26" t="s">
        <v>216</v>
      </c>
      <c r="B1750" s="26" t="s">
        <v>3716</v>
      </c>
      <c r="C1750" s="26" t="s">
        <v>20</v>
      </c>
      <c r="D1750" s="28" t="s">
        <v>3717</v>
      </c>
      <c r="E1750" s="26">
        <v>13436</v>
      </c>
      <c r="F1750" s="29" t="s">
        <v>223</v>
      </c>
    </row>
    <row r="1751" spans="1:6" ht="58" x14ac:dyDescent="0.35">
      <c r="A1751" s="26" t="s">
        <v>216</v>
      </c>
      <c r="B1751" s="26" t="s">
        <v>3718</v>
      </c>
      <c r="C1751" s="26" t="s">
        <v>25</v>
      </c>
      <c r="D1751" s="28" t="s">
        <v>3719</v>
      </c>
      <c r="E1751" s="26">
        <v>0</v>
      </c>
      <c r="F1751" s="29" t="s">
        <v>226</v>
      </c>
    </row>
    <row r="1752" spans="1:6" ht="43.5" x14ac:dyDescent="0.35">
      <c r="A1752" s="26" t="s">
        <v>216</v>
      </c>
      <c r="B1752" s="26" t="s">
        <v>3720</v>
      </c>
      <c r="C1752" s="26" t="s">
        <v>27</v>
      </c>
      <c r="D1752" s="28" t="s">
        <v>3721</v>
      </c>
      <c r="E1752" s="26">
        <v>0</v>
      </c>
      <c r="F1752" s="29" t="s">
        <v>229</v>
      </c>
    </row>
    <row r="1753" spans="1:6" ht="29" x14ac:dyDescent="0.35">
      <c r="A1753" s="26" t="s">
        <v>216</v>
      </c>
      <c r="B1753" s="26" t="s">
        <v>3722</v>
      </c>
      <c r="C1753" s="26" t="s">
        <v>24</v>
      </c>
      <c r="D1753" s="28" t="s">
        <v>3723</v>
      </c>
      <c r="E1753" s="26">
        <v>0</v>
      </c>
      <c r="F1753" s="29" t="s">
        <v>232</v>
      </c>
    </row>
    <row r="1754" spans="1:6" ht="43.5" x14ac:dyDescent="0.35">
      <c r="A1754" s="26" t="s">
        <v>216</v>
      </c>
      <c r="B1754" s="26" t="s">
        <v>3724</v>
      </c>
      <c r="C1754" s="26" t="s">
        <v>15</v>
      </c>
      <c r="D1754" s="28" t="s">
        <v>218</v>
      </c>
      <c r="E1754" s="26" t="s">
        <v>3725</v>
      </c>
      <c r="F1754" s="29" t="s">
        <v>220</v>
      </c>
    </row>
    <row r="1755" spans="1:6" ht="29" x14ac:dyDescent="0.35">
      <c r="A1755" s="26" t="s">
        <v>216</v>
      </c>
      <c r="B1755" s="26" t="s">
        <v>3726</v>
      </c>
      <c r="C1755" s="26" t="s">
        <v>17</v>
      </c>
      <c r="D1755" s="28" t="s">
        <v>3727</v>
      </c>
      <c r="E1755" s="26">
        <v>13436</v>
      </c>
      <c r="F1755" s="29" t="s">
        <v>247</v>
      </c>
    </row>
    <row r="1756" spans="1:6" ht="29" x14ac:dyDescent="0.35">
      <c r="A1756" s="26" t="s">
        <v>216</v>
      </c>
      <c r="B1756" s="26" t="s">
        <v>3728</v>
      </c>
      <c r="C1756" s="26" t="s">
        <v>20</v>
      </c>
      <c r="D1756" s="28" t="s">
        <v>3729</v>
      </c>
      <c r="E1756" s="26">
        <v>13436</v>
      </c>
      <c r="F1756" s="29" t="s">
        <v>223</v>
      </c>
    </row>
    <row r="1757" spans="1:6" ht="58" x14ac:dyDescent="0.35">
      <c r="A1757" s="26" t="s">
        <v>216</v>
      </c>
      <c r="B1757" s="26" t="s">
        <v>3730</v>
      </c>
      <c r="C1757" s="26" t="s">
        <v>25</v>
      </c>
      <c r="D1757" s="28" t="s">
        <v>3731</v>
      </c>
      <c r="E1757" s="26">
        <v>0</v>
      </c>
      <c r="F1757" s="29" t="s">
        <v>226</v>
      </c>
    </row>
    <row r="1758" spans="1:6" ht="43.5" x14ac:dyDescent="0.35">
      <c r="A1758" s="26" t="s">
        <v>216</v>
      </c>
      <c r="B1758" s="26" t="s">
        <v>3732</v>
      </c>
      <c r="C1758" s="26" t="s">
        <v>27</v>
      </c>
      <c r="D1758" s="28" t="s">
        <v>3733</v>
      </c>
      <c r="E1758" s="26">
        <v>0</v>
      </c>
      <c r="F1758" s="29" t="s">
        <v>229</v>
      </c>
    </row>
    <row r="1759" spans="1:6" ht="29" x14ac:dyDescent="0.35">
      <c r="A1759" s="26" t="s">
        <v>216</v>
      </c>
      <c r="B1759" s="26" t="s">
        <v>3734</v>
      </c>
      <c r="C1759" s="26" t="s">
        <v>24</v>
      </c>
      <c r="D1759" s="28" t="s">
        <v>3735</v>
      </c>
      <c r="E1759" s="26">
        <v>0</v>
      </c>
      <c r="F1759" s="29" t="s">
        <v>232</v>
      </c>
    </row>
    <row r="1760" spans="1:6" ht="43.5" x14ac:dyDescent="0.35">
      <c r="A1760" s="26" t="s">
        <v>216</v>
      </c>
      <c r="B1760" s="26" t="s">
        <v>3736</v>
      </c>
      <c r="C1760" s="26" t="s">
        <v>15</v>
      </c>
      <c r="D1760" s="28" t="s">
        <v>218</v>
      </c>
      <c r="E1760" s="26" t="s">
        <v>3737</v>
      </c>
      <c r="F1760" s="29" t="s">
        <v>220</v>
      </c>
    </row>
    <row r="1761" spans="1:6" ht="29" x14ac:dyDescent="0.35">
      <c r="A1761" s="26" t="s">
        <v>216</v>
      </c>
      <c r="B1761" s="26" t="s">
        <v>3738</v>
      </c>
      <c r="C1761" s="26" t="s">
        <v>17</v>
      </c>
      <c r="D1761" s="28" t="s">
        <v>3739</v>
      </c>
      <c r="E1761" s="26">
        <v>13436</v>
      </c>
      <c r="F1761" s="29" t="s">
        <v>247</v>
      </c>
    </row>
    <row r="1762" spans="1:6" ht="29" x14ac:dyDescent="0.35">
      <c r="A1762" s="26" t="s">
        <v>216</v>
      </c>
      <c r="B1762" s="26" t="s">
        <v>3740</v>
      </c>
      <c r="C1762" s="26" t="s">
        <v>20</v>
      </c>
      <c r="D1762" s="28" t="s">
        <v>3741</v>
      </c>
      <c r="E1762" s="26">
        <v>13436</v>
      </c>
      <c r="F1762" s="29" t="s">
        <v>223</v>
      </c>
    </row>
    <row r="1763" spans="1:6" ht="58" x14ac:dyDescent="0.35">
      <c r="A1763" s="26" t="s">
        <v>216</v>
      </c>
      <c r="B1763" s="26" t="s">
        <v>3742</v>
      </c>
      <c r="C1763" s="26" t="s">
        <v>25</v>
      </c>
      <c r="D1763" s="28" t="s">
        <v>3743</v>
      </c>
      <c r="E1763" s="26">
        <v>0</v>
      </c>
      <c r="F1763" s="29" t="s">
        <v>226</v>
      </c>
    </row>
    <row r="1764" spans="1:6" ht="43.5" x14ac:dyDescent="0.35">
      <c r="A1764" s="26" t="s">
        <v>216</v>
      </c>
      <c r="B1764" s="26" t="s">
        <v>3744</v>
      </c>
      <c r="C1764" s="26" t="s">
        <v>27</v>
      </c>
      <c r="D1764" s="28" t="s">
        <v>3745</v>
      </c>
      <c r="E1764" s="26">
        <v>0</v>
      </c>
      <c r="F1764" s="29" t="s">
        <v>229</v>
      </c>
    </row>
    <row r="1765" spans="1:6" ht="29" x14ac:dyDescent="0.35">
      <c r="A1765" s="26" t="s">
        <v>216</v>
      </c>
      <c r="B1765" s="26" t="s">
        <v>3746</v>
      </c>
      <c r="C1765" s="26" t="s">
        <v>24</v>
      </c>
      <c r="D1765" s="28" t="s">
        <v>3747</v>
      </c>
      <c r="E1765" s="26">
        <v>0</v>
      </c>
      <c r="F1765" s="29" t="s">
        <v>232</v>
      </c>
    </row>
    <row r="1766" spans="1:6" ht="43.5" x14ac:dyDescent="0.35">
      <c r="A1766" s="26" t="s">
        <v>216</v>
      </c>
      <c r="B1766" s="26" t="s">
        <v>3748</v>
      </c>
      <c r="C1766" s="26" t="s">
        <v>15</v>
      </c>
      <c r="D1766" s="28" t="s">
        <v>218</v>
      </c>
      <c r="E1766" s="26" t="s">
        <v>3749</v>
      </c>
      <c r="F1766" s="29" t="s">
        <v>220</v>
      </c>
    </row>
    <row r="1767" spans="1:6" ht="29" x14ac:dyDescent="0.35">
      <c r="A1767" s="26" t="s">
        <v>216</v>
      </c>
      <c r="B1767" s="26" t="s">
        <v>3750</v>
      </c>
      <c r="C1767" s="26" t="s">
        <v>17</v>
      </c>
      <c r="D1767" s="28" t="s">
        <v>3751</v>
      </c>
      <c r="E1767" s="26">
        <v>13436</v>
      </c>
      <c r="F1767" s="29" t="s">
        <v>247</v>
      </c>
    </row>
    <row r="1768" spans="1:6" ht="29" x14ac:dyDescent="0.35">
      <c r="A1768" s="26" t="s">
        <v>216</v>
      </c>
      <c r="B1768" s="26" t="s">
        <v>3752</v>
      </c>
      <c r="C1768" s="26" t="s">
        <v>20</v>
      </c>
      <c r="D1768" s="28" t="s">
        <v>3753</v>
      </c>
      <c r="E1768" s="26">
        <v>13436</v>
      </c>
      <c r="F1768" s="29" t="s">
        <v>223</v>
      </c>
    </row>
    <row r="1769" spans="1:6" ht="58" x14ac:dyDescent="0.35">
      <c r="A1769" s="26" t="s">
        <v>216</v>
      </c>
      <c r="B1769" s="26" t="s">
        <v>3754</v>
      </c>
      <c r="C1769" s="26" t="s">
        <v>25</v>
      </c>
      <c r="D1769" s="28" t="s">
        <v>3755</v>
      </c>
      <c r="E1769" s="26">
        <v>0</v>
      </c>
      <c r="F1769" s="29" t="s">
        <v>226</v>
      </c>
    </row>
    <row r="1770" spans="1:6" ht="43.5" x14ac:dyDescent="0.35">
      <c r="A1770" s="26" t="s">
        <v>216</v>
      </c>
      <c r="B1770" s="26" t="s">
        <v>3756</v>
      </c>
      <c r="C1770" s="26" t="s">
        <v>27</v>
      </c>
      <c r="D1770" s="28" t="s">
        <v>3757</v>
      </c>
      <c r="E1770" s="26">
        <v>0</v>
      </c>
      <c r="F1770" s="29" t="s">
        <v>229</v>
      </c>
    </row>
    <row r="1771" spans="1:6" ht="29" x14ac:dyDescent="0.35">
      <c r="A1771" s="26" t="s">
        <v>216</v>
      </c>
      <c r="B1771" s="26" t="s">
        <v>3758</v>
      </c>
      <c r="C1771" s="26" t="s">
        <v>24</v>
      </c>
      <c r="D1771" s="28" t="s">
        <v>3759</v>
      </c>
      <c r="E1771" s="26">
        <v>0</v>
      </c>
      <c r="F1771" s="29" t="s">
        <v>232</v>
      </c>
    </row>
    <row r="1772" spans="1:6" ht="43.5" x14ac:dyDescent="0.35">
      <c r="A1772" s="26" t="s">
        <v>216</v>
      </c>
      <c r="B1772" s="26" t="s">
        <v>3760</v>
      </c>
      <c r="C1772" s="26" t="s">
        <v>15</v>
      </c>
      <c r="D1772" s="28" t="s">
        <v>218</v>
      </c>
      <c r="E1772" s="26" t="s">
        <v>3761</v>
      </c>
      <c r="F1772" s="29" t="s">
        <v>220</v>
      </c>
    </row>
    <row r="1773" spans="1:6" ht="29" x14ac:dyDescent="0.35">
      <c r="A1773" s="26" t="s">
        <v>216</v>
      </c>
      <c r="B1773" s="26" t="s">
        <v>3762</v>
      </c>
      <c r="C1773" s="26" t="s">
        <v>17</v>
      </c>
      <c r="D1773" s="28" t="s">
        <v>3763</v>
      </c>
      <c r="E1773" s="26">
        <v>13436</v>
      </c>
      <c r="F1773" s="29" t="s">
        <v>247</v>
      </c>
    </row>
    <row r="1774" spans="1:6" ht="29" x14ac:dyDescent="0.35">
      <c r="A1774" s="26" t="s">
        <v>216</v>
      </c>
      <c r="B1774" s="26" t="s">
        <v>3764</v>
      </c>
      <c r="C1774" s="26" t="s">
        <v>20</v>
      </c>
      <c r="D1774" s="28" t="s">
        <v>3765</v>
      </c>
      <c r="E1774" s="26">
        <v>13436</v>
      </c>
      <c r="F1774" s="29" t="s">
        <v>223</v>
      </c>
    </row>
    <row r="1775" spans="1:6" ht="58" x14ac:dyDescent="0.35">
      <c r="A1775" s="26" t="s">
        <v>216</v>
      </c>
      <c r="B1775" s="26" t="s">
        <v>3766</v>
      </c>
      <c r="C1775" s="26" t="s">
        <v>25</v>
      </c>
      <c r="D1775" s="28" t="s">
        <v>3767</v>
      </c>
      <c r="E1775" s="26">
        <v>0</v>
      </c>
      <c r="F1775" s="29" t="s">
        <v>226</v>
      </c>
    </row>
    <row r="1776" spans="1:6" ht="43.5" x14ac:dyDescent="0.35">
      <c r="A1776" s="26" t="s">
        <v>216</v>
      </c>
      <c r="B1776" s="26" t="s">
        <v>3768</v>
      </c>
      <c r="C1776" s="26" t="s">
        <v>27</v>
      </c>
      <c r="D1776" s="28" t="s">
        <v>3769</v>
      </c>
      <c r="E1776" s="26">
        <v>0</v>
      </c>
      <c r="F1776" s="29" t="s">
        <v>229</v>
      </c>
    </row>
    <row r="1777" spans="1:6" ht="29" x14ac:dyDescent="0.35">
      <c r="A1777" s="26" t="s">
        <v>216</v>
      </c>
      <c r="B1777" s="26" t="s">
        <v>3770</v>
      </c>
      <c r="C1777" s="26" t="s">
        <v>24</v>
      </c>
      <c r="D1777" s="28" t="s">
        <v>3771</v>
      </c>
      <c r="E1777" s="26">
        <v>0</v>
      </c>
      <c r="F1777" s="29" t="s">
        <v>232</v>
      </c>
    </row>
    <row r="1778" spans="1:6" ht="43.5" x14ac:dyDescent="0.35">
      <c r="A1778" s="26" t="s">
        <v>216</v>
      </c>
      <c r="B1778" s="26" t="s">
        <v>3772</v>
      </c>
      <c r="C1778" s="26" t="s">
        <v>15</v>
      </c>
      <c r="D1778" s="28" t="s">
        <v>218</v>
      </c>
      <c r="E1778" s="26" t="s">
        <v>3773</v>
      </c>
      <c r="F1778" s="29" t="s">
        <v>220</v>
      </c>
    </row>
    <row r="1779" spans="1:6" ht="29" x14ac:dyDescent="0.35">
      <c r="A1779" s="26" t="s">
        <v>216</v>
      </c>
      <c r="B1779" s="26" t="s">
        <v>3774</v>
      </c>
      <c r="C1779" s="26" t="s">
        <v>17</v>
      </c>
      <c r="D1779" s="28" t="s">
        <v>3775</v>
      </c>
      <c r="E1779" s="26">
        <v>13436</v>
      </c>
      <c r="F1779" s="29" t="s">
        <v>247</v>
      </c>
    </row>
    <row r="1780" spans="1:6" ht="29" x14ac:dyDescent="0.35">
      <c r="A1780" s="26" t="s">
        <v>216</v>
      </c>
      <c r="B1780" s="26" t="s">
        <v>3776</v>
      </c>
      <c r="C1780" s="26" t="s">
        <v>20</v>
      </c>
      <c r="D1780" s="28" t="s">
        <v>3777</v>
      </c>
      <c r="E1780" s="26">
        <v>13436</v>
      </c>
      <c r="F1780" s="29" t="s">
        <v>223</v>
      </c>
    </row>
    <row r="1781" spans="1:6" ht="58" x14ac:dyDescent="0.35">
      <c r="A1781" s="26" t="s">
        <v>216</v>
      </c>
      <c r="B1781" s="26" t="s">
        <v>3778</v>
      </c>
      <c r="C1781" s="26" t="s">
        <v>25</v>
      </c>
      <c r="D1781" s="28" t="s">
        <v>3779</v>
      </c>
      <c r="E1781" s="26">
        <v>0</v>
      </c>
      <c r="F1781" s="29" t="s">
        <v>226</v>
      </c>
    </row>
    <row r="1782" spans="1:6" ht="43.5" x14ac:dyDescent="0.35">
      <c r="A1782" s="26" t="s">
        <v>216</v>
      </c>
      <c r="B1782" s="26" t="s">
        <v>3780</v>
      </c>
      <c r="C1782" s="26" t="s">
        <v>27</v>
      </c>
      <c r="D1782" s="28" t="s">
        <v>3781</v>
      </c>
      <c r="E1782" s="26">
        <v>0</v>
      </c>
      <c r="F1782" s="29" t="s">
        <v>229</v>
      </c>
    </row>
    <row r="1783" spans="1:6" ht="29" x14ac:dyDescent="0.35">
      <c r="A1783" s="26" t="s">
        <v>216</v>
      </c>
      <c r="B1783" s="26" t="s">
        <v>3782</v>
      </c>
      <c r="C1783" s="26" t="s">
        <v>24</v>
      </c>
      <c r="D1783" s="28" t="s">
        <v>3783</v>
      </c>
      <c r="E1783" s="26">
        <v>0</v>
      </c>
      <c r="F1783" s="29" t="s">
        <v>232</v>
      </c>
    </row>
    <row r="1784" spans="1:6" ht="43.5" x14ac:dyDescent="0.35">
      <c r="A1784" s="26" t="s">
        <v>216</v>
      </c>
      <c r="B1784" s="26" t="s">
        <v>3784</v>
      </c>
      <c r="C1784" s="26" t="s">
        <v>15</v>
      </c>
      <c r="D1784" s="28" t="s">
        <v>218</v>
      </c>
      <c r="E1784" s="26" t="s">
        <v>3785</v>
      </c>
      <c r="F1784" s="29" t="s">
        <v>220</v>
      </c>
    </row>
    <row r="1785" spans="1:6" ht="29" x14ac:dyDescent="0.35">
      <c r="A1785" s="26" t="s">
        <v>216</v>
      </c>
      <c r="B1785" s="26" t="s">
        <v>3786</v>
      </c>
      <c r="C1785" s="26" t="s">
        <v>17</v>
      </c>
      <c r="D1785" s="28" t="s">
        <v>3787</v>
      </c>
      <c r="E1785" s="26">
        <v>13436</v>
      </c>
      <c r="F1785" s="29" t="s">
        <v>247</v>
      </c>
    </row>
    <row r="1786" spans="1:6" ht="29" x14ac:dyDescent="0.35">
      <c r="A1786" s="26" t="s">
        <v>216</v>
      </c>
      <c r="B1786" s="26" t="s">
        <v>3788</v>
      </c>
      <c r="C1786" s="26" t="s">
        <v>20</v>
      </c>
      <c r="D1786" s="28" t="s">
        <v>3789</v>
      </c>
      <c r="E1786" s="26">
        <v>13436</v>
      </c>
      <c r="F1786" s="29" t="s">
        <v>223</v>
      </c>
    </row>
    <row r="1787" spans="1:6" ht="58" x14ac:dyDescent="0.35">
      <c r="A1787" s="26" t="s">
        <v>216</v>
      </c>
      <c r="B1787" s="26" t="s">
        <v>3790</v>
      </c>
      <c r="C1787" s="26" t="s">
        <v>25</v>
      </c>
      <c r="D1787" s="28" t="s">
        <v>3791</v>
      </c>
      <c r="E1787" s="26">
        <v>0</v>
      </c>
      <c r="F1787" s="29" t="s">
        <v>226</v>
      </c>
    </row>
    <row r="1788" spans="1:6" ht="43.5" x14ac:dyDescent="0.35">
      <c r="A1788" s="26" t="s">
        <v>216</v>
      </c>
      <c r="B1788" s="26" t="s">
        <v>3792</v>
      </c>
      <c r="C1788" s="26" t="s">
        <v>27</v>
      </c>
      <c r="D1788" s="28" t="s">
        <v>3793</v>
      </c>
      <c r="E1788" s="26">
        <v>0</v>
      </c>
      <c r="F1788" s="29" t="s">
        <v>229</v>
      </c>
    </row>
    <row r="1789" spans="1:6" ht="29" x14ac:dyDescent="0.35">
      <c r="A1789" s="26" t="s">
        <v>216</v>
      </c>
      <c r="B1789" s="26" t="s">
        <v>3794</v>
      </c>
      <c r="C1789" s="26" t="s">
        <v>24</v>
      </c>
      <c r="D1789" s="28" t="s">
        <v>3795</v>
      </c>
      <c r="E1789" s="26">
        <v>0</v>
      </c>
      <c r="F1789" s="29" t="s">
        <v>232</v>
      </c>
    </row>
    <row r="1790" spans="1:6" ht="43.5" x14ac:dyDescent="0.35">
      <c r="A1790" s="26" t="s">
        <v>216</v>
      </c>
      <c r="B1790" s="26" t="s">
        <v>3796</v>
      </c>
      <c r="C1790" s="26" t="s">
        <v>15</v>
      </c>
      <c r="D1790" s="28" t="s">
        <v>218</v>
      </c>
      <c r="E1790" s="26" t="s">
        <v>3797</v>
      </c>
      <c r="F1790" s="29" t="s">
        <v>220</v>
      </c>
    </row>
    <row r="1791" spans="1:6" ht="29" x14ac:dyDescent="0.35">
      <c r="A1791" s="26" t="s">
        <v>216</v>
      </c>
      <c r="B1791" s="26" t="s">
        <v>3798</v>
      </c>
      <c r="C1791" s="26" t="s">
        <v>17</v>
      </c>
      <c r="D1791" s="28" t="s">
        <v>3799</v>
      </c>
      <c r="E1791" s="26">
        <v>13436</v>
      </c>
      <c r="F1791" s="29" t="s">
        <v>247</v>
      </c>
    </row>
    <row r="1792" spans="1:6" ht="29" x14ac:dyDescent="0.35">
      <c r="A1792" s="26" t="s">
        <v>216</v>
      </c>
      <c r="B1792" s="26" t="s">
        <v>3800</v>
      </c>
      <c r="C1792" s="26" t="s">
        <v>20</v>
      </c>
      <c r="D1792" s="28" t="s">
        <v>3801</v>
      </c>
      <c r="E1792" s="26">
        <v>13436</v>
      </c>
      <c r="F1792" s="29" t="s">
        <v>223</v>
      </c>
    </row>
    <row r="1793" spans="1:6" ht="58" x14ac:dyDescent="0.35">
      <c r="A1793" s="26" t="s">
        <v>216</v>
      </c>
      <c r="B1793" s="26" t="s">
        <v>3802</v>
      </c>
      <c r="C1793" s="26" t="s">
        <v>25</v>
      </c>
      <c r="D1793" s="28" t="s">
        <v>3803</v>
      </c>
      <c r="E1793" s="26">
        <v>0</v>
      </c>
      <c r="F1793" s="29" t="s">
        <v>226</v>
      </c>
    </row>
    <row r="1794" spans="1:6" ht="43.5" x14ac:dyDescent="0.35">
      <c r="A1794" s="26" t="s">
        <v>216</v>
      </c>
      <c r="B1794" s="26" t="s">
        <v>3804</v>
      </c>
      <c r="C1794" s="26" t="s">
        <v>27</v>
      </c>
      <c r="D1794" s="28" t="s">
        <v>3805</v>
      </c>
      <c r="E1794" s="26">
        <v>0</v>
      </c>
      <c r="F1794" s="29" t="s">
        <v>229</v>
      </c>
    </row>
    <row r="1795" spans="1:6" ht="29" x14ac:dyDescent="0.35">
      <c r="A1795" s="26" t="s">
        <v>216</v>
      </c>
      <c r="B1795" s="26" t="s">
        <v>3806</v>
      </c>
      <c r="C1795" s="26" t="s">
        <v>24</v>
      </c>
      <c r="D1795" s="28" t="s">
        <v>3807</v>
      </c>
      <c r="E1795" s="26">
        <v>0</v>
      </c>
      <c r="F1795" s="29" t="s">
        <v>232</v>
      </c>
    </row>
    <row r="1796" spans="1:6" ht="43.5" x14ac:dyDescent="0.35">
      <c r="A1796" s="26" t="s">
        <v>216</v>
      </c>
      <c r="B1796" s="26" t="s">
        <v>3808</v>
      </c>
      <c r="C1796" s="26" t="s">
        <v>15</v>
      </c>
      <c r="D1796" s="28" t="s">
        <v>218</v>
      </c>
      <c r="E1796" s="26" t="s">
        <v>3809</v>
      </c>
      <c r="F1796" s="29" t="s">
        <v>220</v>
      </c>
    </row>
    <row r="1797" spans="1:6" ht="29" x14ac:dyDescent="0.35">
      <c r="A1797" s="26" t="s">
        <v>216</v>
      </c>
      <c r="B1797" s="26" t="s">
        <v>3810</v>
      </c>
      <c r="C1797" s="26" t="s">
        <v>17</v>
      </c>
      <c r="D1797" s="28" t="s">
        <v>3811</v>
      </c>
      <c r="E1797" s="26">
        <v>13436</v>
      </c>
      <c r="F1797" s="29" t="s">
        <v>247</v>
      </c>
    </row>
    <row r="1798" spans="1:6" ht="29" x14ac:dyDescent="0.35">
      <c r="A1798" s="26" t="s">
        <v>216</v>
      </c>
      <c r="B1798" s="26" t="s">
        <v>3812</v>
      </c>
      <c r="C1798" s="26" t="s">
        <v>20</v>
      </c>
      <c r="D1798" s="28" t="s">
        <v>3813</v>
      </c>
      <c r="E1798" s="26">
        <v>13436</v>
      </c>
      <c r="F1798" s="29" t="s">
        <v>223</v>
      </c>
    </row>
    <row r="1799" spans="1:6" ht="58" x14ac:dyDescent="0.35">
      <c r="A1799" s="26" t="s">
        <v>216</v>
      </c>
      <c r="B1799" s="26" t="s">
        <v>3814</v>
      </c>
      <c r="C1799" s="26" t="s">
        <v>25</v>
      </c>
      <c r="D1799" s="28" t="s">
        <v>3815</v>
      </c>
      <c r="E1799" s="26">
        <v>0</v>
      </c>
      <c r="F1799" s="29" t="s">
        <v>226</v>
      </c>
    </row>
    <row r="1800" spans="1:6" ht="43.5" x14ac:dyDescent="0.35">
      <c r="A1800" s="26" t="s">
        <v>216</v>
      </c>
      <c r="B1800" s="26" t="s">
        <v>3816</v>
      </c>
      <c r="C1800" s="26" t="s">
        <v>27</v>
      </c>
      <c r="D1800" s="28" t="s">
        <v>3817</v>
      </c>
      <c r="E1800" s="26">
        <v>0</v>
      </c>
      <c r="F1800" s="29" t="s">
        <v>229</v>
      </c>
    </row>
    <row r="1801" spans="1:6" ht="29" x14ac:dyDescent="0.35">
      <c r="A1801" s="26" t="s">
        <v>216</v>
      </c>
      <c r="B1801" s="26" t="s">
        <v>3818</v>
      </c>
      <c r="C1801" s="26" t="s">
        <v>24</v>
      </c>
      <c r="D1801" s="28" t="s">
        <v>3819</v>
      </c>
      <c r="E1801" s="26">
        <v>0</v>
      </c>
      <c r="F1801" s="29" t="s">
        <v>232</v>
      </c>
    </row>
    <row r="1802" spans="1:6" ht="43.5" x14ac:dyDescent="0.35">
      <c r="A1802" s="26" t="s">
        <v>216</v>
      </c>
      <c r="B1802" s="26" t="s">
        <v>3820</v>
      </c>
      <c r="C1802" s="26" t="s">
        <v>15</v>
      </c>
      <c r="D1802" s="28" t="s">
        <v>218</v>
      </c>
      <c r="E1802" s="26" t="s">
        <v>3821</v>
      </c>
      <c r="F1802" s="29" t="s">
        <v>220</v>
      </c>
    </row>
    <row r="1803" spans="1:6" ht="29" x14ac:dyDescent="0.35">
      <c r="A1803" s="26" t="s">
        <v>216</v>
      </c>
      <c r="B1803" s="26" t="s">
        <v>3822</v>
      </c>
      <c r="C1803" s="26" t="s">
        <v>17</v>
      </c>
      <c r="D1803" s="28" t="s">
        <v>3823</v>
      </c>
      <c r="E1803" s="26">
        <v>13436</v>
      </c>
      <c r="F1803" s="29" t="s">
        <v>247</v>
      </c>
    </row>
    <row r="1804" spans="1:6" ht="29" x14ac:dyDescent="0.35">
      <c r="A1804" s="26" t="s">
        <v>216</v>
      </c>
      <c r="B1804" s="26" t="s">
        <v>3824</v>
      </c>
      <c r="C1804" s="26" t="s">
        <v>20</v>
      </c>
      <c r="D1804" s="28" t="s">
        <v>3825</v>
      </c>
      <c r="E1804" s="26">
        <v>13436</v>
      </c>
      <c r="F1804" s="29" t="s">
        <v>223</v>
      </c>
    </row>
    <row r="1805" spans="1:6" ht="58" x14ac:dyDescent="0.35">
      <c r="A1805" s="26" t="s">
        <v>216</v>
      </c>
      <c r="B1805" s="26" t="s">
        <v>3826</v>
      </c>
      <c r="C1805" s="26" t="s">
        <v>25</v>
      </c>
      <c r="D1805" s="28" t="s">
        <v>3827</v>
      </c>
      <c r="E1805" s="26">
        <v>0</v>
      </c>
      <c r="F1805" s="29" t="s">
        <v>226</v>
      </c>
    </row>
    <row r="1806" spans="1:6" ht="43.5" x14ac:dyDescent="0.35">
      <c r="A1806" s="26" t="s">
        <v>216</v>
      </c>
      <c r="B1806" s="26" t="s">
        <v>3828</v>
      </c>
      <c r="C1806" s="26" t="s">
        <v>27</v>
      </c>
      <c r="D1806" s="28" t="s">
        <v>3829</v>
      </c>
      <c r="E1806" s="26">
        <v>0</v>
      </c>
      <c r="F1806" s="29" t="s">
        <v>229</v>
      </c>
    </row>
    <row r="1807" spans="1:6" ht="29" x14ac:dyDescent="0.35">
      <c r="A1807" s="26" t="s">
        <v>216</v>
      </c>
      <c r="B1807" s="26" t="s">
        <v>3830</v>
      </c>
      <c r="C1807" s="26" t="s">
        <v>24</v>
      </c>
      <c r="D1807" s="28" t="s">
        <v>3831</v>
      </c>
      <c r="E1807" s="26">
        <v>0</v>
      </c>
      <c r="F1807" s="29" t="s">
        <v>232</v>
      </c>
    </row>
    <row r="1808" spans="1:6" ht="43.5" x14ac:dyDescent="0.35">
      <c r="A1808" s="26" t="s">
        <v>216</v>
      </c>
      <c r="B1808" s="26" t="s">
        <v>3832</v>
      </c>
      <c r="C1808" s="26" t="s">
        <v>15</v>
      </c>
      <c r="D1808" s="28" t="s">
        <v>218</v>
      </c>
      <c r="E1808" s="26" t="s">
        <v>3833</v>
      </c>
      <c r="F1808" s="29" t="s">
        <v>220</v>
      </c>
    </row>
    <row r="1809" spans="1:6" ht="29" x14ac:dyDescent="0.35">
      <c r="A1809" s="26" t="s">
        <v>216</v>
      </c>
      <c r="B1809" s="26" t="s">
        <v>3834</v>
      </c>
      <c r="C1809" s="26" t="s">
        <v>17</v>
      </c>
      <c r="D1809" s="28" t="s">
        <v>3835</v>
      </c>
      <c r="E1809" s="26">
        <v>13436</v>
      </c>
      <c r="F1809" s="29" t="s">
        <v>247</v>
      </c>
    </row>
    <row r="1810" spans="1:6" ht="29" x14ac:dyDescent="0.35">
      <c r="A1810" s="26" t="s">
        <v>216</v>
      </c>
      <c r="B1810" s="26" t="s">
        <v>3836</v>
      </c>
      <c r="C1810" s="26" t="s">
        <v>20</v>
      </c>
      <c r="D1810" s="28" t="s">
        <v>3837</v>
      </c>
      <c r="E1810" s="26">
        <v>13436</v>
      </c>
      <c r="F1810" s="29" t="s">
        <v>223</v>
      </c>
    </row>
    <row r="1811" spans="1:6" ht="58" x14ac:dyDescent="0.35">
      <c r="A1811" s="26" t="s">
        <v>216</v>
      </c>
      <c r="B1811" s="26" t="s">
        <v>3838</v>
      </c>
      <c r="C1811" s="26" t="s">
        <v>25</v>
      </c>
      <c r="D1811" s="28" t="s">
        <v>3839</v>
      </c>
      <c r="E1811" s="26">
        <v>0</v>
      </c>
      <c r="F1811" s="29" t="s">
        <v>226</v>
      </c>
    </row>
    <row r="1812" spans="1:6" ht="43.5" x14ac:dyDescent="0.35">
      <c r="A1812" s="26" t="s">
        <v>216</v>
      </c>
      <c r="B1812" s="26" t="s">
        <v>3840</v>
      </c>
      <c r="C1812" s="26" t="s">
        <v>27</v>
      </c>
      <c r="D1812" s="28" t="s">
        <v>3841</v>
      </c>
      <c r="E1812" s="26">
        <v>0</v>
      </c>
      <c r="F1812" s="29" t="s">
        <v>229</v>
      </c>
    </row>
    <row r="1813" spans="1:6" ht="29" x14ac:dyDescent="0.35">
      <c r="A1813" s="26" t="s">
        <v>216</v>
      </c>
      <c r="B1813" s="26" t="s">
        <v>3842</v>
      </c>
      <c r="C1813" s="26" t="s">
        <v>24</v>
      </c>
      <c r="D1813" s="28" t="s">
        <v>3843</v>
      </c>
      <c r="E1813" s="26">
        <v>0</v>
      </c>
      <c r="F1813" s="29" t="s">
        <v>232</v>
      </c>
    </row>
    <row r="1814" spans="1:6" ht="43.5" x14ac:dyDescent="0.35">
      <c r="A1814" s="26" t="s">
        <v>216</v>
      </c>
      <c r="B1814" s="26" t="s">
        <v>3844</v>
      </c>
      <c r="C1814" s="26" t="s">
        <v>15</v>
      </c>
      <c r="D1814" s="28" t="s">
        <v>218</v>
      </c>
      <c r="E1814" s="26" t="s">
        <v>3845</v>
      </c>
      <c r="F1814" s="29" t="s">
        <v>220</v>
      </c>
    </row>
    <row r="1815" spans="1:6" ht="29" x14ac:dyDescent="0.35">
      <c r="A1815" s="26" t="s">
        <v>216</v>
      </c>
      <c r="B1815" s="26" t="s">
        <v>3846</v>
      </c>
      <c r="C1815" s="26" t="s">
        <v>17</v>
      </c>
      <c r="D1815" s="28" t="s">
        <v>3847</v>
      </c>
      <c r="E1815" s="26">
        <v>13436</v>
      </c>
      <c r="F1815" s="29" t="s">
        <v>247</v>
      </c>
    </row>
    <row r="1816" spans="1:6" ht="29" x14ac:dyDescent="0.35">
      <c r="A1816" s="26" t="s">
        <v>216</v>
      </c>
      <c r="B1816" s="26" t="s">
        <v>3848</v>
      </c>
      <c r="C1816" s="26" t="s">
        <v>20</v>
      </c>
      <c r="D1816" s="28" t="s">
        <v>3849</v>
      </c>
      <c r="E1816" s="26">
        <v>13436</v>
      </c>
      <c r="F1816" s="29" t="s">
        <v>223</v>
      </c>
    </row>
    <row r="1817" spans="1:6" ht="58" x14ac:dyDescent="0.35">
      <c r="A1817" s="26" t="s">
        <v>216</v>
      </c>
      <c r="B1817" s="26" t="s">
        <v>3850</v>
      </c>
      <c r="C1817" s="26" t="s">
        <v>25</v>
      </c>
      <c r="D1817" s="28" t="s">
        <v>3851</v>
      </c>
      <c r="E1817" s="26">
        <v>0</v>
      </c>
      <c r="F1817" s="29" t="s">
        <v>226</v>
      </c>
    </row>
    <row r="1818" spans="1:6" ht="43.5" x14ac:dyDescent="0.35">
      <c r="A1818" s="26" t="s">
        <v>216</v>
      </c>
      <c r="B1818" s="26" t="s">
        <v>3852</v>
      </c>
      <c r="C1818" s="26" t="s">
        <v>27</v>
      </c>
      <c r="D1818" s="28" t="s">
        <v>3853</v>
      </c>
      <c r="E1818" s="26">
        <v>0</v>
      </c>
      <c r="F1818" s="29" t="s">
        <v>229</v>
      </c>
    </row>
    <row r="1819" spans="1:6" ht="29" x14ac:dyDescent="0.35">
      <c r="A1819" s="26" t="s">
        <v>216</v>
      </c>
      <c r="B1819" s="26" t="s">
        <v>3854</v>
      </c>
      <c r="C1819" s="26" t="s">
        <v>24</v>
      </c>
      <c r="D1819" s="28" t="s">
        <v>3855</v>
      </c>
      <c r="E1819" s="26">
        <v>0</v>
      </c>
      <c r="F1819" s="29" t="s">
        <v>232</v>
      </c>
    </row>
    <row r="1820" spans="1:6" ht="43.5" x14ac:dyDescent="0.35">
      <c r="A1820" s="26" t="s">
        <v>216</v>
      </c>
      <c r="B1820" s="26" t="s">
        <v>3856</v>
      </c>
      <c r="C1820" s="26" t="s">
        <v>15</v>
      </c>
      <c r="D1820" s="28" t="s">
        <v>218</v>
      </c>
      <c r="E1820" s="26" t="s">
        <v>3857</v>
      </c>
      <c r="F1820" s="29" t="s">
        <v>220</v>
      </c>
    </row>
    <row r="1821" spans="1:6" ht="29" x14ac:dyDescent="0.35">
      <c r="A1821" s="26" t="s">
        <v>216</v>
      </c>
      <c r="B1821" s="26" t="s">
        <v>3858</v>
      </c>
      <c r="C1821" s="26" t="s">
        <v>17</v>
      </c>
      <c r="D1821" s="28" t="s">
        <v>3859</v>
      </c>
      <c r="E1821" s="26">
        <v>13436</v>
      </c>
      <c r="F1821" s="29" t="s">
        <v>247</v>
      </c>
    </row>
    <row r="1822" spans="1:6" ht="29" x14ac:dyDescent="0.35">
      <c r="A1822" s="26" t="s">
        <v>216</v>
      </c>
      <c r="B1822" s="26" t="s">
        <v>3860</v>
      </c>
      <c r="C1822" s="26" t="s">
        <v>20</v>
      </c>
      <c r="D1822" s="28" t="s">
        <v>3861</v>
      </c>
      <c r="E1822" s="26">
        <v>13436</v>
      </c>
      <c r="F1822" s="29" t="s">
        <v>223</v>
      </c>
    </row>
    <row r="1823" spans="1:6" ht="58" x14ac:dyDescent="0.35">
      <c r="A1823" s="26" t="s">
        <v>216</v>
      </c>
      <c r="B1823" s="26" t="s">
        <v>3862</v>
      </c>
      <c r="C1823" s="26" t="s">
        <v>25</v>
      </c>
      <c r="D1823" s="28" t="s">
        <v>3863</v>
      </c>
      <c r="E1823" s="26">
        <v>0</v>
      </c>
      <c r="F1823" s="29" t="s">
        <v>226</v>
      </c>
    </row>
    <row r="1824" spans="1:6" ht="43.5" x14ac:dyDescent="0.35">
      <c r="A1824" s="26" t="s">
        <v>216</v>
      </c>
      <c r="B1824" s="26" t="s">
        <v>3864</v>
      </c>
      <c r="C1824" s="26" t="s">
        <v>27</v>
      </c>
      <c r="D1824" s="28" t="s">
        <v>3865</v>
      </c>
      <c r="E1824" s="26">
        <v>0</v>
      </c>
      <c r="F1824" s="29" t="s">
        <v>229</v>
      </c>
    </row>
    <row r="1825" spans="1:6" ht="29" x14ac:dyDescent="0.35">
      <c r="A1825" s="26" t="s">
        <v>216</v>
      </c>
      <c r="B1825" s="26" t="s">
        <v>3866</v>
      </c>
      <c r="C1825" s="26" t="s">
        <v>24</v>
      </c>
      <c r="D1825" s="28" t="s">
        <v>3867</v>
      </c>
      <c r="E1825" s="26">
        <v>0</v>
      </c>
      <c r="F1825" s="29" t="s">
        <v>232</v>
      </c>
    </row>
    <row r="1826" spans="1:6" ht="43.5" x14ac:dyDescent="0.35">
      <c r="A1826" s="26" t="s">
        <v>216</v>
      </c>
      <c r="B1826" s="26" t="s">
        <v>3868</v>
      </c>
      <c r="C1826" s="26" t="s">
        <v>15</v>
      </c>
      <c r="D1826" s="28" t="s">
        <v>218</v>
      </c>
      <c r="E1826" s="26" t="s">
        <v>3869</v>
      </c>
      <c r="F1826" s="29" t="s">
        <v>220</v>
      </c>
    </row>
    <row r="1827" spans="1:6" ht="29" x14ac:dyDescent="0.35">
      <c r="A1827" s="26" t="s">
        <v>216</v>
      </c>
      <c r="B1827" s="26" t="s">
        <v>3870</v>
      </c>
      <c r="C1827" s="26" t="s">
        <v>17</v>
      </c>
      <c r="D1827" s="28" t="s">
        <v>3871</v>
      </c>
      <c r="E1827" s="26">
        <v>13436</v>
      </c>
      <c r="F1827" s="29" t="s">
        <v>247</v>
      </c>
    </row>
    <row r="1828" spans="1:6" ht="29" x14ac:dyDescent="0.35">
      <c r="A1828" s="26" t="s">
        <v>216</v>
      </c>
      <c r="B1828" s="26" t="s">
        <v>3872</v>
      </c>
      <c r="C1828" s="26" t="s">
        <v>20</v>
      </c>
      <c r="D1828" s="28" t="s">
        <v>3873</v>
      </c>
      <c r="E1828" s="26">
        <v>13436</v>
      </c>
      <c r="F1828" s="29" t="s">
        <v>223</v>
      </c>
    </row>
    <row r="1829" spans="1:6" ht="58" x14ac:dyDescent="0.35">
      <c r="A1829" s="26" t="s">
        <v>216</v>
      </c>
      <c r="B1829" s="26" t="s">
        <v>3874</v>
      </c>
      <c r="C1829" s="26" t="s">
        <v>25</v>
      </c>
      <c r="D1829" s="28" t="s">
        <v>3875</v>
      </c>
      <c r="E1829" s="26">
        <v>0</v>
      </c>
      <c r="F1829" s="29" t="s">
        <v>226</v>
      </c>
    </row>
    <row r="1830" spans="1:6" ht="43.5" x14ac:dyDescent="0.35">
      <c r="A1830" s="26" t="s">
        <v>216</v>
      </c>
      <c r="B1830" s="26" t="s">
        <v>3876</v>
      </c>
      <c r="C1830" s="26" t="s">
        <v>27</v>
      </c>
      <c r="D1830" s="28" t="s">
        <v>3877</v>
      </c>
      <c r="E1830" s="26">
        <v>0</v>
      </c>
      <c r="F1830" s="29" t="s">
        <v>229</v>
      </c>
    </row>
    <row r="1831" spans="1:6" ht="29" x14ac:dyDescent="0.35">
      <c r="A1831" s="26" t="s">
        <v>216</v>
      </c>
      <c r="B1831" s="26" t="s">
        <v>3878</v>
      </c>
      <c r="C1831" s="26" t="s">
        <v>24</v>
      </c>
      <c r="D1831" s="28" t="s">
        <v>3879</v>
      </c>
      <c r="E1831" s="26">
        <v>0</v>
      </c>
      <c r="F1831" s="29" t="s">
        <v>232</v>
      </c>
    </row>
    <row r="1832" spans="1:6" ht="43.5" x14ac:dyDescent="0.35">
      <c r="A1832" s="26" t="s">
        <v>216</v>
      </c>
      <c r="B1832" s="26" t="s">
        <v>3880</v>
      </c>
      <c r="C1832" s="26" t="s">
        <v>15</v>
      </c>
      <c r="D1832" s="28" t="s">
        <v>218</v>
      </c>
      <c r="E1832" s="26" t="s">
        <v>3881</v>
      </c>
      <c r="F1832" s="29" t="s">
        <v>220</v>
      </c>
    </row>
    <row r="1833" spans="1:6" ht="29" x14ac:dyDescent="0.35">
      <c r="A1833" s="26" t="s">
        <v>216</v>
      </c>
      <c r="B1833" s="26" t="s">
        <v>3882</v>
      </c>
      <c r="C1833" s="26" t="s">
        <v>17</v>
      </c>
      <c r="D1833" s="28" t="s">
        <v>3883</v>
      </c>
      <c r="E1833" s="26">
        <v>13436</v>
      </c>
      <c r="F1833" s="29" t="s">
        <v>247</v>
      </c>
    </row>
    <row r="1834" spans="1:6" ht="29" x14ac:dyDescent="0.35">
      <c r="A1834" s="26" t="s">
        <v>216</v>
      </c>
      <c r="B1834" s="26" t="s">
        <v>3884</v>
      </c>
      <c r="C1834" s="26" t="s">
        <v>20</v>
      </c>
      <c r="D1834" s="28" t="s">
        <v>3885</v>
      </c>
      <c r="E1834" s="26">
        <v>13436</v>
      </c>
      <c r="F1834" s="29" t="s">
        <v>223</v>
      </c>
    </row>
    <row r="1835" spans="1:6" ht="58" x14ac:dyDescent="0.35">
      <c r="A1835" s="26" t="s">
        <v>216</v>
      </c>
      <c r="B1835" s="26" t="s">
        <v>3886</v>
      </c>
      <c r="C1835" s="26" t="s">
        <v>25</v>
      </c>
      <c r="D1835" s="28" t="s">
        <v>3887</v>
      </c>
      <c r="E1835" s="26">
        <v>0</v>
      </c>
      <c r="F1835" s="29" t="s">
        <v>226</v>
      </c>
    </row>
    <row r="1836" spans="1:6" ht="43.5" x14ac:dyDescent="0.35">
      <c r="A1836" s="26" t="s">
        <v>216</v>
      </c>
      <c r="B1836" s="26" t="s">
        <v>3888</v>
      </c>
      <c r="C1836" s="26" t="s">
        <v>27</v>
      </c>
      <c r="D1836" s="28" t="s">
        <v>3889</v>
      </c>
      <c r="E1836" s="26">
        <v>0</v>
      </c>
      <c r="F1836" s="29" t="s">
        <v>229</v>
      </c>
    </row>
    <row r="1837" spans="1:6" ht="29" x14ac:dyDescent="0.35">
      <c r="A1837" s="26" t="s">
        <v>216</v>
      </c>
      <c r="B1837" s="26" t="s">
        <v>3890</v>
      </c>
      <c r="C1837" s="26" t="s">
        <v>24</v>
      </c>
      <c r="D1837" s="28" t="s">
        <v>3891</v>
      </c>
      <c r="E1837" s="26">
        <v>0</v>
      </c>
      <c r="F1837" s="29" t="s">
        <v>232</v>
      </c>
    </row>
    <row r="1838" spans="1:6" ht="43.5" x14ac:dyDescent="0.35">
      <c r="A1838" s="26" t="s">
        <v>216</v>
      </c>
      <c r="B1838" s="26" t="s">
        <v>3892</v>
      </c>
      <c r="C1838" s="26" t="s">
        <v>15</v>
      </c>
      <c r="D1838" s="28" t="s">
        <v>218</v>
      </c>
      <c r="E1838" s="26" t="s">
        <v>3893</v>
      </c>
      <c r="F1838" s="29" t="s">
        <v>220</v>
      </c>
    </row>
    <row r="1839" spans="1:6" ht="29" x14ac:dyDescent="0.35">
      <c r="A1839" s="26" t="s">
        <v>216</v>
      </c>
      <c r="B1839" s="26" t="s">
        <v>3894</v>
      </c>
      <c r="C1839" s="26" t="s">
        <v>17</v>
      </c>
      <c r="D1839" s="28" t="s">
        <v>3895</v>
      </c>
      <c r="E1839" s="26">
        <v>13436</v>
      </c>
      <c r="F1839" s="29" t="s">
        <v>247</v>
      </c>
    </row>
    <row r="1840" spans="1:6" ht="29" x14ac:dyDescent="0.35">
      <c r="A1840" s="26" t="s">
        <v>216</v>
      </c>
      <c r="B1840" s="26" t="s">
        <v>3896</v>
      </c>
      <c r="C1840" s="26" t="s">
        <v>20</v>
      </c>
      <c r="D1840" s="28" t="s">
        <v>3897</v>
      </c>
      <c r="E1840" s="26">
        <v>13436</v>
      </c>
      <c r="F1840" s="29" t="s">
        <v>223</v>
      </c>
    </row>
    <row r="1841" spans="1:6" ht="58" x14ac:dyDescent="0.35">
      <c r="A1841" s="26" t="s">
        <v>216</v>
      </c>
      <c r="B1841" s="26" t="s">
        <v>3898</v>
      </c>
      <c r="C1841" s="26" t="s">
        <v>25</v>
      </c>
      <c r="D1841" s="28" t="s">
        <v>3899</v>
      </c>
      <c r="E1841" s="26">
        <v>0</v>
      </c>
      <c r="F1841" s="29" t="s">
        <v>226</v>
      </c>
    </row>
    <row r="1842" spans="1:6" ht="43.5" x14ac:dyDescent="0.35">
      <c r="A1842" s="26" t="s">
        <v>216</v>
      </c>
      <c r="B1842" s="26" t="s">
        <v>3900</v>
      </c>
      <c r="C1842" s="26" t="s">
        <v>27</v>
      </c>
      <c r="D1842" s="28" t="s">
        <v>3901</v>
      </c>
      <c r="E1842" s="26">
        <v>0</v>
      </c>
      <c r="F1842" s="29" t="s">
        <v>229</v>
      </c>
    </row>
    <row r="1843" spans="1:6" ht="29" x14ac:dyDescent="0.35">
      <c r="A1843" s="26" t="s">
        <v>216</v>
      </c>
      <c r="B1843" s="26" t="s">
        <v>3902</v>
      </c>
      <c r="C1843" s="26" t="s">
        <v>24</v>
      </c>
      <c r="D1843" s="28" t="s">
        <v>3903</v>
      </c>
      <c r="E1843" s="26">
        <v>0</v>
      </c>
      <c r="F1843" s="29" t="s">
        <v>232</v>
      </c>
    </row>
    <row r="1844" spans="1:6" ht="43.5" x14ac:dyDescent="0.35">
      <c r="A1844" s="26" t="s">
        <v>216</v>
      </c>
      <c r="B1844" s="26" t="s">
        <v>3904</v>
      </c>
      <c r="C1844" s="26" t="s">
        <v>15</v>
      </c>
      <c r="D1844" s="28" t="s">
        <v>218</v>
      </c>
      <c r="E1844" s="26" t="s">
        <v>3905</v>
      </c>
      <c r="F1844" s="29" t="s">
        <v>220</v>
      </c>
    </row>
    <row r="1845" spans="1:6" ht="29" x14ac:dyDescent="0.35">
      <c r="A1845" s="26" t="s">
        <v>216</v>
      </c>
      <c r="B1845" s="26" t="s">
        <v>3906</v>
      </c>
      <c r="C1845" s="26" t="s">
        <v>17</v>
      </c>
      <c r="D1845" s="28" t="s">
        <v>3907</v>
      </c>
      <c r="E1845" s="26">
        <v>13436</v>
      </c>
      <c r="F1845" s="29" t="s">
        <v>247</v>
      </c>
    </row>
    <row r="1846" spans="1:6" ht="29" x14ac:dyDescent="0.35">
      <c r="A1846" s="26" t="s">
        <v>216</v>
      </c>
      <c r="B1846" s="26" t="s">
        <v>3908</v>
      </c>
      <c r="C1846" s="26" t="s">
        <v>20</v>
      </c>
      <c r="D1846" s="28" t="s">
        <v>3909</v>
      </c>
      <c r="E1846" s="26">
        <v>13436</v>
      </c>
      <c r="F1846" s="29" t="s">
        <v>223</v>
      </c>
    </row>
    <row r="1847" spans="1:6" ht="58" x14ac:dyDescent="0.35">
      <c r="A1847" s="26" t="s">
        <v>216</v>
      </c>
      <c r="B1847" s="26" t="s">
        <v>3910</v>
      </c>
      <c r="C1847" s="26" t="s">
        <v>25</v>
      </c>
      <c r="D1847" s="28" t="s">
        <v>3911</v>
      </c>
      <c r="E1847" s="26">
        <v>0</v>
      </c>
      <c r="F1847" s="29" t="s">
        <v>226</v>
      </c>
    </row>
    <row r="1848" spans="1:6" ht="43.5" x14ac:dyDescent="0.35">
      <c r="A1848" s="26" t="s">
        <v>216</v>
      </c>
      <c r="B1848" s="26" t="s">
        <v>3912</v>
      </c>
      <c r="C1848" s="26" t="s">
        <v>27</v>
      </c>
      <c r="D1848" s="28" t="s">
        <v>3913</v>
      </c>
      <c r="E1848" s="26">
        <v>0</v>
      </c>
      <c r="F1848" s="29" t="s">
        <v>229</v>
      </c>
    </row>
    <row r="1849" spans="1:6" ht="29" x14ac:dyDescent="0.35">
      <c r="A1849" s="26" t="s">
        <v>216</v>
      </c>
      <c r="B1849" s="26" t="s">
        <v>3914</v>
      </c>
      <c r="C1849" s="26" t="s">
        <v>24</v>
      </c>
      <c r="D1849" s="28" t="s">
        <v>3915</v>
      </c>
      <c r="E1849" s="26">
        <v>0</v>
      </c>
      <c r="F1849" s="29" t="s">
        <v>232</v>
      </c>
    </row>
    <row r="1850" spans="1:6" ht="43.5" x14ac:dyDescent="0.35">
      <c r="A1850" s="26" t="s">
        <v>216</v>
      </c>
      <c r="B1850" s="26" t="s">
        <v>3916</v>
      </c>
      <c r="C1850" s="26" t="s">
        <v>15</v>
      </c>
      <c r="D1850" s="28" t="s">
        <v>218</v>
      </c>
      <c r="E1850" s="26" t="s">
        <v>3917</v>
      </c>
      <c r="F1850" s="29" t="s">
        <v>220</v>
      </c>
    </row>
    <row r="1851" spans="1:6" ht="29" x14ac:dyDescent="0.35">
      <c r="A1851" s="26" t="s">
        <v>216</v>
      </c>
      <c r="B1851" s="26" t="s">
        <v>3918</v>
      </c>
      <c r="C1851" s="26" t="s">
        <v>17</v>
      </c>
      <c r="D1851" s="28" t="s">
        <v>3919</v>
      </c>
      <c r="E1851" s="26">
        <v>13436</v>
      </c>
      <c r="F1851" s="29" t="s">
        <v>247</v>
      </c>
    </row>
    <row r="1852" spans="1:6" ht="29" x14ac:dyDescent="0.35">
      <c r="A1852" s="26" t="s">
        <v>216</v>
      </c>
      <c r="B1852" s="26" t="s">
        <v>3920</v>
      </c>
      <c r="C1852" s="26" t="s">
        <v>20</v>
      </c>
      <c r="D1852" s="28" t="s">
        <v>3921</v>
      </c>
      <c r="E1852" s="26">
        <v>13436</v>
      </c>
      <c r="F1852" s="29" t="s">
        <v>223</v>
      </c>
    </row>
    <row r="1853" spans="1:6" ht="58" x14ac:dyDescent="0.35">
      <c r="A1853" s="26" t="s">
        <v>216</v>
      </c>
      <c r="B1853" s="26" t="s">
        <v>3922</v>
      </c>
      <c r="C1853" s="26" t="s">
        <v>25</v>
      </c>
      <c r="D1853" s="28" t="s">
        <v>3923</v>
      </c>
      <c r="E1853" s="26">
        <v>0</v>
      </c>
      <c r="F1853" s="29" t="s">
        <v>226</v>
      </c>
    </row>
    <row r="1854" spans="1:6" ht="43.5" x14ac:dyDescent="0.35">
      <c r="A1854" s="26" t="s">
        <v>216</v>
      </c>
      <c r="B1854" s="26" t="s">
        <v>3924</v>
      </c>
      <c r="C1854" s="26" t="s">
        <v>27</v>
      </c>
      <c r="D1854" s="28" t="s">
        <v>3925</v>
      </c>
      <c r="E1854" s="26">
        <v>0</v>
      </c>
      <c r="F1854" s="29" t="s">
        <v>229</v>
      </c>
    </row>
    <row r="1855" spans="1:6" ht="29" x14ac:dyDescent="0.35">
      <c r="A1855" s="26" t="s">
        <v>216</v>
      </c>
      <c r="B1855" s="26" t="s">
        <v>3926</v>
      </c>
      <c r="C1855" s="26" t="s">
        <v>24</v>
      </c>
      <c r="D1855" s="28" t="s">
        <v>3927</v>
      </c>
      <c r="E1855" s="26">
        <v>0</v>
      </c>
      <c r="F1855" s="29" t="s">
        <v>232</v>
      </c>
    </row>
    <row r="1856" spans="1:6" ht="43.5" x14ac:dyDescent="0.35">
      <c r="A1856" s="26" t="s">
        <v>216</v>
      </c>
      <c r="B1856" s="26" t="s">
        <v>3928</v>
      </c>
      <c r="C1856" s="26" t="s">
        <v>15</v>
      </c>
      <c r="D1856" s="28" t="s">
        <v>218</v>
      </c>
      <c r="E1856" s="26" t="s">
        <v>3929</v>
      </c>
      <c r="F1856" s="29" t="s">
        <v>220</v>
      </c>
    </row>
    <row r="1857" spans="1:6" ht="29" x14ac:dyDescent="0.35">
      <c r="A1857" s="26" t="s">
        <v>216</v>
      </c>
      <c r="B1857" s="26" t="s">
        <v>3930</v>
      </c>
      <c r="C1857" s="26" t="s">
        <v>17</v>
      </c>
      <c r="D1857" s="28" t="s">
        <v>3931</v>
      </c>
      <c r="E1857" s="26">
        <v>13436</v>
      </c>
      <c r="F1857" s="29" t="s">
        <v>247</v>
      </c>
    </row>
    <row r="1858" spans="1:6" ht="29" x14ac:dyDescent="0.35">
      <c r="A1858" s="26" t="s">
        <v>216</v>
      </c>
      <c r="B1858" s="26" t="s">
        <v>3932</v>
      </c>
      <c r="C1858" s="26" t="s">
        <v>20</v>
      </c>
      <c r="D1858" s="28" t="s">
        <v>3933</v>
      </c>
      <c r="E1858" s="26">
        <v>13436</v>
      </c>
      <c r="F1858" s="29" t="s">
        <v>223</v>
      </c>
    </row>
    <row r="1859" spans="1:6" ht="58" x14ac:dyDescent="0.35">
      <c r="A1859" s="26" t="s">
        <v>216</v>
      </c>
      <c r="B1859" s="26" t="s">
        <v>3934</v>
      </c>
      <c r="C1859" s="26" t="s">
        <v>25</v>
      </c>
      <c r="D1859" s="28" t="s">
        <v>3935</v>
      </c>
      <c r="E1859" s="26">
        <v>0</v>
      </c>
      <c r="F1859" s="29" t="s">
        <v>226</v>
      </c>
    </row>
    <row r="1860" spans="1:6" ht="43.5" x14ac:dyDescent="0.35">
      <c r="A1860" s="26" t="s">
        <v>216</v>
      </c>
      <c r="B1860" s="26" t="s">
        <v>3936</v>
      </c>
      <c r="C1860" s="26" t="s">
        <v>27</v>
      </c>
      <c r="D1860" s="28" t="s">
        <v>3937</v>
      </c>
      <c r="E1860" s="26">
        <v>0</v>
      </c>
      <c r="F1860" s="29" t="s">
        <v>229</v>
      </c>
    </row>
    <row r="1861" spans="1:6" ht="29" x14ac:dyDescent="0.35">
      <c r="A1861" s="26" t="s">
        <v>216</v>
      </c>
      <c r="B1861" s="26" t="s">
        <v>3938</v>
      </c>
      <c r="C1861" s="26" t="s">
        <v>24</v>
      </c>
      <c r="D1861" s="28" t="s">
        <v>3939</v>
      </c>
      <c r="E1861" s="26">
        <v>0</v>
      </c>
      <c r="F1861" s="29" t="s">
        <v>232</v>
      </c>
    </row>
    <row r="1862" spans="1:6" ht="43.5" x14ac:dyDescent="0.35">
      <c r="A1862" s="26" t="s">
        <v>216</v>
      </c>
      <c r="B1862" s="26" t="s">
        <v>3940</v>
      </c>
      <c r="C1862" s="26" t="s">
        <v>15</v>
      </c>
      <c r="D1862" s="28" t="s">
        <v>218</v>
      </c>
      <c r="E1862" s="26" t="s">
        <v>3941</v>
      </c>
      <c r="F1862" s="29" t="s">
        <v>220</v>
      </c>
    </row>
    <row r="1863" spans="1:6" ht="29" x14ac:dyDescent="0.35">
      <c r="A1863" s="26" t="s">
        <v>216</v>
      </c>
      <c r="B1863" s="26" t="s">
        <v>3942</v>
      </c>
      <c r="C1863" s="26" t="s">
        <v>17</v>
      </c>
      <c r="D1863" s="28" t="s">
        <v>3943</v>
      </c>
      <c r="E1863" s="26">
        <v>13436</v>
      </c>
      <c r="F1863" s="29" t="s">
        <v>247</v>
      </c>
    </row>
    <row r="1864" spans="1:6" ht="29" x14ac:dyDescent="0.35">
      <c r="A1864" s="26" t="s">
        <v>216</v>
      </c>
      <c r="B1864" s="26" t="s">
        <v>3944</v>
      </c>
      <c r="C1864" s="26" t="s">
        <v>20</v>
      </c>
      <c r="D1864" s="28" t="s">
        <v>3945</v>
      </c>
      <c r="E1864" s="26">
        <v>13436</v>
      </c>
      <c r="F1864" s="29" t="s">
        <v>223</v>
      </c>
    </row>
    <row r="1865" spans="1:6" ht="58" x14ac:dyDescent="0.35">
      <c r="A1865" s="26" t="s">
        <v>216</v>
      </c>
      <c r="B1865" s="26" t="s">
        <v>3946</v>
      </c>
      <c r="C1865" s="26" t="s">
        <v>25</v>
      </c>
      <c r="D1865" s="28" t="s">
        <v>3947</v>
      </c>
      <c r="E1865" s="26">
        <v>0</v>
      </c>
      <c r="F1865" s="29" t="s">
        <v>226</v>
      </c>
    </row>
    <row r="1866" spans="1:6" ht="43.5" x14ac:dyDescent="0.35">
      <c r="A1866" s="26" t="s">
        <v>216</v>
      </c>
      <c r="B1866" s="26" t="s">
        <v>3948</v>
      </c>
      <c r="C1866" s="26" t="s">
        <v>27</v>
      </c>
      <c r="D1866" s="28" t="s">
        <v>3949</v>
      </c>
      <c r="E1866" s="26">
        <v>0</v>
      </c>
      <c r="F1866" s="29" t="s">
        <v>229</v>
      </c>
    </row>
    <row r="1867" spans="1:6" ht="29" x14ac:dyDescent="0.35">
      <c r="A1867" s="26" t="s">
        <v>216</v>
      </c>
      <c r="B1867" s="26" t="s">
        <v>3950</v>
      </c>
      <c r="C1867" s="26" t="s">
        <v>24</v>
      </c>
      <c r="D1867" s="28" t="s">
        <v>3951</v>
      </c>
      <c r="E1867" s="26">
        <v>0</v>
      </c>
      <c r="F1867" s="29" t="s">
        <v>232</v>
      </c>
    </row>
    <row r="1868" spans="1:6" ht="43.5" x14ac:dyDescent="0.35">
      <c r="A1868" s="26" t="s">
        <v>216</v>
      </c>
      <c r="B1868" s="26" t="s">
        <v>3952</v>
      </c>
      <c r="C1868" s="26" t="s">
        <v>15</v>
      </c>
      <c r="D1868" s="28" t="s">
        <v>218</v>
      </c>
      <c r="E1868" s="26" t="s">
        <v>3953</v>
      </c>
      <c r="F1868" s="29" t="s">
        <v>220</v>
      </c>
    </row>
    <row r="1869" spans="1:6" ht="29" x14ac:dyDescent="0.35">
      <c r="A1869" s="26" t="s">
        <v>216</v>
      </c>
      <c r="B1869" s="26" t="s">
        <v>3954</v>
      </c>
      <c r="C1869" s="26" t="s">
        <v>17</v>
      </c>
      <c r="D1869" s="28" t="s">
        <v>3955</v>
      </c>
      <c r="E1869" s="26">
        <v>13436</v>
      </c>
      <c r="F1869" s="29" t="s">
        <v>247</v>
      </c>
    </row>
    <row r="1870" spans="1:6" ht="29" x14ac:dyDescent="0.35">
      <c r="A1870" s="26" t="s">
        <v>216</v>
      </c>
      <c r="B1870" s="26" t="s">
        <v>3956</v>
      </c>
      <c r="C1870" s="26" t="s">
        <v>20</v>
      </c>
      <c r="D1870" s="28" t="s">
        <v>3957</v>
      </c>
      <c r="E1870" s="26">
        <v>13436</v>
      </c>
      <c r="F1870" s="29" t="s">
        <v>223</v>
      </c>
    </row>
    <row r="1871" spans="1:6" ht="58" x14ac:dyDescent="0.35">
      <c r="A1871" s="26" t="s">
        <v>216</v>
      </c>
      <c r="B1871" s="26" t="s">
        <v>3958</v>
      </c>
      <c r="C1871" s="26" t="s">
        <v>25</v>
      </c>
      <c r="D1871" s="28" t="s">
        <v>3959</v>
      </c>
      <c r="E1871" s="26">
        <v>0</v>
      </c>
      <c r="F1871" s="29" t="s">
        <v>226</v>
      </c>
    </row>
    <row r="1872" spans="1:6" ht="43.5" x14ac:dyDescent="0.35">
      <c r="A1872" s="26" t="s">
        <v>216</v>
      </c>
      <c r="B1872" s="26" t="s">
        <v>3960</v>
      </c>
      <c r="C1872" s="26" t="s">
        <v>27</v>
      </c>
      <c r="D1872" s="28" t="s">
        <v>3961</v>
      </c>
      <c r="E1872" s="26">
        <v>0</v>
      </c>
      <c r="F1872" s="29" t="s">
        <v>229</v>
      </c>
    </row>
    <row r="1873" spans="1:6" ht="29" x14ac:dyDescent="0.35">
      <c r="A1873" s="26" t="s">
        <v>216</v>
      </c>
      <c r="B1873" s="26" t="s">
        <v>3962</v>
      </c>
      <c r="C1873" s="26" t="s">
        <v>24</v>
      </c>
      <c r="D1873" s="28" t="s">
        <v>3963</v>
      </c>
      <c r="E1873" s="26">
        <v>0</v>
      </c>
      <c r="F1873" s="29" t="s">
        <v>232</v>
      </c>
    </row>
    <row r="1874" spans="1:6" ht="43.5" x14ac:dyDescent="0.35">
      <c r="A1874" s="26" t="s">
        <v>216</v>
      </c>
      <c r="B1874" s="26" t="s">
        <v>3964</v>
      </c>
      <c r="C1874" s="26" t="s">
        <v>15</v>
      </c>
      <c r="D1874" s="28" t="s">
        <v>218</v>
      </c>
      <c r="E1874" s="26" t="s">
        <v>3965</v>
      </c>
      <c r="F1874" s="29" t="s">
        <v>220</v>
      </c>
    </row>
    <row r="1875" spans="1:6" ht="29" x14ac:dyDescent="0.35">
      <c r="A1875" s="26" t="s">
        <v>216</v>
      </c>
      <c r="B1875" s="26" t="s">
        <v>3966</v>
      </c>
      <c r="C1875" s="26" t="s">
        <v>17</v>
      </c>
      <c r="D1875" s="28" t="s">
        <v>3967</v>
      </c>
      <c r="E1875" s="26">
        <v>13436</v>
      </c>
      <c r="F1875" s="29" t="s">
        <v>247</v>
      </c>
    </row>
    <row r="1876" spans="1:6" ht="29" x14ac:dyDescent="0.35">
      <c r="A1876" s="26" t="s">
        <v>216</v>
      </c>
      <c r="B1876" s="26" t="s">
        <v>3968</v>
      </c>
      <c r="C1876" s="26" t="s">
        <v>20</v>
      </c>
      <c r="D1876" s="28" t="s">
        <v>3969</v>
      </c>
      <c r="E1876" s="26">
        <v>13436</v>
      </c>
      <c r="F1876" s="29" t="s">
        <v>223</v>
      </c>
    </row>
    <row r="1877" spans="1:6" ht="58" x14ac:dyDescent="0.35">
      <c r="A1877" s="26" t="s">
        <v>216</v>
      </c>
      <c r="B1877" s="26" t="s">
        <v>3970</v>
      </c>
      <c r="C1877" s="26" t="s">
        <v>25</v>
      </c>
      <c r="D1877" s="28" t="s">
        <v>3971</v>
      </c>
      <c r="E1877" s="26">
        <v>0</v>
      </c>
      <c r="F1877" s="29" t="s">
        <v>226</v>
      </c>
    </row>
    <row r="1878" spans="1:6" ht="43.5" x14ac:dyDescent="0.35">
      <c r="A1878" s="26" t="s">
        <v>216</v>
      </c>
      <c r="B1878" s="26" t="s">
        <v>3972</v>
      </c>
      <c r="C1878" s="26" t="s">
        <v>27</v>
      </c>
      <c r="D1878" s="28" t="s">
        <v>3973</v>
      </c>
      <c r="E1878" s="26">
        <v>0</v>
      </c>
      <c r="F1878" s="29" t="s">
        <v>229</v>
      </c>
    </row>
    <row r="1879" spans="1:6" ht="29" x14ac:dyDescent="0.35">
      <c r="A1879" s="26" t="s">
        <v>216</v>
      </c>
      <c r="B1879" s="26" t="s">
        <v>3974</v>
      </c>
      <c r="C1879" s="26" t="s">
        <v>24</v>
      </c>
      <c r="D1879" s="28" t="s">
        <v>3975</v>
      </c>
      <c r="E1879" s="26">
        <v>0</v>
      </c>
      <c r="F1879" s="29" t="s">
        <v>232</v>
      </c>
    </row>
    <row r="1880" spans="1:6" ht="43.5" x14ac:dyDescent="0.35">
      <c r="A1880" s="26" t="s">
        <v>216</v>
      </c>
      <c r="B1880" s="26" t="s">
        <v>3976</v>
      </c>
      <c r="C1880" s="26" t="s">
        <v>15</v>
      </c>
      <c r="D1880" s="28" t="s">
        <v>218</v>
      </c>
      <c r="E1880" s="26" t="s">
        <v>3977</v>
      </c>
      <c r="F1880" s="29" t="s">
        <v>220</v>
      </c>
    </row>
    <row r="1881" spans="1:6" ht="29" x14ac:dyDescent="0.35">
      <c r="A1881" s="26" t="s">
        <v>216</v>
      </c>
      <c r="B1881" s="26" t="s">
        <v>3978</v>
      </c>
      <c r="C1881" s="26" t="s">
        <v>17</v>
      </c>
      <c r="D1881" s="28" t="s">
        <v>3979</v>
      </c>
      <c r="E1881" s="26">
        <v>13436</v>
      </c>
      <c r="F1881" s="29" t="s">
        <v>247</v>
      </c>
    </row>
    <row r="1882" spans="1:6" ht="29" x14ac:dyDescent="0.35">
      <c r="A1882" s="26" t="s">
        <v>216</v>
      </c>
      <c r="B1882" s="26" t="s">
        <v>3980</v>
      </c>
      <c r="C1882" s="26" t="s">
        <v>20</v>
      </c>
      <c r="D1882" s="28" t="s">
        <v>3981</v>
      </c>
      <c r="E1882" s="26">
        <v>13436</v>
      </c>
      <c r="F1882" s="29" t="s">
        <v>223</v>
      </c>
    </row>
    <row r="1883" spans="1:6" ht="58" x14ac:dyDescent="0.35">
      <c r="A1883" s="26" t="s">
        <v>216</v>
      </c>
      <c r="B1883" s="26" t="s">
        <v>3982</v>
      </c>
      <c r="C1883" s="26" t="s">
        <v>25</v>
      </c>
      <c r="D1883" s="28" t="s">
        <v>3983</v>
      </c>
      <c r="E1883" s="26">
        <v>0</v>
      </c>
      <c r="F1883" s="29" t="s">
        <v>226</v>
      </c>
    </row>
    <row r="1884" spans="1:6" ht="43.5" x14ac:dyDescent="0.35">
      <c r="A1884" s="26" t="s">
        <v>216</v>
      </c>
      <c r="B1884" s="26" t="s">
        <v>3984</v>
      </c>
      <c r="C1884" s="26" t="s">
        <v>27</v>
      </c>
      <c r="D1884" s="28" t="s">
        <v>3985</v>
      </c>
      <c r="E1884" s="26">
        <v>0</v>
      </c>
      <c r="F1884" s="29" t="s">
        <v>229</v>
      </c>
    </row>
    <row r="1885" spans="1:6" ht="29" x14ac:dyDescent="0.35">
      <c r="A1885" s="26" t="s">
        <v>216</v>
      </c>
      <c r="B1885" s="26" t="s">
        <v>3986</v>
      </c>
      <c r="C1885" s="26" t="s">
        <v>24</v>
      </c>
      <c r="D1885" s="28" t="s">
        <v>3987</v>
      </c>
      <c r="E1885" s="26">
        <v>0</v>
      </c>
      <c r="F1885" s="29" t="s">
        <v>232</v>
      </c>
    </row>
    <row r="1886" spans="1:6" ht="43.5" x14ac:dyDescent="0.35">
      <c r="A1886" s="26" t="s">
        <v>216</v>
      </c>
      <c r="B1886" s="26" t="s">
        <v>3988</v>
      </c>
      <c r="C1886" s="26" t="s">
        <v>15</v>
      </c>
      <c r="D1886" s="28" t="s">
        <v>218</v>
      </c>
      <c r="E1886" s="26" t="s">
        <v>3989</v>
      </c>
      <c r="F1886" s="29" t="s">
        <v>220</v>
      </c>
    </row>
    <row r="1887" spans="1:6" ht="29" x14ac:dyDescent="0.35">
      <c r="A1887" s="26" t="s">
        <v>216</v>
      </c>
      <c r="B1887" s="26" t="s">
        <v>3990</v>
      </c>
      <c r="C1887" s="26" t="s">
        <v>17</v>
      </c>
      <c r="D1887" s="28" t="s">
        <v>3991</v>
      </c>
      <c r="E1887" s="26">
        <v>13436</v>
      </c>
      <c r="F1887" s="29" t="s">
        <v>247</v>
      </c>
    </row>
    <row r="1888" spans="1:6" ht="29" x14ac:dyDescent="0.35">
      <c r="A1888" s="26" t="s">
        <v>216</v>
      </c>
      <c r="B1888" s="26" t="s">
        <v>3992</v>
      </c>
      <c r="C1888" s="26" t="s">
        <v>20</v>
      </c>
      <c r="D1888" s="28" t="s">
        <v>3993</v>
      </c>
      <c r="E1888" s="26">
        <v>13436</v>
      </c>
      <c r="F1888" s="29" t="s">
        <v>223</v>
      </c>
    </row>
    <row r="1889" spans="1:6" ht="58" x14ac:dyDescent="0.35">
      <c r="A1889" s="26" t="s">
        <v>216</v>
      </c>
      <c r="B1889" s="26" t="s">
        <v>3994</v>
      </c>
      <c r="C1889" s="26" t="s">
        <v>25</v>
      </c>
      <c r="D1889" s="28" t="s">
        <v>3995</v>
      </c>
      <c r="E1889" s="26">
        <v>0</v>
      </c>
      <c r="F1889" s="29" t="s">
        <v>226</v>
      </c>
    </row>
    <row r="1890" spans="1:6" ht="43.5" x14ac:dyDescent="0.35">
      <c r="A1890" s="26" t="s">
        <v>216</v>
      </c>
      <c r="B1890" s="26" t="s">
        <v>3996</v>
      </c>
      <c r="C1890" s="26" t="s">
        <v>27</v>
      </c>
      <c r="D1890" s="28" t="s">
        <v>3997</v>
      </c>
      <c r="E1890" s="26">
        <v>0</v>
      </c>
      <c r="F1890" s="29" t="s">
        <v>229</v>
      </c>
    </row>
    <row r="1891" spans="1:6" ht="29" x14ac:dyDescent="0.35">
      <c r="A1891" s="26" t="s">
        <v>216</v>
      </c>
      <c r="B1891" s="26" t="s">
        <v>3998</v>
      </c>
      <c r="C1891" s="26" t="s">
        <v>24</v>
      </c>
      <c r="D1891" s="28" t="s">
        <v>3999</v>
      </c>
      <c r="E1891" s="26">
        <v>0</v>
      </c>
      <c r="F1891" s="29" t="s">
        <v>232</v>
      </c>
    </row>
    <row r="1892" spans="1:6" ht="43.5" x14ac:dyDescent="0.35">
      <c r="A1892" s="26" t="s">
        <v>216</v>
      </c>
      <c r="B1892" s="26" t="s">
        <v>4000</v>
      </c>
      <c r="C1892" s="26" t="s">
        <v>15</v>
      </c>
      <c r="D1892" s="28" t="s">
        <v>218</v>
      </c>
      <c r="E1892" s="26" t="s">
        <v>4001</v>
      </c>
      <c r="F1892" s="29" t="s">
        <v>220</v>
      </c>
    </row>
    <row r="1893" spans="1:6" ht="29" x14ac:dyDescent="0.35">
      <c r="A1893" s="26" t="s">
        <v>216</v>
      </c>
      <c r="B1893" s="26" t="s">
        <v>4002</v>
      </c>
      <c r="C1893" s="26" t="s">
        <v>17</v>
      </c>
      <c r="D1893" s="28" t="s">
        <v>4003</v>
      </c>
      <c r="E1893" s="26">
        <v>13436</v>
      </c>
      <c r="F1893" s="29" t="s">
        <v>247</v>
      </c>
    </row>
    <row r="1894" spans="1:6" ht="29" x14ac:dyDescent="0.35">
      <c r="A1894" s="26" t="s">
        <v>216</v>
      </c>
      <c r="B1894" s="26" t="s">
        <v>4004</v>
      </c>
      <c r="C1894" s="26" t="s">
        <v>20</v>
      </c>
      <c r="D1894" s="28" t="s">
        <v>4005</v>
      </c>
      <c r="E1894" s="26">
        <v>13436</v>
      </c>
      <c r="F1894" s="29" t="s">
        <v>223</v>
      </c>
    </row>
    <row r="1895" spans="1:6" ht="58" x14ac:dyDescent="0.35">
      <c r="A1895" s="26" t="s">
        <v>216</v>
      </c>
      <c r="B1895" s="26" t="s">
        <v>4006</v>
      </c>
      <c r="C1895" s="26" t="s">
        <v>25</v>
      </c>
      <c r="D1895" s="28" t="s">
        <v>4007</v>
      </c>
      <c r="E1895" s="26">
        <v>0</v>
      </c>
      <c r="F1895" s="29" t="s">
        <v>226</v>
      </c>
    </row>
    <row r="1896" spans="1:6" ht="43.5" x14ac:dyDescent="0.35">
      <c r="A1896" s="26" t="s">
        <v>216</v>
      </c>
      <c r="B1896" s="26" t="s">
        <v>4008</v>
      </c>
      <c r="C1896" s="26" t="s">
        <v>27</v>
      </c>
      <c r="D1896" s="28" t="s">
        <v>4009</v>
      </c>
      <c r="E1896" s="26">
        <v>0</v>
      </c>
      <c r="F1896" s="29" t="s">
        <v>229</v>
      </c>
    </row>
    <row r="1897" spans="1:6" ht="29" x14ac:dyDescent="0.35">
      <c r="A1897" s="26" t="s">
        <v>216</v>
      </c>
      <c r="B1897" s="26" t="s">
        <v>4010</v>
      </c>
      <c r="C1897" s="26" t="s">
        <v>24</v>
      </c>
      <c r="D1897" s="28" t="s">
        <v>4011</v>
      </c>
      <c r="E1897" s="26">
        <v>0</v>
      </c>
      <c r="F1897" s="29" t="s">
        <v>232</v>
      </c>
    </row>
    <row r="1898" spans="1:6" ht="43.5" x14ac:dyDescent="0.35">
      <c r="A1898" s="26" t="s">
        <v>216</v>
      </c>
      <c r="B1898" s="26" t="s">
        <v>4012</v>
      </c>
      <c r="C1898" s="26" t="s">
        <v>15</v>
      </c>
      <c r="D1898" s="28" t="s">
        <v>218</v>
      </c>
      <c r="E1898" s="26" t="s">
        <v>4013</v>
      </c>
      <c r="F1898" s="29" t="s">
        <v>220</v>
      </c>
    </row>
    <row r="1899" spans="1:6" ht="29" x14ac:dyDescent="0.35">
      <c r="A1899" s="26" t="s">
        <v>216</v>
      </c>
      <c r="B1899" s="26" t="s">
        <v>4014</v>
      </c>
      <c r="C1899" s="26" t="s">
        <v>17</v>
      </c>
      <c r="D1899" s="28" t="s">
        <v>4015</v>
      </c>
      <c r="E1899" s="26">
        <v>13436</v>
      </c>
      <c r="F1899" s="29" t="s">
        <v>247</v>
      </c>
    </row>
    <row r="1900" spans="1:6" ht="29" x14ac:dyDescent="0.35">
      <c r="A1900" s="26" t="s">
        <v>216</v>
      </c>
      <c r="B1900" s="26" t="s">
        <v>4016</v>
      </c>
      <c r="C1900" s="26" t="s">
        <v>20</v>
      </c>
      <c r="D1900" s="28" t="s">
        <v>4017</v>
      </c>
      <c r="E1900" s="26">
        <v>13436</v>
      </c>
      <c r="F1900" s="29" t="s">
        <v>223</v>
      </c>
    </row>
    <row r="1901" spans="1:6" ht="58" x14ac:dyDescent="0.35">
      <c r="A1901" s="26" t="s">
        <v>216</v>
      </c>
      <c r="B1901" s="26" t="s">
        <v>4018</v>
      </c>
      <c r="C1901" s="26" t="s">
        <v>25</v>
      </c>
      <c r="D1901" s="28" t="s">
        <v>4019</v>
      </c>
      <c r="E1901" s="26">
        <v>0</v>
      </c>
      <c r="F1901" s="29" t="s">
        <v>226</v>
      </c>
    </row>
    <row r="1902" spans="1:6" ht="43.5" x14ac:dyDescent="0.35">
      <c r="A1902" s="26" t="s">
        <v>216</v>
      </c>
      <c r="B1902" s="26" t="s">
        <v>4020</v>
      </c>
      <c r="C1902" s="26" t="s">
        <v>27</v>
      </c>
      <c r="D1902" s="28" t="s">
        <v>4021</v>
      </c>
      <c r="E1902" s="26">
        <v>0</v>
      </c>
      <c r="F1902" s="29" t="s">
        <v>229</v>
      </c>
    </row>
    <row r="1903" spans="1:6" ht="29" x14ac:dyDescent="0.35">
      <c r="A1903" s="26" t="s">
        <v>216</v>
      </c>
      <c r="B1903" s="26" t="s">
        <v>4022</v>
      </c>
      <c r="C1903" s="26" t="s">
        <v>24</v>
      </c>
      <c r="D1903" s="28" t="s">
        <v>4023</v>
      </c>
      <c r="E1903" s="26">
        <v>0</v>
      </c>
      <c r="F1903" s="29" t="s">
        <v>232</v>
      </c>
    </row>
    <row r="1904" spans="1:6" ht="43.5" x14ac:dyDescent="0.35">
      <c r="A1904" s="26" t="s">
        <v>216</v>
      </c>
      <c r="B1904" s="26" t="s">
        <v>4024</v>
      </c>
      <c r="C1904" s="26" t="s">
        <v>15</v>
      </c>
      <c r="D1904" s="28" t="s">
        <v>218</v>
      </c>
      <c r="E1904" s="26" t="s">
        <v>4025</v>
      </c>
      <c r="F1904" s="29" t="s">
        <v>220</v>
      </c>
    </row>
    <row r="1905" spans="1:6" ht="29" x14ac:dyDescent="0.35">
      <c r="A1905" s="26" t="s">
        <v>216</v>
      </c>
      <c r="B1905" s="26" t="s">
        <v>4026</v>
      </c>
      <c r="C1905" s="26" t="s">
        <v>17</v>
      </c>
      <c r="D1905" s="28" t="s">
        <v>4027</v>
      </c>
      <c r="E1905" s="26">
        <v>13436</v>
      </c>
      <c r="F1905" s="29" t="s">
        <v>247</v>
      </c>
    </row>
    <row r="1906" spans="1:6" ht="29" x14ac:dyDescent="0.35">
      <c r="A1906" s="26" t="s">
        <v>216</v>
      </c>
      <c r="B1906" s="26" t="s">
        <v>4028</v>
      </c>
      <c r="C1906" s="26" t="s">
        <v>20</v>
      </c>
      <c r="D1906" s="28" t="s">
        <v>4029</v>
      </c>
      <c r="E1906" s="26">
        <v>13436</v>
      </c>
      <c r="F1906" s="29" t="s">
        <v>223</v>
      </c>
    </row>
    <row r="1907" spans="1:6" ht="58" x14ac:dyDescent="0.35">
      <c r="A1907" s="26" t="s">
        <v>216</v>
      </c>
      <c r="B1907" s="26" t="s">
        <v>4030</v>
      </c>
      <c r="C1907" s="26" t="s">
        <v>25</v>
      </c>
      <c r="D1907" s="28" t="s">
        <v>4031</v>
      </c>
      <c r="E1907" s="26">
        <v>0</v>
      </c>
      <c r="F1907" s="29" t="s">
        <v>226</v>
      </c>
    </row>
    <row r="1908" spans="1:6" ht="43.5" x14ac:dyDescent="0.35">
      <c r="A1908" s="26" t="s">
        <v>216</v>
      </c>
      <c r="B1908" s="26" t="s">
        <v>4032</v>
      </c>
      <c r="C1908" s="26" t="s">
        <v>27</v>
      </c>
      <c r="D1908" s="28" t="s">
        <v>4033</v>
      </c>
      <c r="E1908" s="26">
        <v>0</v>
      </c>
      <c r="F1908" s="29" t="s">
        <v>229</v>
      </c>
    </row>
    <row r="1909" spans="1:6" ht="29" x14ac:dyDescent="0.35">
      <c r="A1909" s="26" t="s">
        <v>216</v>
      </c>
      <c r="B1909" s="26" t="s">
        <v>4034</v>
      </c>
      <c r="C1909" s="26" t="s">
        <v>24</v>
      </c>
      <c r="D1909" s="28" t="s">
        <v>4035</v>
      </c>
      <c r="E1909" s="26">
        <v>0</v>
      </c>
      <c r="F1909" s="29" t="s">
        <v>232</v>
      </c>
    </row>
    <row r="1910" spans="1:6" ht="43.5" x14ac:dyDescent="0.35">
      <c r="A1910" s="26" t="s">
        <v>216</v>
      </c>
      <c r="B1910" s="26" t="s">
        <v>4036</v>
      </c>
      <c r="C1910" s="26" t="s">
        <v>15</v>
      </c>
      <c r="D1910" s="28" t="s">
        <v>218</v>
      </c>
      <c r="E1910" s="26" t="s">
        <v>4037</v>
      </c>
      <c r="F1910" s="29" t="s">
        <v>220</v>
      </c>
    </row>
    <row r="1911" spans="1:6" ht="29" x14ac:dyDescent="0.35">
      <c r="A1911" s="26" t="s">
        <v>216</v>
      </c>
      <c r="B1911" s="26" t="s">
        <v>4038</v>
      </c>
      <c r="C1911" s="26" t="s">
        <v>17</v>
      </c>
      <c r="D1911" s="28" t="s">
        <v>4039</v>
      </c>
      <c r="E1911" s="26">
        <v>13436</v>
      </c>
      <c r="F1911" s="29" t="s">
        <v>247</v>
      </c>
    </row>
    <row r="1912" spans="1:6" ht="29" x14ac:dyDescent="0.35">
      <c r="A1912" s="26" t="s">
        <v>216</v>
      </c>
      <c r="B1912" s="26" t="s">
        <v>4040</v>
      </c>
      <c r="C1912" s="26" t="s">
        <v>20</v>
      </c>
      <c r="D1912" s="28" t="s">
        <v>4041</v>
      </c>
      <c r="E1912" s="26">
        <v>13436</v>
      </c>
      <c r="F1912" s="29" t="s">
        <v>223</v>
      </c>
    </row>
    <row r="1913" spans="1:6" ht="58" x14ac:dyDescent="0.35">
      <c r="A1913" s="26" t="s">
        <v>216</v>
      </c>
      <c r="B1913" s="26" t="s">
        <v>4042</v>
      </c>
      <c r="C1913" s="26" t="s">
        <v>25</v>
      </c>
      <c r="D1913" s="28" t="s">
        <v>4043</v>
      </c>
      <c r="E1913" s="26">
        <v>0</v>
      </c>
      <c r="F1913" s="29" t="s">
        <v>226</v>
      </c>
    </row>
    <row r="1914" spans="1:6" ht="43.5" x14ac:dyDescent="0.35">
      <c r="A1914" s="26" t="s">
        <v>216</v>
      </c>
      <c r="B1914" s="26" t="s">
        <v>4044</v>
      </c>
      <c r="C1914" s="26" t="s">
        <v>27</v>
      </c>
      <c r="D1914" s="28" t="s">
        <v>4045</v>
      </c>
      <c r="E1914" s="26">
        <v>0</v>
      </c>
      <c r="F1914" s="29" t="s">
        <v>229</v>
      </c>
    </row>
    <row r="1915" spans="1:6" ht="29" x14ac:dyDescent="0.35">
      <c r="A1915" s="26" t="s">
        <v>216</v>
      </c>
      <c r="B1915" s="26" t="s">
        <v>4046</v>
      </c>
      <c r="C1915" s="26" t="s">
        <v>24</v>
      </c>
      <c r="D1915" s="28" t="s">
        <v>4047</v>
      </c>
      <c r="E1915" s="26">
        <v>0</v>
      </c>
      <c r="F1915" s="29" t="s">
        <v>232</v>
      </c>
    </row>
    <row r="1916" spans="1:6" ht="43.5" x14ac:dyDescent="0.35">
      <c r="A1916" s="26" t="s">
        <v>216</v>
      </c>
      <c r="B1916" s="26" t="s">
        <v>4048</v>
      </c>
      <c r="C1916" s="26" t="s">
        <v>15</v>
      </c>
      <c r="D1916" s="28" t="s">
        <v>218</v>
      </c>
      <c r="E1916" s="26" t="s">
        <v>4049</v>
      </c>
      <c r="F1916" s="29" t="s">
        <v>220</v>
      </c>
    </row>
    <row r="1917" spans="1:6" ht="29" x14ac:dyDescent="0.35">
      <c r="A1917" s="26" t="s">
        <v>216</v>
      </c>
      <c r="B1917" s="26" t="s">
        <v>4050</v>
      </c>
      <c r="C1917" s="26" t="s">
        <v>17</v>
      </c>
      <c r="D1917" s="28" t="s">
        <v>4051</v>
      </c>
      <c r="E1917" s="26">
        <v>13436</v>
      </c>
      <c r="F1917" s="29" t="s">
        <v>247</v>
      </c>
    </row>
    <row r="1918" spans="1:6" ht="29" x14ac:dyDescent="0.35">
      <c r="A1918" s="26" t="s">
        <v>216</v>
      </c>
      <c r="B1918" s="26" t="s">
        <v>4052</v>
      </c>
      <c r="C1918" s="26" t="s">
        <v>20</v>
      </c>
      <c r="D1918" s="28" t="s">
        <v>4053</v>
      </c>
      <c r="E1918" s="26">
        <v>13436</v>
      </c>
      <c r="F1918" s="29" t="s">
        <v>223</v>
      </c>
    </row>
    <row r="1919" spans="1:6" ht="58" x14ac:dyDescent="0.35">
      <c r="A1919" s="26" t="s">
        <v>216</v>
      </c>
      <c r="B1919" s="26" t="s">
        <v>4054</v>
      </c>
      <c r="C1919" s="26" t="s">
        <v>25</v>
      </c>
      <c r="D1919" s="28" t="s">
        <v>4055</v>
      </c>
      <c r="E1919" s="26">
        <v>0</v>
      </c>
      <c r="F1919" s="29" t="s">
        <v>226</v>
      </c>
    </row>
    <row r="1920" spans="1:6" ht="43.5" x14ac:dyDescent="0.35">
      <c r="A1920" s="26" t="s">
        <v>216</v>
      </c>
      <c r="B1920" s="26" t="s">
        <v>4056</v>
      </c>
      <c r="C1920" s="26" t="s">
        <v>27</v>
      </c>
      <c r="D1920" s="28" t="s">
        <v>4057</v>
      </c>
      <c r="E1920" s="26">
        <v>0</v>
      </c>
      <c r="F1920" s="29" t="s">
        <v>229</v>
      </c>
    </row>
    <row r="1921" spans="1:6" ht="29" x14ac:dyDescent="0.35">
      <c r="A1921" s="26" t="s">
        <v>216</v>
      </c>
      <c r="B1921" s="26" t="s">
        <v>4058</v>
      </c>
      <c r="C1921" s="26" t="s">
        <v>24</v>
      </c>
      <c r="D1921" s="28" t="s">
        <v>4059</v>
      </c>
      <c r="E1921" s="26">
        <v>0</v>
      </c>
      <c r="F1921" s="29" t="s">
        <v>232</v>
      </c>
    </row>
    <row r="1922" spans="1:6" ht="43.5" x14ac:dyDescent="0.35">
      <c r="A1922" s="26" t="s">
        <v>216</v>
      </c>
      <c r="B1922" s="26" t="s">
        <v>4060</v>
      </c>
      <c r="C1922" s="26" t="s">
        <v>15</v>
      </c>
      <c r="D1922" s="28" t="s">
        <v>218</v>
      </c>
      <c r="E1922" s="26" t="s">
        <v>4061</v>
      </c>
      <c r="F1922" s="29" t="s">
        <v>220</v>
      </c>
    </row>
    <row r="1923" spans="1:6" ht="29" x14ac:dyDescent="0.35">
      <c r="A1923" s="26" t="s">
        <v>216</v>
      </c>
      <c r="B1923" s="26" t="s">
        <v>4062</v>
      </c>
      <c r="C1923" s="26" t="s">
        <v>17</v>
      </c>
      <c r="D1923" s="28" t="s">
        <v>4063</v>
      </c>
      <c r="E1923" s="26">
        <v>13436</v>
      </c>
      <c r="F1923" s="29" t="s">
        <v>247</v>
      </c>
    </row>
    <row r="1924" spans="1:6" ht="29" x14ac:dyDescent="0.35">
      <c r="A1924" s="26" t="s">
        <v>216</v>
      </c>
      <c r="B1924" s="26" t="s">
        <v>4064</v>
      </c>
      <c r="C1924" s="26" t="s">
        <v>20</v>
      </c>
      <c r="D1924" s="28" t="s">
        <v>4065</v>
      </c>
      <c r="E1924" s="26">
        <v>13436</v>
      </c>
      <c r="F1924" s="29" t="s">
        <v>223</v>
      </c>
    </row>
    <row r="1925" spans="1:6" ht="58" x14ac:dyDescent="0.35">
      <c r="A1925" s="26" t="s">
        <v>216</v>
      </c>
      <c r="B1925" s="26" t="s">
        <v>4066</v>
      </c>
      <c r="C1925" s="26" t="s">
        <v>25</v>
      </c>
      <c r="D1925" s="28" t="s">
        <v>4067</v>
      </c>
      <c r="E1925" s="26">
        <v>0</v>
      </c>
      <c r="F1925" s="29" t="s">
        <v>226</v>
      </c>
    </row>
    <row r="1926" spans="1:6" ht="43.5" x14ac:dyDescent="0.35">
      <c r="A1926" s="26" t="s">
        <v>216</v>
      </c>
      <c r="B1926" s="26" t="s">
        <v>4068</v>
      </c>
      <c r="C1926" s="26" t="s">
        <v>27</v>
      </c>
      <c r="D1926" s="28" t="s">
        <v>4069</v>
      </c>
      <c r="E1926" s="26">
        <v>0</v>
      </c>
      <c r="F1926" s="29" t="s">
        <v>229</v>
      </c>
    </row>
    <row r="1927" spans="1:6" ht="29" x14ac:dyDescent="0.35">
      <c r="A1927" s="26" t="s">
        <v>216</v>
      </c>
      <c r="B1927" s="26" t="s">
        <v>4070</v>
      </c>
      <c r="C1927" s="26" t="s">
        <v>24</v>
      </c>
      <c r="D1927" s="28" t="s">
        <v>4071</v>
      </c>
      <c r="E1927" s="26">
        <v>0</v>
      </c>
      <c r="F1927" s="29" t="s">
        <v>232</v>
      </c>
    </row>
    <row r="1928" spans="1:6" ht="43.5" x14ac:dyDescent="0.35">
      <c r="A1928" s="26" t="s">
        <v>216</v>
      </c>
      <c r="B1928" s="26" t="s">
        <v>4072</v>
      </c>
      <c r="C1928" s="26" t="s">
        <v>15</v>
      </c>
      <c r="D1928" s="28" t="s">
        <v>218</v>
      </c>
      <c r="E1928" s="26" t="s">
        <v>4073</v>
      </c>
      <c r="F1928" s="29" t="s">
        <v>220</v>
      </c>
    </row>
    <row r="1929" spans="1:6" ht="29" x14ac:dyDescent="0.35">
      <c r="A1929" s="26" t="s">
        <v>216</v>
      </c>
      <c r="B1929" s="26" t="s">
        <v>4074</v>
      </c>
      <c r="C1929" s="26" t="s">
        <v>17</v>
      </c>
      <c r="D1929" s="28" t="s">
        <v>4075</v>
      </c>
      <c r="E1929" s="26">
        <v>13436</v>
      </c>
      <c r="F1929" s="29" t="s">
        <v>247</v>
      </c>
    </row>
    <row r="1930" spans="1:6" ht="29" x14ac:dyDescent="0.35">
      <c r="A1930" s="26" t="s">
        <v>216</v>
      </c>
      <c r="B1930" s="26" t="s">
        <v>4076</v>
      </c>
      <c r="C1930" s="26" t="s">
        <v>20</v>
      </c>
      <c r="D1930" s="28" t="s">
        <v>4077</v>
      </c>
      <c r="E1930" s="26">
        <v>13436</v>
      </c>
      <c r="F1930" s="29" t="s">
        <v>223</v>
      </c>
    </row>
    <row r="1931" spans="1:6" ht="58" x14ac:dyDescent="0.35">
      <c r="A1931" s="26" t="s">
        <v>216</v>
      </c>
      <c r="B1931" s="26" t="s">
        <v>4078</v>
      </c>
      <c r="C1931" s="26" t="s">
        <v>25</v>
      </c>
      <c r="D1931" s="28" t="s">
        <v>4079</v>
      </c>
      <c r="E1931" s="26">
        <v>0</v>
      </c>
      <c r="F1931" s="29" t="s">
        <v>226</v>
      </c>
    </row>
    <row r="1932" spans="1:6" ht="43.5" x14ac:dyDescent="0.35">
      <c r="A1932" s="26" t="s">
        <v>216</v>
      </c>
      <c r="B1932" s="26" t="s">
        <v>4080</v>
      </c>
      <c r="C1932" s="26" t="s">
        <v>27</v>
      </c>
      <c r="D1932" s="28" t="s">
        <v>4081</v>
      </c>
      <c r="E1932" s="26">
        <v>0</v>
      </c>
      <c r="F1932" s="29" t="s">
        <v>229</v>
      </c>
    </row>
    <row r="1933" spans="1:6" ht="29" x14ac:dyDescent="0.35">
      <c r="A1933" s="26" t="s">
        <v>216</v>
      </c>
      <c r="B1933" s="26" t="s">
        <v>4082</v>
      </c>
      <c r="C1933" s="26" t="s">
        <v>24</v>
      </c>
      <c r="D1933" s="28" t="s">
        <v>4083</v>
      </c>
      <c r="E1933" s="26">
        <v>0</v>
      </c>
      <c r="F1933" s="29" t="s">
        <v>232</v>
      </c>
    </row>
    <row r="1934" spans="1:6" ht="43.5" x14ac:dyDescent="0.35">
      <c r="A1934" s="26" t="s">
        <v>216</v>
      </c>
      <c r="B1934" s="26" t="s">
        <v>4084</v>
      </c>
      <c r="C1934" s="26" t="s">
        <v>15</v>
      </c>
      <c r="D1934" s="28" t="s">
        <v>218</v>
      </c>
      <c r="E1934" s="26" t="s">
        <v>4085</v>
      </c>
      <c r="F1934" s="29" t="s">
        <v>220</v>
      </c>
    </row>
    <row r="1935" spans="1:6" ht="29" x14ac:dyDescent="0.35">
      <c r="A1935" s="26" t="s">
        <v>216</v>
      </c>
      <c r="B1935" s="26" t="s">
        <v>4086</v>
      </c>
      <c r="C1935" s="26" t="s">
        <v>17</v>
      </c>
      <c r="D1935" s="28" t="s">
        <v>4087</v>
      </c>
      <c r="E1935" s="26">
        <v>13436</v>
      </c>
      <c r="F1935" s="29" t="s">
        <v>247</v>
      </c>
    </row>
    <row r="1936" spans="1:6" ht="29" x14ac:dyDescent="0.35">
      <c r="A1936" s="26" t="s">
        <v>216</v>
      </c>
      <c r="B1936" s="26" t="s">
        <v>4088</v>
      </c>
      <c r="C1936" s="26" t="s">
        <v>20</v>
      </c>
      <c r="D1936" s="28" t="s">
        <v>4089</v>
      </c>
      <c r="E1936" s="26">
        <v>13436</v>
      </c>
      <c r="F1936" s="29" t="s">
        <v>223</v>
      </c>
    </row>
    <row r="1937" spans="1:6" ht="58" x14ac:dyDescent="0.35">
      <c r="A1937" s="26" t="s">
        <v>216</v>
      </c>
      <c r="B1937" s="26" t="s">
        <v>4090</v>
      </c>
      <c r="C1937" s="26" t="s">
        <v>25</v>
      </c>
      <c r="D1937" s="28" t="s">
        <v>4091</v>
      </c>
      <c r="E1937" s="26">
        <v>0</v>
      </c>
      <c r="F1937" s="29" t="s">
        <v>226</v>
      </c>
    </row>
    <row r="1938" spans="1:6" ht="43.5" x14ac:dyDescent="0.35">
      <c r="A1938" s="26" t="s">
        <v>216</v>
      </c>
      <c r="B1938" s="26" t="s">
        <v>4092</v>
      </c>
      <c r="C1938" s="26" t="s">
        <v>27</v>
      </c>
      <c r="D1938" s="28" t="s">
        <v>4093</v>
      </c>
      <c r="E1938" s="26">
        <v>0</v>
      </c>
      <c r="F1938" s="29" t="s">
        <v>229</v>
      </c>
    </row>
    <row r="1939" spans="1:6" ht="29" x14ac:dyDescent="0.35">
      <c r="A1939" s="26" t="s">
        <v>216</v>
      </c>
      <c r="B1939" s="26" t="s">
        <v>4094</v>
      </c>
      <c r="C1939" s="26" t="s">
        <v>24</v>
      </c>
      <c r="D1939" s="28" t="s">
        <v>4095</v>
      </c>
      <c r="E1939" s="26">
        <v>0</v>
      </c>
      <c r="F1939" s="29" t="s">
        <v>232</v>
      </c>
    </row>
    <row r="1940" spans="1:6" ht="43.5" x14ac:dyDescent="0.35">
      <c r="A1940" s="26" t="s">
        <v>216</v>
      </c>
      <c r="B1940" s="26" t="s">
        <v>4096</v>
      </c>
      <c r="C1940" s="26" t="s">
        <v>15</v>
      </c>
      <c r="D1940" s="28" t="s">
        <v>218</v>
      </c>
      <c r="E1940" s="26" t="s">
        <v>4097</v>
      </c>
      <c r="F1940" s="29" t="s">
        <v>220</v>
      </c>
    </row>
    <row r="1941" spans="1:6" ht="29" x14ac:dyDescent="0.35">
      <c r="A1941" s="26" t="s">
        <v>216</v>
      </c>
      <c r="B1941" s="26" t="s">
        <v>4098</v>
      </c>
      <c r="C1941" s="26" t="s">
        <v>17</v>
      </c>
      <c r="D1941" s="28" t="s">
        <v>4099</v>
      </c>
      <c r="E1941" s="26">
        <v>13436</v>
      </c>
      <c r="F1941" s="29" t="s">
        <v>247</v>
      </c>
    </row>
    <row r="1942" spans="1:6" ht="29" x14ac:dyDescent="0.35">
      <c r="A1942" s="26" t="s">
        <v>216</v>
      </c>
      <c r="B1942" s="26" t="s">
        <v>4100</v>
      </c>
      <c r="C1942" s="26" t="s">
        <v>20</v>
      </c>
      <c r="D1942" s="28" t="s">
        <v>4101</v>
      </c>
      <c r="E1942" s="26">
        <v>13436</v>
      </c>
      <c r="F1942" s="29" t="s">
        <v>223</v>
      </c>
    </row>
    <row r="1943" spans="1:6" ht="58" x14ac:dyDescent="0.35">
      <c r="A1943" s="26" t="s">
        <v>216</v>
      </c>
      <c r="B1943" s="26" t="s">
        <v>4102</v>
      </c>
      <c r="C1943" s="26" t="s">
        <v>25</v>
      </c>
      <c r="D1943" s="28" t="s">
        <v>4103</v>
      </c>
      <c r="E1943" s="26">
        <v>0</v>
      </c>
      <c r="F1943" s="29" t="s">
        <v>226</v>
      </c>
    </row>
    <row r="1944" spans="1:6" ht="43.5" x14ac:dyDescent="0.35">
      <c r="A1944" s="26" t="s">
        <v>216</v>
      </c>
      <c r="B1944" s="26" t="s">
        <v>4104</v>
      </c>
      <c r="C1944" s="26" t="s">
        <v>27</v>
      </c>
      <c r="D1944" s="28" t="s">
        <v>4105</v>
      </c>
      <c r="E1944" s="26">
        <v>0</v>
      </c>
      <c r="F1944" s="29" t="s">
        <v>229</v>
      </c>
    </row>
    <row r="1945" spans="1:6" ht="29" x14ac:dyDescent="0.35">
      <c r="A1945" s="26" t="s">
        <v>216</v>
      </c>
      <c r="B1945" s="26" t="s">
        <v>4106</v>
      </c>
      <c r="C1945" s="26" t="s">
        <v>24</v>
      </c>
      <c r="D1945" s="28" t="s">
        <v>4107</v>
      </c>
      <c r="E1945" s="26">
        <v>0</v>
      </c>
      <c r="F1945" s="29" t="s">
        <v>232</v>
      </c>
    </row>
    <row r="1946" spans="1:6" ht="43.5" x14ac:dyDescent="0.35">
      <c r="A1946" s="26" t="s">
        <v>216</v>
      </c>
      <c r="B1946" s="26" t="s">
        <v>4108</v>
      </c>
      <c r="C1946" s="26" t="s">
        <v>15</v>
      </c>
      <c r="D1946" s="28" t="s">
        <v>218</v>
      </c>
      <c r="E1946" s="26" t="s">
        <v>4109</v>
      </c>
      <c r="F1946" s="29" t="s">
        <v>220</v>
      </c>
    </row>
    <row r="1947" spans="1:6" ht="29" x14ac:dyDescent="0.35">
      <c r="A1947" s="26" t="s">
        <v>216</v>
      </c>
      <c r="B1947" s="26" t="s">
        <v>4110</v>
      </c>
      <c r="C1947" s="26" t="s">
        <v>17</v>
      </c>
      <c r="D1947" s="28" t="s">
        <v>4111</v>
      </c>
      <c r="E1947" s="26">
        <v>13436</v>
      </c>
      <c r="F1947" s="29" t="s">
        <v>247</v>
      </c>
    </row>
    <row r="1948" spans="1:6" ht="29" x14ac:dyDescent="0.35">
      <c r="A1948" s="26" t="s">
        <v>216</v>
      </c>
      <c r="B1948" s="26" t="s">
        <v>4112</v>
      </c>
      <c r="C1948" s="26" t="s">
        <v>20</v>
      </c>
      <c r="D1948" s="28" t="s">
        <v>4113</v>
      </c>
      <c r="E1948" s="26">
        <v>13436</v>
      </c>
      <c r="F1948" s="29" t="s">
        <v>223</v>
      </c>
    </row>
    <row r="1949" spans="1:6" ht="58" x14ac:dyDescent="0.35">
      <c r="A1949" s="26" t="s">
        <v>216</v>
      </c>
      <c r="B1949" s="26" t="s">
        <v>4114</v>
      </c>
      <c r="C1949" s="26" t="s">
        <v>25</v>
      </c>
      <c r="D1949" s="28" t="s">
        <v>4115</v>
      </c>
      <c r="E1949" s="26">
        <v>0</v>
      </c>
      <c r="F1949" s="29" t="s">
        <v>226</v>
      </c>
    </row>
    <row r="1950" spans="1:6" ht="43.5" x14ac:dyDescent="0.35">
      <c r="A1950" s="26" t="s">
        <v>216</v>
      </c>
      <c r="B1950" s="26" t="s">
        <v>4116</v>
      </c>
      <c r="C1950" s="26" t="s">
        <v>27</v>
      </c>
      <c r="D1950" s="28" t="s">
        <v>4117</v>
      </c>
      <c r="E1950" s="26">
        <v>0</v>
      </c>
      <c r="F1950" s="29" t="s">
        <v>229</v>
      </c>
    </row>
    <row r="1951" spans="1:6" ht="29" x14ac:dyDescent="0.35">
      <c r="A1951" s="26" t="s">
        <v>216</v>
      </c>
      <c r="B1951" s="26" t="s">
        <v>4118</v>
      </c>
      <c r="C1951" s="26" t="s">
        <v>24</v>
      </c>
      <c r="D1951" s="28" t="s">
        <v>4119</v>
      </c>
      <c r="E1951" s="26">
        <v>0</v>
      </c>
      <c r="F1951" s="29" t="s">
        <v>232</v>
      </c>
    </row>
    <row r="1952" spans="1:6" ht="43.5" x14ac:dyDescent="0.35">
      <c r="A1952" s="26" t="s">
        <v>216</v>
      </c>
      <c r="B1952" s="26" t="s">
        <v>4120</v>
      </c>
      <c r="C1952" s="26" t="s">
        <v>15</v>
      </c>
      <c r="D1952" s="28" t="s">
        <v>218</v>
      </c>
      <c r="E1952" s="26" t="s">
        <v>4121</v>
      </c>
      <c r="F1952" s="29" t="s">
        <v>220</v>
      </c>
    </row>
    <row r="1953" spans="1:6" ht="29" x14ac:dyDescent="0.35">
      <c r="A1953" s="26" t="s">
        <v>216</v>
      </c>
      <c r="B1953" s="26" t="s">
        <v>4122</v>
      </c>
      <c r="C1953" s="26" t="s">
        <v>17</v>
      </c>
      <c r="D1953" s="28" t="s">
        <v>4123</v>
      </c>
      <c r="E1953" s="26">
        <v>13436</v>
      </c>
      <c r="F1953" s="29" t="s">
        <v>247</v>
      </c>
    </row>
    <row r="1954" spans="1:6" ht="29" x14ac:dyDescent="0.35">
      <c r="A1954" s="26" t="s">
        <v>216</v>
      </c>
      <c r="B1954" s="26" t="s">
        <v>4124</v>
      </c>
      <c r="C1954" s="26" t="s">
        <v>20</v>
      </c>
      <c r="D1954" s="28" t="s">
        <v>4125</v>
      </c>
      <c r="E1954" s="26">
        <v>13436</v>
      </c>
      <c r="F1954" s="29" t="s">
        <v>223</v>
      </c>
    </row>
    <row r="1955" spans="1:6" ht="58" x14ac:dyDescent="0.35">
      <c r="A1955" s="26" t="s">
        <v>216</v>
      </c>
      <c r="B1955" s="26" t="s">
        <v>4126</v>
      </c>
      <c r="C1955" s="26" t="s">
        <v>25</v>
      </c>
      <c r="D1955" s="28" t="s">
        <v>4127</v>
      </c>
      <c r="E1955" s="26">
        <v>0</v>
      </c>
      <c r="F1955" s="29" t="s">
        <v>226</v>
      </c>
    </row>
    <row r="1956" spans="1:6" ht="43.5" x14ac:dyDescent="0.35">
      <c r="A1956" s="26" t="s">
        <v>216</v>
      </c>
      <c r="B1956" s="26" t="s">
        <v>4128</v>
      </c>
      <c r="C1956" s="26" t="s">
        <v>27</v>
      </c>
      <c r="D1956" s="28" t="s">
        <v>4129</v>
      </c>
      <c r="E1956" s="26">
        <v>0</v>
      </c>
      <c r="F1956" s="29" t="s">
        <v>229</v>
      </c>
    </row>
    <row r="1957" spans="1:6" ht="29" x14ac:dyDescent="0.35">
      <c r="A1957" s="26" t="s">
        <v>216</v>
      </c>
      <c r="B1957" s="26" t="s">
        <v>4130</v>
      </c>
      <c r="C1957" s="26" t="s">
        <v>24</v>
      </c>
      <c r="D1957" s="28" t="s">
        <v>4131</v>
      </c>
      <c r="E1957" s="26">
        <v>0</v>
      </c>
      <c r="F1957" s="29" t="s">
        <v>232</v>
      </c>
    </row>
    <row r="1958" spans="1:6" ht="43.5" x14ac:dyDescent="0.35">
      <c r="A1958" s="26" t="s">
        <v>216</v>
      </c>
      <c r="B1958" s="26" t="s">
        <v>4132</v>
      </c>
      <c r="C1958" s="26" t="s">
        <v>15</v>
      </c>
      <c r="D1958" s="28" t="s">
        <v>218</v>
      </c>
      <c r="E1958" s="26" t="s">
        <v>4133</v>
      </c>
      <c r="F1958" s="29" t="s">
        <v>220</v>
      </c>
    </row>
    <row r="1959" spans="1:6" ht="29" x14ac:dyDescent="0.35">
      <c r="A1959" s="26" t="s">
        <v>216</v>
      </c>
      <c r="B1959" s="26" t="s">
        <v>4134</v>
      </c>
      <c r="C1959" s="26" t="s">
        <v>17</v>
      </c>
      <c r="D1959" s="28" t="s">
        <v>4135</v>
      </c>
      <c r="E1959" s="26">
        <v>13436</v>
      </c>
      <c r="F1959" s="29" t="s">
        <v>247</v>
      </c>
    </row>
    <row r="1960" spans="1:6" ht="29" x14ac:dyDescent="0.35">
      <c r="A1960" s="26" t="s">
        <v>216</v>
      </c>
      <c r="B1960" s="26" t="s">
        <v>4136</v>
      </c>
      <c r="C1960" s="26" t="s">
        <v>20</v>
      </c>
      <c r="D1960" s="28" t="s">
        <v>4137</v>
      </c>
      <c r="E1960" s="26">
        <v>13436</v>
      </c>
      <c r="F1960" s="29" t="s">
        <v>223</v>
      </c>
    </row>
    <row r="1961" spans="1:6" ht="58" x14ac:dyDescent="0.35">
      <c r="A1961" s="26" t="s">
        <v>216</v>
      </c>
      <c r="B1961" s="26" t="s">
        <v>4138</v>
      </c>
      <c r="C1961" s="26" t="s">
        <v>25</v>
      </c>
      <c r="D1961" s="28" t="s">
        <v>4139</v>
      </c>
      <c r="E1961" s="26">
        <v>0</v>
      </c>
      <c r="F1961" s="29" t="s">
        <v>226</v>
      </c>
    </row>
    <row r="1962" spans="1:6" ht="43.5" x14ac:dyDescent="0.35">
      <c r="A1962" s="26" t="s">
        <v>216</v>
      </c>
      <c r="B1962" s="26" t="s">
        <v>4140</v>
      </c>
      <c r="C1962" s="26" t="s">
        <v>27</v>
      </c>
      <c r="D1962" s="28" t="s">
        <v>4141</v>
      </c>
      <c r="E1962" s="26">
        <v>0</v>
      </c>
      <c r="F1962" s="29" t="s">
        <v>229</v>
      </c>
    </row>
    <row r="1963" spans="1:6" ht="29" x14ac:dyDescent="0.35">
      <c r="A1963" s="26" t="s">
        <v>216</v>
      </c>
      <c r="B1963" s="26" t="s">
        <v>4142</v>
      </c>
      <c r="C1963" s="26" t="s">
        <v>24</v>
      </c>
      <c r="D1963" s="28" t="s">
        <v>4143</v>
      </c>
      <c r="E1963" s="26">
        <v>0</v>
      </c>
      <c r="F1963" s="29" t="s">
        <v>232</v>
      </c>
    </row>
    <row r="1964" spans="1:6" ht="43.5" x14ac:dyDescent="0.35">
      <c r="A1964" s="26" t="s">
        <v>216</v>
      </c>
      <c r="B1964" s="26" t="s">
        <v>4144</v>
      </c>
      <c r="C1964" s="26" t="s">
        <v>15</v>
      </c>
      <c r="D1964" s="28" t="s">
        <v>218</v>
      </c>
      <c r="E1964" s="26" t="s">
        <v>4145</v>
      </c>
      <c r="F1964" s="29" t="s">
        <v>220</v>
      </c>
    </row>
    <row r="1965" spans="1:6" ht="29" x14ac:dyDescent="0.35">
      <c r="A1965" s="26" t="s">
        <v>216</v>
      </c>
      <c r="B1965" s="26" t="s">
        <v>4146</v>
      </c>
      <c r="C1965" s="26" t="s">
        <v>17</v>
      </c>
      <c r="D1965" s="28" t="s">
        <v>4147</v>
      </c>
      <c r="E1965" s="26">
        <v>13436</v>
      </c>
      <c r="F1965" s="29" t="s">
        <v>247</v>
      </c>
    </row>
    <row r="1966" spans="1:6" ht="29" x14ac:dyDescent="0.35">
      <c r="A1966" s="26" t="s">
        <v>216</v>
      </c>
      <c r="B1966" s="26" t="s">
        <v>4148</v>
      </c>
      <c r="C1966" s="26" t="s">
        <v>20</v>
      </c>
      <c r="D1966" s="28" t="s">
        <v>4149</v>
      </c>
      <c r="E1966" s="26">
        <v>13436</v>
      </c>
      <c r="F1966" s="29" t="s">
        <v>223</v>
      </c>
    </row>
    <row r="1967" spans="1:6" ht="58" x14ac:dyDescent="0.35">
      <c r="A1967" s="26" t="s">
        <v>216</v>
      </c>
      <c r="B1967" s="26" t="s">
        <v>4150</v>
      </c>
      <c r="C1967" s="26" t="s">
        <v>25</v>
      </c>
      <c r="D1967" s="28" t="s">
        <v>4151</v>
      </c>
      <c r="E1967" s="26">
        <v>0</v>
      </c>
      <c r="F1967" s="29" t="s">
        <v>226</v>
      </c>
    </row>
    <row r="1968" spans="1:6" ht="43.5" x14ac:dyDescent="0.35">
      <c r="A1968" s="26" t="s">
        <v>216</v>
      </c>
      <c r="B1968" s="26" t="s">
        <v>4152</v>
      </c>
      <c r="C1968" s="26" t="s">
        <v>27</v>
      </c>
      <c r="D1968" s="28" t="s">
        <v>4153</v>
      </c>
      <c r="E1968" s="26">
        <v>0</v>
      </c>
      <c r="F1968" s="29" t="s">
        <v>229</v>
      </c>
    </row>
    <row r="1969" spans="1:6" ht="29" x14ac:dyDescent="0.35">
      <c r="A1969" s="26" t="s">
        <v>216</v>
      </c>
      <c r="B1969" s="26" t="s">
        <v>4154</v>
      </c>
      <c r="C1969" s="26" t="s">
        <v>24</v>
      </c>
      <c r="D1969" s="28" t="s">
        <v>4155</v>
      </c>
      <c r="E1969" s="26">
        <v>0</v>
      </c>
      <c r="F1969" s="29" t="s">
        <v>232</v>
      </c>
    </row>
    <row r="1970" spans="1:6" ht="43.5" x14ac:dyDescent="0.35">
      <c r="A1970" s="26" t="s">
        <v>216</v>
      </c>
      <c r="B1970" s="26" t="s">
        <v>4156</v>
      </c>
      <c r="C1970" s="26" t="s">
        <v>15</v>
      </c>
      <c r="D1970" s="28" t="s">
        <v>218</v>
      </c>
      <c r="E1970" s="26" t="s">
        <v>4157</v>
      </c>
      <c r="F1970" s="29" t="s">
        <v>220</v>
      </c>
    </row>
    <row r="1971" spans="1:6" ht="29" x14ac:dyDescent="0.35">
      <c r="A1971" s="26" t="s">
        <v>216</v>
      </c>
      <c r="B1971" s="26" t="s">
        <v>4158</v>
      </c>
      <c r="C1971" s="26" t="s">
        <v>17</v>
      </c>
      <c r="D1971" s="28" t="s">
        <v>4159</v>
      </c>
      <c r="E1971" s="26">
        <v>13436</v>
      </c>
      <c r="F1971" s="29" t="s">
        <v>247</v>
      </c>
    </row>
    <row r="1972" spans="1:6" ht="29" x14ac:dyDescent="0.35">
      <c r="A1972" s="26" t="s">
        <v>216</v>
      </c>
      <c r="B1972" s="26" t="s">
        <v>4160</v>
      </c>
      <c r="C1972" s="26" t="s">
        <v>20</v>
      </c>
      <c r="D1972" s="28" t="s">
        <v>4161</v>
      </c>
      <c r="E1972" s="26">
        <v>13436</v>
      </c>
      <c r="F1972" s="29" t="s">
        <v>223</v>
      </c>
    </row>
    <row r="1973" spans="1:6" ht="58" x14ac:dyDescent="0.35">
      <c r="A1973" s="26" t="s">
        <v>216</v>
      </c>
      <c r="B1973" s="26" t="s">
        <v>4162</v>
      </c>
      <c r="C1973" s="26" t="s">
        <v>25</v>
      </c>
      <c r="D1973" s="28" t="s">
        <v>4163</v>
      </c>
      <c r="E1973" s="26">
        <v>0</v>
      </c>
      <c r="F1973" s="29" t="s">
        <v>226</v>
      </c>
    </row>
    <row r="1974" spans="1:6" ht="43.5" x14ac:dyDescent="0.35">
      <c r="A1974" s="26" t="s">
        <v>216</v>
      </c>
      <c r="B1974" s="26" t="s">
        <v>4164</v>
      </c>
      <c r="C1974" s="26" t="s">
        <v>27</v>
      </c>
      <c r="D1974" s="28" t="s">
        <v>4165</v>
      </c>
      <c r="E1974" s="26">
        <v>0</v>
      </c>
      <c r="F1974" s="29" t="s">
        <v>229</v>
      </c>
    </row>
    <row r="1975" spans="1:6" ht="29" x14ac:dyDescent="0.35">
      <c r="A1975" s="26" t="s">
        <v>216</v>
      </c>
      <c r="B1975" s="26" t="s">
        <v>4166</v>
      </c>
      <c r="C1975" s="26" t="s">
        <v>24</v>
      </c>
      <c r="D1975" s="28" t="s">
        <v>4167</v>
      </c>
      <c r="E1975" s="26">
        <v>0</v>
      </c>
      <c r="F1975" s="29" t="s">
        <v>232</v>
      </c>
    </row>
    <row r="1976" spans="1:6" ht="43.5" x14ac:dyDescent="0.35">
      <c r="A1976" s="26" t="s">
        <v>216</v>
      </c>
      <c r="B1976" s="26" t="s">
        <v>4168</v>
      </c>
      <c r="C1976" s="26" t="s">
        <v>15</v>
      </c>
      <c r="D1976" s="28" t="s">
        <v>218</v>
      </c>
      <c r="E1976" s="26" t="s">
        <v>4169</v>
      </c>
      <c r="F1976" s="29" t="s">
        <v>220</v>
      </c>
    </row>
    <row r="1977" spans="1:6" ht="29" x14ac:dyDescent="0.35">
      <c r="A1977" s="26" t="s">
        <v>216</v>
      </c>
      <c r="B1977" s="26" t="s">
        <v>4170</v>
      </c>
      <c r="C1977" s="26" t="s">
        <v>17</v>
      </c>
      <c r="D1977" s="28" t="s">
        <v>4171</v>
      </c>
      <c r="E1977" s="26">
        <v>13436</v>
      </c>
      <c r="F1977" s="29" t="s">
        <v>247</v>
      </c>
    </row>
    <row r="1978" spans="1:6" ht="29" x14ac:dyDescent="0.35">
      <c r="A1978" s="26" t="s">
        <v>216</v>
      </c>
      <c r="B1978" s="26" t="s">
        <v>4172</v>
      </c>
      <c r="C1978" s="26" t="s">
        <v>20</v>
      </c>
      <c r="D1978" s="28" t="s">
        <v>4173</v>
      </c>
      <c r="E1978" s="26">
        <v>13436</v>
      </c>
      <c r="F1978" s="29" t="s">
        <v>223</v>
      </c>
    </row>
    <row r="1979" spans="1:6" ht="58" x14ac:dyDescent="0.35">
      <c r="A1979" s="26" t="s">
        <v>216</v>
      </c>
      <c r="B1979" s="26" t="s">
        <v>4174</v>
      </c>
      <c r="C1979" s="26" t="s">
        <v>25</v>
      </c>
      <c r="D1979" s="28" t="s">
        <v>4175</v>
      </c>
      <c r="E1979" s="26">
        <v>0</v>
      </c>
      <c r="F1979" s="29" t="s">
        <v>226</v>
      </c>
    </row>
    <row r="1980" spans="1:6" ht="43.5" x14ac:dyDescent="0.35">
      <c r="A1980" s="26" t="s">
        <v>216</v>
      </c>
      <c r="B1980" s="26" t="s">
        <v>4176</v>
      </c>
      <c r="C1980" s="26" t="s">
        <v>27</v>
      </c>
      <c r="D1980" s="28" t="s">
        <v>4177</v>
      </c>
      <c r="E1980" s="26">
        <v>0</v>
      </c>
      <c r="F1980" s="29" t="s">
        <v>229</v>
      </c>
    </row>
    <row r="1981" spans="1:6" ht="29" x14ac:dyDescent="0.35">
      <c r="A1981" s="26" t="s">
        <v>216</v>
      </c>
      <c r="B1981" s="26" t="s">
        <v>4178</v>
      </c>
      <c r="C1981" s="26" t="s">
        <v>24</v>
      </c>
      <c r="D1981" s="28" t="s">
        <v>4179</v>
      </c>
      <c r="E1981" s="26">
        <v>0</v>
      </c>
      <c r="F1981" s="29" t="s">
        <v>232</v>
      </c>
    </row>
    <row r="1982" spans="1:6" ht="43.5" x14ac:dyDescent="0.35">
      <c r="A1982" s="26" t="s">
        <v>216</v>
      </c>
      <c r="B1982" s="26" t="s">
        <v>4180</v>
      </c>
      <c r="C1982" s="26" t="s">
        <v>15</v>
      </c>
      <c r="D1982" s="28" t="s">
        <v>218</v>
      </c>
      <c r="E1982" s="26" t="s">
        <v>4181</v>
      </c>
      <c r="F1982" s="29" t="s">
        <v>220</v>
      </c>
    </row>
    <row r="1983" spans="1:6" ht="29" x14ac:dyDescent="0.35">
      <c r="A1983" s="26" t="s">
        <v>216</v>
      </c>
      <c r="B1983" s="26" t="s">
        <v>4182</v>
      </c>
      <c r="C1983" s="26" t="s">
        <v>17</v>
      </c>
      <c r="D1983" s="28" t="s">
        <v>4183</v>
      </c>
      <c r="E1983" s="26">
        <v>13436</v>
      </c>
      <c r="F1983" s="29" t="s">
        <v>247</v>
      </c>
    </row>
    <row r="1984" spans="1:6" ht="29" x14ac:dyDescent="0.35">
      <c r="A1984" s="26" t="s">
        <v>216</v>
      </c>
      <c r="B1984" s="26" t="s">
        <v>4184</v>
      </c>
      <c r="C1984" s="26" t="s">
        <v>20</v>
      </c>
      <c r="D1984" s="28" t="s">
        <v>4185</v>
      </c>
      <c r="E1984" s="26">
        <v>13436</v>
      </c>
      <c r="F1984" s="29" t="s">
        <v>223</v>
      </c>
    </row>
    <row r="1985" spans="1:6" ht="58" x14ac:dyDescent="0.35">
      <c r="A1985" s="26" t="s">
        <v>216</v>
      </c>
      <c r="B1985" s="26" t="s">
        <v>4186</v>
      </c>
      <c r="C1985" s="26" t="s">
        <v>25</v>
      </c>
      <c r="D1985" s="28" t="s">
        <v>4187</v>
      </c>
      <c r="E1985" s="26">
        <v>0</v>
      </c>
      <c r="F1985" s="29" t="s">
        <v>226</v>
      </c>
    </row>
    <row r="1986" spans="1:6" ht="43.5" x14ac:dyDescent="0.35">
      <c r="A1986" s="26" t="s">
        <v>216</v>
      </c>
      <c r="B1986" s="26" t="s">
        <v>4188</v>
      </c>
      <c r="C1986" s="26" t="s">
        <v>27</v>
      </c>
      <c r="D1986" s="28" t="s">
        <v>4189</v>
      </c>
      <c r="E1986" s="26">
        <v>0</v>
      </c>
      <c r="F1986" s="29" t="s">
        <v>229</v>
      </c>
    </row>
    <row r="1987" spans="1:6" ht="29" x14ac:dyDescent="0.35">
      <c r="A1987" s="26" t="s">
        <v>216</v>
      </c>
      <c r="B1987" s="26" t="s">
        <v>4190</v>
      </c>
      <c r="C1987" s="26" t="s">
        <v>24</v>
      </c>
      <c r="D1987" s="28" t="s">
        <v>4191</v>
      </c>
      <c r="E1987" s="26">
        <v>0</v>
      </c>
      <c r="F1987" s="29" t="s">
        <v>232</v>
      </c>
    </row>
    <row r="1988" spans="1:6" ht="43.5" x14ac:dyDescent="0.35">
      <c r="A1988" s="26" t="s">
        <v>216</v>
      </c>
      <c r="B1988" s="26" t="s">
        <v>4192</v>
      </c>
      <c r="C1988" s="26" t="s">
        <v>15</v>
      </c>
      <c r="D1988" s="28" t="s">
        <v>218</v>
      </c>
      <c r="E1988" s="26" t="s">
        <v>4193</v>
      </c>
      <c r="F1988" s="29" t="s">
        <v>220</v>
      </c>
    </row>
    <row r="1989" spans="1:6" ht="29" x14ac:dyDescent="0.35">
      <c r="A1989" s="26" t="s">
        <v>216</v>
      </c>
      <c r="B1989" s="26" t="s">
        <v>4194</v>
      </c>
      <c r="C1989" s="26" t="s">
        <v>17</v>
      </c>
      <c r="D1989" s="28" t="s">
        <v>4195</v>
      </c>
      <c r="E1989" s="26">
        <v>13436</v>
      </c>
      <c r="F1989" s="29" t="s">
        <v>247</v>
      </c>
    </row>
    <row r="1990" spans="1:6" ht="29" x14ac:dyDescent="0.35">
      <c r="A1990" s="26" t="s">
        <v>216</v>
      </c>
      <c r="B1990" s="26" t="s">
        <v>4196</v>
      </c>
      <c r="C1990" s="26" t="s">
        <v>20</v>
      </c>
      <c r="D1990" s="28" t="s">
        <v>4197</v>
      </c>
      <c r="E1990" s="26">
        <v>13436</v>
      </c>
      <c r="F1990" s="29" t="s">
        <v>223</v>
      </c>
    </row>
    <row r="1991" spans="1:6" ht="58" x14ac:dyDescent="0.35">
      <c r="A1991" s="26" t="s">
        <v>216</v>
      </c>
      <c r="B1991" s="26" t="s">
        <v>4198</v>
      </c>
      <c r="C1991" s="26" t="s">
        <v>25</v>
      </c>
      <c r="D1991" s="28" t="s">
        <v>4199</v>
      </c>
      <c r="E1991" s="26">
        <v>0</v>
      </c>
      <c r="F1991" s="29" t="s">
        <v>226</v>
      </c>
    </row>
    <row r="1992" spans="1:6" ht="43.5" x14ac:dyDescent="0.35">
      <c r="A1992" s="26" t="s">
        <v>216</v>
      </c>
      <c r="B1992" s="26" t="s">
        <v>4200</v>
      </c>
      <c r="C1992" s="26" t="s">
        <v>27</v>
      </c>
      <c r="D1992" s="28" t="s">
        <v>4201</v>
      </c>
      <c r="E1992" s="26">
        <v>0</v>
      </c>
      <c r="F1992" s="29" t="s">
        <v>229</v>
      </c>
    </row>
    <row r="1993" spans="1:6" ht="29" x14ac:dyDescent="0.35">
      <c r="A1993" s="26" t="s">
        <v>216</v>
      </c>
      <c r="B1993" s="26" t="s">
        <v>4202</v>
      </c>
      <c r="C1993" s="26" t="s">
        <v>24</v>
      </c>
      <c r="D1993" s="28" t="s">
        <v>4203</v>
      </c>
      <c r="E1993" s="26">
        <v>0</v>
      </c>
      <c r="F1993" s="29" t="s">
        <v>232</v>
      </c>
    </row>
    <row r="1994" spans="1:6" ht="43.5" x14ac:dyDescent="0.35">
      <c r="A1994" s="26" t="s">
        <v>216</v>
      </c>
      <c r="B1994" s="26" t="s">
        <v>4204</v>
      </c>
      <c r="C1994" s="26" t="s">
        <v>15</v>
      </c>
      <c r="D1994" s="28" t="s">
        <v>218</v>
      </c>
      <c r="E1994" s="26" t="s">
        <v>4205</v>
      </c>
      <c r="F1994" s="29" t="s">
        <v>220</v>
      </c>
    </row>
    <row r="1995" spans="1:6" ht="29" x14ac:dyDescent="0.35">
      <c r="A1995" s="26" t="s">
        <v>216</v>
      </c>
      <c r="B1995" s="26" t="s">
        <v>4206</v>
      </c>
      <c r="C1995" s="26" t="s">
        <v>17</v>
      </c>
      <c r="D1995" s="28" t="s">
        <v>4207</v>
      </c>
      <c r="E1995" s="26">
        <v>13436</v>
      </c>
      <c r="F1995" s="29" t="s">
        <v>247</v>
      </c>
    </row>
    <row r="1996" spans="1:6" ht="29" x14ac:dyDescent="0.35">
      <c r="A1996" s="26" t="s">
        <v>216</v>
      </c>
      <c r="B1996" s="26" t="s">
        <v>4208</v>
      </c>
      <c r="C1996" s="26" t="s">
        <v>20</v>
      </c>
      <c r="D1996" s="28" t="s">
        <v>4209</v>
      </c>
      <c r="E1996" s="26">
        <v>13436</v>
      </c>
      <c r="F1996" s="29" t="s">
        <v>223</v>
      </c>
    </row>
    <row r="1997" spans="1:6" ht="58" x14ac:dyDescent="0.35">
      <c r="A1997" s="26" t="s">
        <v>216</v>
      </c>
      <c r="B1997" s="26" t="s">
        <v>4210</v>
      </c>
      <c r="C1997" s="26" t="s">
        <v>25</v>
      </c>
      <c r="D1997" s="28" t="s">
        <v>4211</v>
      </c>
      <c r="E1997" s="26">
        <v>0</v>
      </c>
      <c r="F1997" s="29" t="s">
        <v>226</v>
      </c>
    </row>
    <row r="1998" spans="1:6" ht="43.5" x14ac:dyDescent="0.35">
      <c r="A1998" s="26" t="s">
        <v>216</v>
      </c>
      <c r="B1998" s="26" t="s">
        <v>4212</v>
      </c>
      <c r="C1998" s="26" t="s">
        <v>27</v>
      </c>
      <c r="D1998" s="28" t="s">
        <v>4213</v>
      </c>
      <c r="E1998" s="26">
        <v>0</v>
      </c>
      <c r="F1998" s="29" t="s">
        <v>229</v>
      </c>
    </row>
    <row r="1999" spans="1:6" ht="29" x14ac:dyDescent="0.35">
      <c r="A1999" s="26" t="s">
        <v>216</v>
      </c>
      <c r="B1999" s="26" t="s">
        <v>4214</v>
      </c>
      <c r="C1999" s="26" t="s">
        <v>24</v>
      </c>
      <c r="D1999" s="28" t="s">
        <v>4215</v>
      </c>
      <c r="E1999" s="26">
        <v>0</v>
      </c>
      <c r="F1999" s="29" t="s">
        <v>232</v>
      </c>
    </row>
    <row r="2000" spans="1:6" ht="43.5" x14ac:dyDescent="0.35">
      <c r="A2000" s="26" t="s">
        <v>216</v>
      </c>
      <c r="B2000" s="26" t="s">
        <v>4216</v>
      </c>
      <c r="C2000" s="26" t="s">
        <v>15</v>
      </c>
      <c r="D2000" s="28" t="s">
        <v>218</v>
      </c>
      <c r="E2000" s="26" t="s">
        <v>4217</v>
      </c>
      <c r="F2000" s="29" t="s">
        <v>220</v>
      </c>
    </row>
    <row r="2001" spans="1:6" ht="29" x14ac:dyDescent="0.35">
      <c r="A2001" s="26" t="s">
        <v>216</v>
      </c>
      <c r="B2001" s="26" t="s">
        <v>4218</v>
      </c>
      <c r="C2001" s="26" t="s">
        <v>17</v>
      </c>
      <c r="D2001" s="28" t="s">
        <v>4219</v>
      </c>
      <c r="E2001" s="26">
        <v>13436</v>
      </c>
      <c r="F2001" s="29" t="s">
        <v>247</v>
      </c>
    </row>
    <row r="2002" spans="1:6" ht="29" x14ac:dyDescent="0.35">
      <c r="A2002" s="26" t="s">
        <v>216</v>
      </c>
      <c r="B2002" s="26" t="s">
        <v>4220</v>
      </c>
      <c r="C2002" s="26" t="s">
        <v>20</v>
      </c>
      <c r="D2002" s="28" t="s">
        <v>4221</v>
      </c>
      <c r="E2002" s="26">
        <v>13436</v>
      </c>
      <c r="F2002" s="29" t="s">
        <v>223</v>
      </c>
    </row>
    <row r="2003" spans="1:6" ht="58" x14ac:dyDescent="0.35">
      <c r="A2003" s="26" t="s">
        <v>216</v>
      </c>
      <c r="B2003" s="26" t="s">
        <v>4222</v>
      </c>
      <c r="C2003" s="26" t="s">
        <v>25</v>
      </c>
      <c r="D2003" s="28" t="s">
        <v>4223</v>
      </c>
      <c r="E2003" s="26">
        <v>0</v>
      </c>
      <c r="F2003" s="29" t="s">
        <v>226</v>
      </c>
    </row>
    <row r="2004" spans="1:6" ht="43.5" x14ac:dyDescent="0.35">
      <c r="A2004" s="26" t="s">
        <v>216</v>
      </c>
      <c r="B2004" s="26" t="s">
        <v>4224</v>
      </c>
      <c r="C2004" s="26" t="s">
        <v>27</v>
      </c>
      <c r="D2004" s="28" t="s">
        <v>4225</v>
      </c>
      <c r="E2004" s="26">
        <v>0</v>
      </c>
      <c r="F2004" s="29" t="s">
        <v>229</v>
      </c>
    </row>
    <row r="2005" spans="1:6" ht="29" x14ac:dyDescent="0.35">
      <c r="A2005" s="26" t="s">
        <v>216</v>
      </c>
      <c r="B2005" s="26" t="s">
        <v>4226</v>
      </c>
      <c r="C2005" s="26" t="s">
        <v>24</v>
      </c>
      <c r="D2005" s="28" t="s">
        <v>4227</v>
      </c>
      <c r="E2005" s="26">
        <v>0</v>
      </c>
      <c r="F2005" s="29" t="s">
        <v>232</v>
      </c>
    </row>
    <row r="2006" spans="1:6" ht="43.5" x14ac:dyDescent="0.35">
      <c r="A2006" s="26" t="s">
        <v>216</v>
      </c>
      <c r="B2006" s="26" t="s">
        <v>4228</v>
      </c>
      <c r="C2006" s="26" t="s">
        <v>15</v>
      </c>
      <c r="D2006" s="28" t="s">
        <v>218</v>
      </c>
      <c r="E2006" s="26" t="s">
        <v>4229</v>
      </c>
      <c r="F2006" s="29" t="s">
        <v>220</v>
      </c>
    </row>
    <row r="2007" spans="1:6" ht="29" x14ac:dyDescent="0.35">
      <c r="A2007" s="26" t="s">
        <v>216</v>
      </c>
      <c r="B2007" s="26" t="s">
        <v>4230</v>
      </c>
      <c r="C2007" s="26" t="s">
        <v>17</v>
      </c>
      <c r="D2007" s="28" t="s">
        <v>4231</v>
      </c>
      <c r="E2007" s="26">
        <v>13436</v>
      </c>
      <c r="F2007" s="29" t="s">
        <v>247</v>
      </c>
    </row>
    <row r="2008" spans="1:6" ht="29" x14ac:dyDescent="0.35">
      <c r="A2008" s="26" t="s">
        <v>216</v>
      </c>
      <c r="B2008" s="26" t="s">
        <v>4232</v>
      </c>
      <c r="C2008" s="26" t="s">
        <v>20</v>
      </c>
      <c r="D2008" s="28" t="s">
        <v>4233</v>
      </c>
      <c r="E2008" s="26">
        <v>13436</v>
      </c>
      <c r="F2008" s="29" t="s">
        <v>223</v>
      </c>
    </row>
    <row r="2009" spans="1:6" ht="58" x14ac:dyDescent="0.35">
      <c r="A2009" s="26" t="s">
        <v>216</v>
      </c>
      <c r="B2009" s="26" t="s">
        <v>4234</v>
      </c>
      <c r="C2009" s="26" t="s">
        <v>25</v>
      </c>
      <c r="D2009" s="28" t="s">
        <v>4235</v>
      </c>
      <c r="E2009" s="26">
        <v>0</v>
      </c>
      <c r="F2009" s="29" t="s">
        <v>226</v>
      </c>
    </row>
    <row r="2010" spans="1:6" ht="43.5" x14ac:dyDescent="0.35">
      <c r="A2010" s="26" t="s">
        <v>216</v>
      </c>
      <c r="B2010" s="26" t="s">
        <v>4236</v>
      </c>
      <c r="C2010" s="26" t="s">
        <v>27</v>
      </c>
      <c r="D2010" s="28" t="s">
        <v>4237</v>
      </c>
      <c r="E2010" s="26">
        <v>0</v>
      </c>
      <c r="F2010" s="29" t="s">
        <v>229</v>
      </c>
    </row>
    <row r="2011" spans="1:6" ht="29" x14ac:dyDescent="0.35">
      <c r="A2011" s="26" t="s">
        <v>216</v>
      </c>
      <c r="B2011" s="26" t="s">
        <v>4238</v>
      </c>
      <c r="C2011" s="26" t="s">
        <v>24</v>
      </c>
      <c r="D2011" s="28" t="s">
        <v>4239</v>
      </c>
      <c r="E2011" s="26">
        <v>0</v>
      </c>
      <c r="F2011" s="29" t="s">
        <v>232</v>
      </c>
    </row>
    <row r="2012" spans="1:6" ht="43.5" x14ac:dyDescent="0.35">
      <c r="A2012" s="26" t="s">
        <v>216</v>
      </c>
      <c r="B2012" s="26" t="s">
        <v>4240</v>
      </c>
      <c r="C2012" s="26" t="s">
        <v>15</v>
      </c>
      <c r="D2012" s="28" t="s">
        <v>218</v>
      </c>
      <c r="E2012" s="26" t="s">
        <v>4241</v>
      </c>
      <c r="F2012" s="29" t="s">
        <v>220</v>
      </c>
    </row>
    <row r="2013" spans="1:6" ht="29" x14ac:dyDescent="0.35">
      <c r="A2013" s="26" t="s">
        <v>216</v>
      </c>
      <c r="B2013" s="26" t="s">
        <v>4242</v>
      </c>
      <c r="C2013" s="26" t="s">
        <v>17</v>
      </c>
      <c r="D2013" s="28" t="s">
        <v>4243</v>
      </c>
      <c r="E2013" s="26">
        <v>13436</v>
      </c>
      <c r="F2013" s="29" t="s">
        <v>247</v>
      </c>
    </row>
    <row r="2014" spans="1:6" ht="29" x14ac:dyDescent="0.35">
      <c r="A2014" s="26" t="s">
        <v>216</v>
      </c>
      <c r="B2014" s="26" t="s">
        <v>4244</v>
      </c>
      <c r="C2014" s="26" t="s">
        <v>20</v>
      </c>
      <c r="D2014" s="28" t="s">
        <v>4245</v>
      </c>
      <c r="E2014" s="26">
        <v>13436</v>
      </c>
      <c r="F2014" s="29" t="s">
        <v>223</v>
      </c>
    </row>
    <row r="2015" spans="1:6" ht="58" x14ac:dyDescent="0.35">
      <c r="A2015" s="26" t="s">
        <v>216</v>
      </c>
      <c r="B2015" s="26" t="s">
        <v>4246</v>
      </c>
      <c r="C2015" s="26" t="s">
        <v>25</v>
      </c>
      <c r="D2015" s="28" t="s">
        <v>4247</v>
      </c>
      <c r="E2015" s="26">
        <v>0</v>
      </c>
      <c r="F2015" s="29" t="s">
        <v>226</v>
      </c>
    </row>
    <row r="2016" spans="1:6" ht="43.5" x14ac:dyDescent="0.35">
      <c r="A2016" s="26" t="s">
        <v>216</v>
      </c>
      <c r="B2016" s="26" t="s">
        <v>4248</v>
      </c>
      <c r="C2016" s="26" t="s">
        <v>27</v>
      </c>
      <c r="D2016" s="28" t="s">
        <v>4249</v>
      </c>
      <c r="E2016" s="26">
        <v>0</v>
      </c>
      <c r="F2016" s="29" t="s">
        <v>229</v>
      </c>
    </row>
    <row r="2017" spans="1:6" ht="29" x14ac:dyDescent="0.35">
      <c r="A2017" s="26" t="s">
        <v>216</v>
      </c>
      <c r="B2017" s="26" t="s">
        <v>4250</v>
      </c>
      <c r="C2017" s="26" t="s">
        <v>24</v>
      </c>
      <c r="D2017" s="28" t="s">
        <v>4251</v>
      </c>
      <c r="E2017" s="26">
        <v>0</v>
      </c>
      <c r="F2017" s="29" t="s">
        <v>232</v>
      </c>
    </row>
    <row r="2018" spans="1:6" ht="43.5" x14ac:dyDescent="0.35">
      <c r="A2018" s="26" t="s">
        <v>216</v>
      </c>
      <c r="B2018" s="26" t="s">
        <v>4252</v>
      </c>
      <c r="C2018" s="26" t="s">
        <v>15</v>
      </c>
      <c r="D2018" s="28" t="s">
        <v>218</v>
      </c>
      <c r="E2018" s="26" t="s">
        <v>4253</v>
      </c>
      <c r="F2018" s="29" t="s">
        <v>220</v>
      </c>
    </row>
    <row r="2019" spans="1:6" ht="29" x14ac:dyDescent="0.35">
      <c r="A2019" s="26" t="s">
        <v>216</v>
      </c>
      <c r="B2019" s="26" t="s">
        <v>4254</v>
      </c>
      <c r="C2019" s="26" t="s">
        <v>17</v>
      </c>
      <c r="D2019" s="28" t="s">
        <v>4255</v>
      </c>
      <c r="E2019" s="26">
        <v>13436</v>
      </c>
      <c r="F2019" s="29" t="s">
        <v>247</v>
      </c>
    </row>
    <row r="2020" spans="1:6" ht="29" x14ac:dyDescent="0.35">
      <c r="A2020" s="26" t="s">
        <v>216</v>
      </c>
      <c r="B2020" s="26" t="s">
        <v>4256</v>
      </c>
      <c r="C2020" s="26" t="s">
        <v>20</v>
      </c>
      <c r="D2020" s="28" t="s">
        <v>4257</v>
      </c>
      <c r="E2020" s="26">
        <v>13436</v>
      </c>
      <c r="F2020" s="29" t="s">
        <v>223</v>
      </c>
    </row>
    <row r="2021" spans="1:6" ht="58" x14ac:dyDescent="0.35">
      <c r="A2021" s="26" t="s">
        <v>216</v>
      </c>
      <c r="B2021" s="26" t="s">
        <v>4258</v>
      </c>
      <c r="C2021" s="26" t="s">
        <v>25</v>
      </c>
      <c r="D2021" s="28" t="s">
        <v>4259</v>
      </c>
      <c r="E2021" s="26">
        <v>0</v>
      </c>
      <c r="F2021" s="29" t="s">
        <v>226</v>
      </c>
    </row>
    <row r="2022" spans="1:6" ht="43.5" x14ac:dyDescent="0.35">
      <c r="A2022" s="26" t="s">
        <v>216</v>
      </c>
      <c r="B2022" s="26" t="s">
        <v>4260</v>
      </c>
      <c r="C2022" s="26" t="s">
        <v>27</v>
      </c>
      <c r="D2022" s="28" t="s">
        <v>4261</v>
      </c>
      <c r="E2022" s="26">
        <v>0</v>
      </c>
      <c r="F2022" s="29" t="s">
        <v>229</v>
      </c>
    </row>
    <row r="2023" spans="1:6" ht="29" x14ac:dyDescent="0.35">
      <c r="A2023" s="26" t="s">
        <v>216</v>
      </c>
      <c r="B2023" s="26" t="s">
        <v>4262</v>
      </c>
      <c r="C2023" s="26" t="s">
        <v>24</v>
      </c>
      <c r="D2023" s="28" t="s">
        <v>4263</v>
      </c>
      <c r="E2023" s="26">
        <v>0</v>
      </c>
      <c r="F2023" s="29" t="s">
        <v>232</v>
      </c>
    </row>
    <row r="2024" spans="1:6" ht="43.5" x14ac:dyDescent="0.35">
      <c r="A2024" s="26" t="s">
        <v>216</v>
      </c>
      <c r="B2024" s="26" t="s">
        <v>4264</v>
      </c>
      <c r="C2024" s="26" t="s">
        <v>15</v>
      </c>
      <c r="D2024" s="28" t="s">
        <v>218</v>
      </c>
      <c r="E2024" s="26" t="s">
        <v>4265</v>
      </c>
      <c r="F2024" s="29" t="s">
        <v>220</v>
      </c>
    </row>
    <row r="2025" spans="1:6" ht="29" x14ac:dyDescent="0.35">
      <c r="A2025" s="26" t="s">
        <v>216</v>
      </c>
      <c r="B2025" s="26" t="s">
        <v>4266</v>
      </c>
      <c r="C2025" s="26" t="s">
        <v>17</v>
      </c>
      <c r="D2025" s="28" t="s">
        <v>4267</v>
      </c>
      <c r="E2025" s="26">
        <v>13436</v>
      </c>
      <c r="F2025" s="29" t="s">
        <v>247</v>
      </c>
    </row>
    <row r="2026" spans="1:6" ht="29" x14ac:dyDescent="0.35">
      <c r="A2026" s="26" t="s">
        <v>216</v>
      </c>
      <c r="B2026" s="26" t="s">
        <v>4268</v>
      </c>
      <c r="C2026" s="26" t="s">
        <v>20</v>
      </c>
      <c r="D2026" s="28" t="s">
        <v>4269</v>
      </c>
      <c r="E2026" s="26">
        <v>13436</v>
      </c>
      <c r="F2026" s="29" t="s">
        <v>223</v>
      </c>
    </row>
    <row r="2027" spans="1:6" ht="58" x14ac:dyDescent="0.35">
      <c r="A2027" s="26" t="s">
        <v>216</v>
      </c>
      <c r="B2027" s="26" t="s">
        <v>4270</v>
      </c>
      <c r="C2027" s="26" t="s">
        <v>25</v>
      </c>
      <c r="D2027" s="28" t="s">
        <v>4271</v>
      </c>
      <c r="E2027" s="26">
        <v>0</v>
      </c>
      <c r="F2027" s="29" t="s">
        <v>226</v>
      </c>
    </row>
    <row r="2028" spans="1:6" ht="43.5" x14ac:dyDescent="0.35">
      <c r="A2028" s="26" t="s">
        <v>216</v>
      </c>
      <c r="B2028" s="26" t="s">
        <v>4272</v>
      </c>
      <c r="C2028" s="26" t="s">
        <v>27</v>
      </c>
      <c r="D2028" s="28" t="s">
        <v>4273</v>
      </c>
      <c r="E2028" s="26">
        <v>0</v>
      </c>
      <c r="F2028" s="29" t="s">
        <v>229</v>
      </c>
    </row>
    <row r="2029" spans="1:6" ht="29" x14ac:dyDescent="0.35">
      <c r="A2029" s="26" t="s">
        <v>216</v>
      </c>
      <c r="B2029" s="26" t="s">
        <v>4274</v>
      </c>
      <c r="C2029" s="26" t="s">
        <v>24</v>
      </c>
      <c r="D2029" s="28" t="s">
        <v>4275</v>
      </c>
      <c r="E2029" s="26">
        <v>0</v>
      </c>
      <c r="F2029" s="29" t="s">
        <v>232</v>
      </c>
    </row>
    <row r="2030" spans="1:6" ht="43.5" x14ac:dyDescent="0.35">
      <c r="A2030" s="26" t="s">
        <v>216</v>
      </c>
      <c r="B2030" s="26" t="s">
        <v>4276</v>
      </c>
      <c r="C2030" s="26" t="s">
        <v>15</v>
      </c>
      <c r="D2030" s="28" t="s">
        <v>218</v>
      </c>
      <c r="E2030" s="26" t="s">
        <v>4277</v>
      </c>
      <c r="F2030" s="29" t="s">
        <v>220</v>
      </c>
    </row>
    <row r="2031" spans="1:6" ht="29" x14ac:dyDescent="0.35">
      <c r="A2031" s="26" t="s">
        <v>216</v>
      </c>
      <c r="B2031" s="26" t="s">
        <v>4278</v>
      </c>
      <c r="C2031" s="26" t="s">
        <v>17</v>
      </c>
      <c r="D2031" s="28" t="s">
        <v>4279</v>
      </c>
      <c r="E2031" s="26">
        <v>13436</v>
      </c>
      <c r="F2031" s="29" t="s">
        <v>247</v>
      </c>
    </row>
    <row r="2032" spans="1:6" ht="29" x14ac:dyDescent="0.35">
      <c r="A2032" s="26" t="s">
        <v>216</v>
      </c>
      <c r="B2032" s="26" t="s">
        <v>4280</v>
      </c>
      <c r="C2032" s="26" t="s">
        <v>20</v>
      </c>
      <c r="D2032" s="28" t="s">
        <v>4281</v>
      </c>
      <c r="E2032" s="26">
        <v>13436</v>
      </c>
      <c r="F2032" s="29" t="s">
        <v>223</v>
      </c>
    </row>
    <row r="2033" spans="1:6" ht="58" x14ac:dyDescent="0.35">
      <c r="A2033" s="26" t="s">
        <v>216</v>
      </c>
      <c r="B2033" s="26" t="s">
        <v>4282</v>
      </c>
      <c r="C2033" s="26" t="s">
        <v>25</v>
      </c>
      <c r="D2033" s="28" t="s">
        <v>4283</v>
      </c>
      <c r="E2033" s="26">
        <v>0</v>
      </c>
      <c r="F2033" s="29" t="s">
        <v>226</v>
      </c>
    </row>
    <row r="2034" spans="1:6" ht="43.5" x14ac:dyDescent="0.35">
      <c r="A2034" s="26" t="s">
        <v>216</v>
      </c>
      <c r="B2034" s="26" t="s">
        <v>4284</v>
      </c>
      <c r="C2034" s="26" t="s">
        <v>27</v>
      </c>
      <c r="D2034" s="28" t="s">
        <v>4285</v>
      </c>
      <c r="E2034" s="26">
        <v>0</v>
      </c>
      <c r="F2034" s="29" t="s">
        <v>229</v>
      </c>
    </row>
    <row r="2035" spans="1:6" ht="29" x14ac:dyDescent="0.35">
      <c r="A2035" s="26" t="s">
        <v>216</v>
      </c>
      <c r="B2035" s="26" t="s">
        <v>4286</v>
      </c>
      <c r="C2035" s="26" t="s">
        <v>24</v>
      </c>
      <c r="D2035" s="28" t="s">
        <v>4287</v>
      </c>
      <c r="E2035" s="26">
        <v>0</v>
      </c>
      <c r="F2035" s="29" t="s">
        <v>232</v>
      </c>
    </row>
    <row r="2036" spans="1:6" ht="43.5" x14ac:dyDescent="0.35">
      <c r="A2036" s="26" t="s">
        <v>216</v>
      </c>
      <c r="B2036" s="26" t="s">
        <v>4288</v>
      </c>
      <c r="C2036" s="26" t="s">
        <v>15</v>
      </c>
      <c r="D2036" s="28" t="s">
        <v>218</v>
      </c>
      <c r="E2036" s="26" t="s">
        <v>4289</v>
      </c>
      <c r="F2036" s="29" t="s">
        <v>220</v>
      </c>
    </row>
    <row r="2037" spans="1:6" ht="29" x14ac:dyDescent="0.35">
      <c r="A2037" s="26" t="s">
        <v>216</v>
      </c>
      <c r="B2037" s="26" t="s">
        <v>4290</v>
      </c>
      <c r="C2037" s="26" t="s">
        <v>17</v>
      </c>
      <c r="D2037" s="28" t="s">
        <v>4291</v>
      </c>
      <c r="E2037" s="26">
        <v>13436</v>
      </c>
      <c r="F2037" s="29" t="s">
        <v>247</v>
      </c>
    </row>
    <row r="2038" spans="1:6" ht="29" x14ac:dyDescent="0.35">
      <c r="A2038" s="26" t="s">
        <v>216</v>
      </c>
      <c r="B2038" s="26" t="s">
        <v>4292</v>
      </c>
      <c r="C2038" s="26" t="s">
        <v>20</v>
      </c>
      <c r="D2038" s="28" t="s">
        <v>4293</v>
      </c>
      <c r="E2038" s="26">
        <v>13436</v>
      </c>
      <c r="F2038" s="29" t="s">
        <v>223</v>
      </c>
    </row>
    <row r="2039" spans="1:6" ht="58" x14ac:dyDescent="0.35">
      <c r="A2039" s="26" t="s">
        <v>216</v>
      </c>
      <c r="B2039" s="26" t="s">
        <v>4294</v>
      </c>
      <c r="C2039" s="26" t="s">
        <v>25</v>
      </c>
      <c r="D2039" s="28" t="s">
        <v>4295</v>
      </c>
      <c r="E2039" s="26">
        <v>0</v>
      </c>
      <c r="F2039" s="29" t="s">
        <v>226</v>
      </c>
    </row>
    <row r="2040" spans="1:6" ht="43.5" x14ac:dyDescent="0.35">
      <c r="A2040" s="26" t="s">
        <v>216</v>
      </c>
      <c r="B2040" s="26" t="s">
        <v>4296</v>
      </c>
      <c r="C2040" s="26" t="s">
        <v>27</v>
      </c>
      <c r="D2040" s="28" t="s">
        <v>4297</v>
      </c>
      <c r="E2040" s="26">
        <v>0</v>
      </c>
      <c r="F2040" s="29" t="s">
        <v>229</v>
      </c>
    </row>
    <row r="2041" spans="1:6" ht="29" x14ac:dyDescent="0.35">
      <c r="A2041" s="26" t="s">
        <v>216</v>
      </c>
      <c r="B2041" s="26" t="s">
        <v>4298</v>
      </c>
      <c r="C2041" s="26" t="s">
        <v>24</v>
      </c>
      <c r="D2041" s="28" t="s">
        <v>4299</v>
      </c>
      <c r="E2041" s="26">
        <v>0</v>
      </c>
      <c r="F2041" s="29" t="s">
        <v>232</v>
      </c>
    </row>
    <row r="2042" spans="1:6" ht="43.5" x14ac:dyDescent="0.35">
      <c r="A2042" s="26" t="s">
        <v>216</v>
      </c>
      <c r="B2042" s="26" t="s">
        <v>4300</v>
      </c>
      <c r="C2042" s="26" t="s">
        <v>15</v>
      </c>
      <c r="D2042" s="28" t="s">
        <v>218</v>
      </c>
      <c r="E2042" s="26" t="s">
        <v>4301</v>
      </c>
      <c r="F2042" s="29" t="s">
        <v>220</v>
      </c>
    </row>
    <row r="2043" spans="1:6" ht="29" x14ac:dyDescent="0.35">
      <c r="A2043" s="26" t="s">
        <v>216</v>
      </c>
      <c r="B2043" s="26" t="s">
        <v>4302</v>
      </c>
      <c r="C2043" s="26" t="s">
        <v>17</v>
      </c>
      <c r="D2043" s="28" t="s">
        <v>4303</v>
      </c>
      <c r="E2043" s="26">
        <v>13436</v>
      </c>
      <c r="F2043" s="29" t="s">
        <v>247</v>
      </c>
    </row>
    <row r="2044" spans="1:6" ht="29" x14ac:dyDescent="0.35">
      <c r="A2044" s="26" t="s">
        <v>216</v>
      </c>
      <c r="B2044" s="26" t="s">
        <v>4304</v>
      </c>
      <c r="C2044" s="26" t="s">
        <v>20</v>
      </c>
      <c r="D2044" s="28" t="s">
        <v>4305</v>
      </c>
      <c r="E2044" s="26">
        <v>13436</v>
      </c>
      <c r="F2044" s="29" t="s">
        <v>223</v>
      </c>
    </row>
    <row r="2045" spans="1:6" ht="58" x14ac:dyDescent="0.35">
      <c r="A2045" s="26" t="s">
        <v>216</v>
      </c>
      <c r="B2045" s="26" t="s">
        <v>4306</v>
      </c>
      <c r="C2045" s="26" t="s">
        <v>25</v>
      </c>
      <c r="D2045" s="28" t="s">
        <v>4307</v>
      </c>
      <c r="E2045" s="26">
        <v>0</v>
      </c>
      <c r="F2045" s="29" t="s">
        <v>226</v>
      </c>
    </row>
    <row r="2046" spans="1:6" ht="43.5" x14ac:dyDescent="0.35">
      <c r="A2046" s="26" t="s">
        <v>216</v>
      </c>
      <c r="B2046" s="26" t="s">
        <v>4308</v>
      </c>
      <c r="C2046" s="26" t="s">
        <v>27</v>
      </c>
      <c r="D2046" s="28" t="s">
        <v>4309</v>
      </c>
      <c r="E2046" s="26">
        <v>0</v>
      </c>
      <c r="F2046" s="29" t="s">
        <v>229</v>
      </c>
    </row>
    <row r="2047" spans="1:6" ht="29" x14ac:dyDescent="0.35">
      <c r="A2047" s="26" t="s">
        <v>216</v>
      </c>
      <c r="B2047" s="26" t="s">
        <v>4310</v>
      </c>
      <c r="C2047" s="26" t="s">
        <v>24</v>
      </c>
      <c r="D2047" s="28" t="s">
        <v>4311</v>
      </c>
      <c r="E2047" s="26">
        <v>0</v>
      </c>
      <c r="F2047" s="29" t="s">
        <v>232</v>
      </c>
    </row>
    <row r="2048" spans="1:6" ht="43.5" x14ac:dyDescent="0.35">
      <c r="A2048" s="26" t="s">
        <v>216</v>
      </c>
      <c r="B2048" s="26" t="s">
        <v>4312</v>
      </c>
      <c r="C2048" s="26" t="s">
        <v>15</v>
      </c>
      <c r="D2048" s="28" t="s">
        <v>218</v>
      </c>
      <c r="E2048" s="26" t="s">
        <v>4313</v>
      </c>
      <c r="F2048" s="29" t="s">
        <v>220</v>
      </c>
    </row>
    <row r="2049" spans="1:6" ht="29" x14ac:dyDescent="0.35">
      <c r="A2049" s="26" t="s">
        <v>216</v>
      </c>
      <c r="B2049" s="26" t="s">
        <v>4314</v>
      </c>
      <c r="C2049" s="26" t="s">
        <v>17</v>
      </c>
      <c r="D2049" s="28" t="s">
        <v>4315</v>
      </c>
      <c r="E2049" s="26">
        <v>13436</v>
      </c>
      <c r="F2049" s="29" t="s">
        <v>247</v>
      </c>
    </row>
    <row r="2050" spans="1:6" ht="29" x14ac:dyDescent="0.35">
      <c r="A2050" s="26" t="s">
        <v>216</v>
      </c>
      <c r="B2050" s="26" t="s">
        <v>4316</v>
      </c>
      <c r="C2050" s="26" t="s">
        <v>20</v>
      </c>
      <c r="D2050" s="28" t="s">
        <v>4317</v>
      </c>
      <c r="E2050" s="26">
        <v>13436</v>
      </c>
      <c r="F2050" s="29" t="s">
        <v>223</v>
      </c>
    </row>
    <row r="2051" spans="1:6" ht="58" x14ac:dyDescent="0.35">
      <c r="A2051" s="26" t="s">
        <v>216</v>
      </c>
      <c r="B2051" s="26" t="s">
        <v>4318</v>
      </c>
      <c r="C2051" s="26" t="s">
        <v>25</v>
      </c>
      <c r="D2051" s="28" t="s">
        <v>4319</v>
      </c>
      <c r="E2051" s="26">
        <v>0</v>
      </c>
      <c r="F2051" s="29" t="s">
        <v>226</v>
      </c>
    </row>
    <row r="2052" spans="1:6" ht="43.5" x14ac:dyDescent="0.35">
      <c r="A2052" s="26" t="s">
        <v>216</v>
      </c>
      <c r="B2052" s="26" t="s">
        <v>4320</v>
      </c>
      <c r="C2052" s="26" t="s">
        <v>27</v>
      </c>
      <c r="D2052" s="28" t="s">
        <v>4321</v>
      </c>
      <c r="E2052" s="26">
        <v>0</v>
      </c>
      <c r="F2052" s="29" t="s">
        <v>229</v>
      </c>
    </row>
    <row r="2053" spans="1:6" ht="29" x14ac:dyDescent="0.35">
      <c r="A2053" s="26" t="s">
        <v>216</v>
      </c>
      <c r="B2053" s="26" t="s">
        <v>4322</v>
      </c>
      <c r="C2053" s="26" t="s">
        <v>24</v>
      </c>
      <c r="D2053" s="28" t="s">
        <v>4323</v>
      </c>
      <c r="E2053" s="26">
        <v>0</v>
      </c>
      <c r="F2053" s="29" t="s">
        <v>232</v>
      </c>
    </row>
    <row r="2054" spans="1:6" ht="43.5" x14ac:dyDescent="0.35">
      <c r="A2054" s="26" t="s">
        <v>216</v>
      </c>
      <c r="B2054" s="26" t="s">
        <v>4324</v>
      </c>
      <c r="C2054" s="26" t="s">
        <v>15</v>
      </c>
      <c r="D2054" s="28" t="s">
        <v>218</v>
      </c>
      <c r="E2054" s="26" t="s">
        <v>4325</v>
      </c>
      <c r="F2054" s="29" t="s">
        <v>220</v>
      </c>
    </row>
    <row r="2055" spans="1:6" ht="29" x14ac:dyDescent="0.35">
      <c r="A2055" s="26" t="s">
        <v>216</v>
      </c>
      <c r="B2055" s="26" t="s">
        <v>4326</v>
      </c>
      <c r="C2055" s="26" t="s">
        <v>17</v>
      </c>
      <c r="D2055" s="28" t="s">
        <v>4327</v>
      </c>
      <c r="E2055" s="26">
        <v>13436</v>
      </c>
      <c r="F2055" s="29" t="s">
        <v>247</v>
      </c>
    </row>
    <row r="2056" spans="1:6" ht="29" x14ac:dyDescent="0.35">
      <c r="A2056" s="26" t="s">
        <v>216</v>
      </c>
      <c r="B2056" s="26" t="s">
        <v>4328</v>
      </c>
      <c r="C2056" s="26" t="s">
        <v>20</v>
      </c>
      <c r="D2056" s="28" t="s">
        <v>4329</v>
      </c>
      <c r="E2056" s="26">
        <v>13436</v>
      </c>
      <c r="F2056" s="29" t="s">
        <v>223</v>
      </c>
    </row>
    <row r="2057" spans="1:6" ht="58" x14ac:dyDescent="0.35">
      <c r="A2057" s="26" t="s">
        <v>216</v>
      </c>
      <c r="B2057" s="26" t="s">
        <v>4330</v>
      </c>
      <c r="C2057" s="26" t="s">
        <v>25</v>
      </c>
      <c r="D2057" s="28" t="s">
        <v>4331</v>
      </c>
      <c r="E2057" s="26">
        <v>0</v>
      </c>
      <c r="F2057" s="29" t="s">
        <v>226</v>
      </c>
    </row>
    <row r="2058" spans="1:6" ht="43.5" x14ac:dyDescent="0.35">
      <c r="A2058" s="26" t="s">
        <v>216</v>
      </c>
      <c r="B2058" s="26" t="s">
        <v>4332</v>
      </c>
      <c r="C2058" s="26" t="s">
        <v>27</v>
      </c>
      <c r="D2058" s="28" t="s">
        <v>4333</v>
      </c>
      <c r="E2058" s="26">
        <v>0</v>
      </c>
      <c r="F2058" s="29" t="s">
        <v>229</v>
      </c>
    </row>
    <row r="2059" spans="1:6" ht="29" x14ac:dyDescent="0.35">
      <c r="A2059" s="26" t="s">
        <v>216</v>
      </c>
      <c r="B2059" s="26" t="s">
        <v>4334</v>
      </c>
      <c r="C2059" s="26" t="s">
        <v>24</v>
      </c>
      <c r="D2059" s="28" t="s">
        <v>4335</v>
      </c>
      <c r="E2059" s="26">
        <v>0</v>
      </c>
      <c r="F2059" s="29" t="s">
        <v>232</v>
      </c>
    </row>
    <row r="2060" spans="1:6" ht="43.5" x14ac:dyDescent="0.35">
      <c r="A2060" s="26" t="s">
        <v>216</v>
      </c>
      <c r="B2060" s="26" t="s">
        <v>4336</v>
      </c>
      <c r="C2060" s="26" t="s">
        <v>15</v>
      </c>
      <c r="D2060" s="28" t="s">
        <v>218</v>
      </c>
      <c r="E2060" s="26" t="s">
        <v>4337</v>
      </c>
      <c r="F2060" s="29" t="s">
        <v>220</v>
      </c>
    </row>
    <row r="2061" spans="1:6" ht="29" x14ac:dyDescent="0.35">
      <c r="A2061" s="26" t="s">
        <v>216</v>
      </c>
      <c r="B2061" s="26" t="s">
        <v>4338</v>
      </c>
      <c r="C2061" s="26" t="s">
        <v>17</v>
      </c>
      <c r="D2061" s="28" t="s">
        <v>4339</v>
      </c>
      <c r="E2061" s="26">
        <v>13436</v>
      </c>
      <c r="F2061" s="29" t="s">
        <v>247</v>
      </c>
    </row>
    <row r="2062" spans="1:6" ht="29" x14ac:dyDescent="0.35">
      <c r="A2062" s="26" t="s">
        <v>216</v>
      </c>
      <c r="B2062" s="26" t="s">
        <v>4340</v>
      </c>
      <c r="C2062" s="26" t="s">
        <v>20</v>
      </c>
      <c r="D2062" s="28" t="s">
        <v>4341</v>
      </c>
      <c r="E2062" s="26">
        <v>13436</v>
      </c>
      <c r="F2062" s="29" t="s">
        <v>223</v>
      </c>
    </row>
    <row r="2063" spans="1:6" ht="58" x14ac:dyDescent="0.35">
      <c r="A2063" s="26" t="s">
        <v>216</v>
      </c>
      <c r="B2063" s="26" t="s">
        <v>4342</v>
      </c>
      <c r="C2063" s="26" t="s">
        <v>25</v>
      </c>
      <c r="D2063" s="28" t="s">
        <v>4343</v>
      </c>
      <c r="E2063" s="26">
        <v>0</v>
      </c>
      <c r="F2063" s="29" t="s">
        <v>226</v>
      </c>
    </row>
    <row r="2064" spans="1:6" ht="43.5" x14ac:dyDescent="0.35">
      <c r="A2064" s="26" t="s">
        <v>216</v>
      </c>
      <c r="B2064" s="26" t="s">
        <v>4344</v>
      </c>
      <c r="C2064" s="26" t="s">
        <v>27</v>
      </c>
      <c r="D2064" s="28" t="s">
        <v>4345</v>
      </c>
      <c r="E2064" s="26">
        <v>0</v>
      </c>
      <c r="F2064" s="29" t="s">
        <v>229</v>
      </c>
    </row>
    <row r="2065" spans="1:6" ht="29" x14ac:dyDescent="0.35">
      <c r="A2065" s="26" t="s">
        <v>216</v>
      </c>
      <c r="B2065" s="26" t="s">
        <v>4346</v>
      </c>
      <c r="C2065" s="26" t="s">
        <v>24</v>
      </c>
      <c r="D2065" s="28" t="s">
        <v>4347</v>
      </c>
      <c r="E2065" s="26">
        <v>0</v>
      </c>
      <c r="F2065" s="29" t="s">
        <v>232</v>
      </c>
    </row>
    <row r="2066" spans="1:6" ht="43.5" x14ac:dyDescent="0.35">
      <c r="A2066" s="26" t="s">
        <v>216</v>
      </c>
      <c r="B2066" s="26" t="s">
        <v>4348</v>
      </c>
      <c r="C2066" s="26" t="s">
        <v>15</v>
      </c>
      <c r="D2066" s="28" t="s">
        <v>218</v>
      </c>
      <c r="E2066" s="26" t="s">
        <v>4349</v>
      </c>
      <c r="F2066" s="29" t="s">
        <v>220</v>
      </c>
    </row>
    <row r="2067" spans="1:6" ht="29" x14ac:dyDescent="0.35">
      <c r="A2067" s="26" t="s">
        <v>216</v>
      </c>
      <c r="B2067" s="26" t="s">
        <v>4350</v>
      </c>
      <c r="C2067" s="26" t="s">
        <v>17</v>
      </c>
      <c r="D2067" s="28" t="s">
        <v>4351</v>
      </c>
      <c r="E2067" s="26">
        <v>13436</v>
      </c>
      <c r="F2067" s="29" t="s">
        <v>247</v>
      </c>
    </row>
    <row r="2068" spans="1:6" ht="29" x14ac:dyDescent="0.35">
      <c r="A2068" s="26" t="s">
        <v>216</v>
      </c>
      <c r="B2068" s="26" t="s">
        <v>4352</v>
      </c>
      <c r="C2068" s="26" t="s">
        <v>20</v>
      </c>
      <c r="D2068" s="28" t="s">
        <v>4353</v>
      </c>
      <c r="E2068" s="26">
        <v>13436</v>
      </c>
      <c r="F2068" s="29" t="s">
        <v>223</v>
      </c>
    </row>
    <row r="2069" spans="1:6" ht="58" x14ac:dyDescent="0.35">
      <c r="A2069" s="26" t="s">
        <v>216</v>
      </c>
      <c r="B2069" s="26" t="s">
        <v>4354</v>
      </c>
      <c r="C2069" s="26" t="s">
        <v>25</v>
      </c>
      <c r="D2069" s="28" t="s">
        <v>4355</v>
      </c>
      <c r="E2069" s="26">
        <v>0</v>
      </c>
      <c r="F2069" s="29" t="s">
        <v>226</v>
      </c>
    </row>
    <row r="2070" spans="1:6" ht="43.5" x14ac:dyDescent="0.35">
      <c r="A2070" s="26" t="s">
        <v>216</v>
      </c>
      <c r="B2070" s="26" t="s">
        <v>4356</v>
      </c>
      <c r="C2070" s="26" t="s">
        <v>27</v>
      </c>
      <c r="D2070" s="28" t="s">
        <v>4357</v>
      </c>
      <c r="E2070" s="26">
        <v>0</v>
      </c>
      <c r="F2070" s="29" t="s">
        <v>229</v>
      </c>
    </row>
    <row r="2071" spans="1:6" ht="29" x14ac:dyDescent="0.35">
      <c r="A2071" s="26" t="s">
        <v>216</v>
      </c>
      <c r="B2071" s="26" t="s">
        <v>4358</v>
      </c>
      <c r="C2071" s="26" t="s">
        <v>24</v>
      </c>
      <c r="D2071" s="28" t="s">
        <v>4359</v>
      </c>
      <c r="E2071" s="26">
        <v>0</v>
      </c>
      <c r="F2071" s="29" t="s">
        <v>232</v>
      </c>
    </row>
    <row r="2072" spans="1:6" ht="43.5" x14ac:dyDescent="0.35">
      <c r="A2072" s="26" t="s">
        <v>216</v>
      </c>
      <c r="B2072" s="26" t="s">
        <v>4360</v>
      </c>
      <c r="C2072" s="26" t="s">
        <v>15</v>
      </c>
      <c r="D2072" s="28" t="s">
        <v>218</v>
      </c>
      <c r="E2072" s="26" t="s">
        <v>4361</v>
      </c>
      <c r="F2072" s="29" t="s">
        <v>220</v>
      </c>
    </row>
    <row r="2073" spans="1:6" ht="29" x14ac:dyDescent="0.35">
      <c r="A2073" s="26" t="s">
        <v>216</v>
      </c>
      <c r="B2073" s="26" t="s">
        <v>4362</v>
      </c>
      <c r="C2073" s="26" t="s">
        <v>17</v>
      </c>
      <c r="D2073" s="28" t="s">
        <v>4363</v>
      </c>
      <c r="E2073" s="26">
        <v>13436</v>
      </c>
      <c r="F2073" s="29" t="s">
        <v>247</v>
      </c>
    </row>
    <row r="2074" spans="1:6" ht="29" x14ac:dyDescent="0.35">
      <c r="A2074" s="26" t="s">
        <v>216</v>
      </c>
      <c r="B2074" s="26" t="s">
        <v>4364</v>
      </c>
      <c r="C2074" s="26" t="s">
        <v>20</v>
      </c>
      <c r="D2074" s="28" t="s">
        <v>4365</v>
      </c>
      <c r="E2074" s="26">
        <v>13436</v>
      </c>
      <c r="F2074" s="29" t="s">
        <v>223</v>
      </c>
    </row>
    <row r="2075" spans="1:6" ht="58" x14ac:dyDescent="0.35">
      <c r="A2075" s="26" t="s">
        <v>216</v>
      </c>
      <c r="B2075" s="26" t="s">
        <v>4366</v>
      </c>
      <c r="C2075" s="26" t="s">
        <v>25</v>
      </c>
      <c r="D2075" s="28" t="s">
        <v>4367</v>
      </c>
      <c r="E2075" s="26">
        <v>0</v>
      </c>
      <c r="F2075" s="29" t="s">
        <v>226</v>
      </c>
    </row>
    <row r="2076" spans="1:6" ht="43.5" x14ac:dyDescent="0.35">
      <c r="A2076" s="26" t="s">
        <v>216</v>
      </c>
      <c r="B2076" s="26" t="s">
        <v>4368</v>
      </c>
      <c r="C2076" s="26" t="s">
        <v>27</v>
      </c>
      <c r="D2076" s="28" t="s">
        <v>4369</v>
      </c>
      <c r="E2076" s="26">
        <v>0</v>
      </c>
      <c r="F2076" s="29" t="s">
        <v>229</v>
      </c>
    </row>
    <row r="2077" spans="1:6" ht="29" x14ac:dyDescent="0.35">
      <c r="A2077" s="26" t="s">
        <v>216</v>
      </c>
      <c r="B2077" s="26" t="s">
        <v>4370</v>
      </c>
      <c r="C2077" s="26" t="s">
        <v>24</v>
      </c>
      <c r="D2077" s="28" t="s">
        <v>4371</v>
      </c>
      <c r="E2077" s="26">
        <v>0</v>
      </c>
      <c r="F2077" s="29" t="s">
        <v>232</v>
      </c>
    </row>
    <row r="2078" spans="1:6" ht="43.5" x14ac:dyDescent="0.35">
      <c r="A2078" s="26" t="s">
        <v>216</v>
      </c>
      <c r="B2078" s="26" t="s">
        <v>4372</v>
      </c>
      <c r="C2078" s="26" t="s">
        <v>15</v>
      </c>
      <c r="D2078" s="28" t="s">
        <v>218</v>
      </c>
      <c r="E2078" s="26" t="s">
        <v>4373</v>
      </c>
      <c r="F2078" s="29" t="s">
        <v>220</v>
      </c>
    </row>
    <row r="2079" spans="1:6" ht="29" x14ac:dyDescent="0.35">
      <c r="A2079" s="26" t="s">
        <v>216</v>
      </c>
      <c r="B2079" s="26" t="s">
        <v>4374</v>
      </c>
      <c r="C2079" s="26" t="s">
        <v>17</v>
      </c>
      <c r="D2079" s="28" t="s">
        <v>4375</v>
      </c>
      <c r="E2079" s="26">
        <v>13436</v>
      </c>
      <c r="F2079" s="29" t="s">
        <v>247</v>
      </c>
    </row>
    <row r="2080" spans="1:6" ht="29" x14ac:dyDescent="0.35">
      <c r="A2080" s="26" t="s">
        <v>216</v>
      </c>
      <c r="B2080" s="26" t="s">
        <v>4376</v>
      </c>
      <c r="C2080" s="26" t="s">
        <v>20</v>
      </c>
      <c r="D2080" s="28" t="s">
        <v>4377</v>
      </c>
      <c r="E2080" s="26">
        <v>13436</v>
      </c>
      <c r="F2080" s="29" t="s">
        <v>223</v>
      </c>
    </row>
    <row r="2081" spans="1:6" ht="58" x14ac:dyDescent="0.35">
      <c r="A2081" s="26" t="s">
        <v>216</v>
      </c>
      <c r="B2081" s="26" t="s">
        <v>4378</v>
      </c>
      <c r="C2081" s="26" t="s">
        <v>25</v>
      </c>
      <c r="D2081" s="28" t="s">
        <v>4379</v>
      </c>
      <c r="E2081" s="26">
        <v>0</v>
      </c>
      <c r="F2081" s="29" t="s">
        <v>226</v>
      </c>
    </row>
    <row r="2082" spans="1:6" ht="43.5" x14ac:dyDescent="0.35">
      <c r="A2082" s="26" t="s">
        <v>216</v>
      </c>
      <c r="B2082" s="26" t="s">
        <v>4380</v>
      </c>
      <c r="C2082" s="26" t="s">
        <v>27</v>
      </c>
      <c r="D2082" s="28" t="s">
        <v>4381</v>
      </c>
      <c r="E2082" s="26">
        <v>0</v>
      </c>
      <c r="F2082" s="29" t="s">
        <v>229</v>
      </c>
    </row>
    <row r="2083" spans="1:6" ht="29" x14ac:dyDescent="0.35">
      <c r="A2083" s="26" t="s">
        <v>216</v>
      </c>
      <c r="B2083" s="26" t="s">
        <v>4382</v>
      </c>
      <c r="C2083" s="26" t="s">
        <v>24</v>
      </c>
      <c r="D2083" s="28" t="s">
        <v>4383</v>
      </c>
      <c r="E2083" s="26">
        <v>0</v>
      </c>
      <c r="F2083" s="29" t="s">
        <v>232</v>
      </c>
    </row>
    <row r="2084" spans="1:6" ht="43.5" x14ac:dyDescent="0.35">
      <c r="A2084" s="26" t="s">
        <v>216</v>
      </c>
      <c r="B2084" s="26" t="s">
        <v>4384</v>
      </c>
      <c r="C2084" s="26" t="s">
        <v>15</v>
      </c>
      <c r="D2084" s="28" t="s">
        <v>218</v>
      </c>
      <c r="E2084" s="26" t="s">
        <v>4385</v>
      </c>
      <c r="F2084" s="29" t="s">
        <v>220</v>
      </c>
    </row>
    <row r="2085" spans="1:6" ht="29" x14ac:dyDescent="0.35">
      <c r="A2085" s="26" t="s">
        <v>216</v>
      </c>
      <c r="B2085" s="26" t="s">
        <v>4386</v>
      </c>
      <c r="C2085" s="26" t="s">
        <v>17</v>
      </c>
      <c r="D2085" s="28" t="s">
        <v>4387</v>
      </c>
      <c r="E2085" s="26">
        <v>13436</v>
      </c>
      <c r="F2085" s="29" t="s">
        <v>247</v>
      </c>
    </row>
    <row r="2086" spans="1:6" ht="29" x14ac:dyDescent="0.35">
      <c r="A2086" s="26" t="s">
        <v>216</v>
      </c>
      <c r="B2086" s="26" t="s">
        <v>4388</v>
      </c>
      <c r="C2086" s="26" t="s">
        <v>20</v>
      </c>
      <c r="D2086" s="28" t="s">
        <v>4389</v>
      </c>
      <c r="E2086" s="26">
        <v>13436</v>
      </c>
      <c r="F2086" s="29" t="s">
        <v>223</v>
      </c>
    </row>
    <row r="2087" spans="1:6" ht="58" x14ac:dyDescent="0.35">
      <c r="A2087" s="26" t="s">
        <v>216</v>
      </c>
      <c r="B2087" s="26" t="s">
        <v>4390</v>
      </c>
      <c r="C2087" s="26" t="s">
        <v>25</v>
      </c>
      <c r="D2087" s="28" t="s">
        <v>4391</v>
      </c>
      <c r="E2087" s="26">
        <v>0</v>
      </c>
      <c r="F2087" s="29" t="s">
        <v>226</v>
      </c>
    </row>
    <row r="2088" spans="1:6" ht="43.5" x14ac:dyDescent="0.35">
      <c r="A2088" s="26" t="s">
        <v>216</v>
      </c>
      <c r="B2088" s="26" t="s">
        <v>4392</v>
      </c>
      <c r="C2088" s="26" t="s">
        <v>27</v>
      </c>
      <c r="D2088" s="28" t="s">
        <v>4393</v>
      </c>
      <c r="E2088" s="26">
        <v>0</v>
      </c>
      <c r="F2088" s="29" t="s">
        <v>229</v>
      </c>
    </row>
    <row r="2089" spans="1:6" ht="29" x14ac:dyDescent="0.35">
      <c r="A2089" s="26" t="s">
        <v>216</v>
      </c>
      <c r="B2089" s="26" t="s">
        <v>4394</v>
      </c>
      <c r="C2089" s="26" t="s">
        <v>24</v>
      </c>
      <c r="D2089" s="28" t="s">
        <v>4395</v>
      </c>
      <c r="E2089" s="26">
        <v>0</v>
      </c>
      <c r="F2089" s="29" t="s">
        <v>232</v>
      </c>
    </row>
    <row r="2090" spans="1:6" ht="43.5" x14ac:dyDescent="0.35">
      <c r="A2090" s="26" t="s">
        <v>216</v>
      </c>
      <c r="B2090" s="26" t="s">
        <v>4396</v>
      </c>
      <c r="C2090" s="26" t="s">
        <v>15</v>
      </c>
      <c r="D2090" s="28" t="s">
        <v>218</v>
      </c>
      <c r="E2090" s="26" t="s">
        <v>4397</v>
      </c>
      <c r="F2090" s="29" t="s">
        <v>220</v>
      </c>
    </row>
    <row r="2091" spans="1:6" ht="29" x14ac:dyDescent="0.35">
      <c r="A2091" s="26" t="s">
        <v>216</v>
      </c>
      <c r="B2091" s="26" t="s">
        <v>4398</v>
      </c>
      <c r="C2091" s="26" t="s">
        <v>17</v>
      </c>
      <c r="D2091" s="28" t="s">
        <v>4399</v>
      </c>
      <c r="E2091" s="26">
        <v>13436</v>
      </c>
      <c r="F2091" s="29" t="s">
        <v>247</v>
      </c>
    </row>
    <row r="2092" spans="1:6" ht="29" x14ac:dyDescent="0.35">
      <c r="A2092" s="26" t="s">
        <v>216</v>
      </c>
      <c r="B2092" s="26" t="s">
        <v>4400</v>
      </c>
      <c r="C2092" s="26" t="s">
        <v>20</v>
      </c>
      <c r="D2092" s="28" t="s">
        <v>4401</v>
      </c>
      <c r="E2092" s="26">
        <v>13436</v>
      </c>
      <c r="F2092" s="29" t="s">
        <v>223</v>
      </c>
    </row>
    <row r="2093" spans="1:6" ht="58" x14ac:dyDescent="0.35">
      <c r="A2093" s="26" t="s">
        <v>216</v>
      </c>
      <c r="B2093" s="26" t="s">
        <v>4402</v>
      </c>
      <c r="C2093" s="26" t="s">
        <v>25</v>
      </c>
      <c r="D2093" s="28" t="s">
        <v>4403</v>
      </c>
      <c r="E2093" s="26">
        <v>0</v>
      </c>
      <c r="F2093" s="29" t="s">
        <v>226</v>
      </c>
    </row>
    <row r="2094" spans="1:6" ht="43.5" x14ac:dyDescent="0.35">
      <c r="A2094" s="26" t="s">
        <v>216</v>
      </c>
      <c r="B2094" s="26" t="s">
        <v>4404</v>
      </c>
      <c r="C2094" s="26" t="s">
        <v>27</v>
      </c>
      <c r="D2094" s="28" t="s">
        <v>4405</v>
      </c>
      <c r="E2094" s="26">
        <v>0</v>
      </c>
      <c r="F2094" s="29" t="s">
        <v>229</v>
      </c>
    </row>
    <row r="2095" spans="1:6" ht="29" x14ac:dyDescent="0.35">
      <c r="A2095" s="26" t="s">
        <v>216</v>
      </c>
      <c r="B2095" s="26" t="s">
        <v>4406</v>
      </c>
      <c r="C2095" s="26" t="s">
        <v>24</v>
      </c>
      <c r="D2095" s="28" t="s">
        <v>4407</v>
      </c>
      <c r="E2095" s="26">
        <v>0</v>
      </c>
      <c r="F2095" s="29" t="s">
        <v>232</v>
      </c>
    </row>
    <row r="2096" spans="1:6" ht="43.5" x14ac:dyDescent="0.35">
      <c r="A2096" s="26" t="s">
        <v>216</v>
      </c>
      <c r="B2096" s="26" t="s">
        <v>4408</v>
      </c>
      <c r="C2096" s="26" t="s">
        <v>15</v>
      </c>
      <c r="D2096" s="28" t="s">
        <v>218</v>
      </c>
      <c r="E2096" s="26" t="s">
        <v>4409</v>
      </c>
      <c r="F2096" s="29" t="s">
        <v>220</v>
      </c>
    </row>
    <row r="2097" spans="1:6" ht="29" x14ac:dyDescent="0.35">
      <c r="A2097" s="26" t="s">
        <v>216</v>
      </c>
      <c r="B2097" s="26" t="s">
        <v>4410</v>
      </c>
      <c r="C2097" s="26" t="s">
        <v>17</v>
      </c>
      <c r="D2097" s="28" t="s">
        <v>4411</v>
      </c>
      <c r="E2097" s="26">
        <v>13436</v>
      </c>
      <c r="F2097" s="29" t="s">
        <v>247</v>
      </c>
    </row>
    <row r="2098" spans="1:6" ht="29" x14ac:dyDescent="0.35">
      <c r="A2098" s="26" t="s">
        <v>216</v>
      </c>
      <c r="B2098" s="26" t="s">
        <v>4412</v>
      </c>
      <c r="C2098" s="26" t="s">
        <v>20</v>
      </c>
      <c r="D2098" s="28" t="s">
        <v>4413</v>
      </c>
      <c r="E2098" s="26">
        <v>13436</v>
      </c>
      <c r="F2098" s="29" t="s">
        <v>223</v>
      </c>
    </row>
    <row r="2099" spans="1:6" ht="58" x14ac:dyDescent="0.35">
      <c r="A2099" s="26" t="s">
        <v>216</v>
      </c>
      <c r="B2099" s="26" t="s">
        <v>4414</v>
      </c>
      <c r="C2099" s="26" t="s">
        <v>25</v>
      </c>
      <c r="D2099" s="28" t="s">
        <v>4415</v>
      </c>
      <c r="E2099" s="26">
        <v>0</v>
      </c>
      <c r="F2099" s="29" t="s">
        <v>226</v>
      </c>
    </row>
    <row r="2100" spans="1:6" ht="43.5" x14ac:dyDescent="0.35">
      <c r="A2100" s="26" t="s">
        <v>216</v>
      </c>
      <c r="B2100" s="26" t="s">
        <v>4416</v>
      </c>
      <c r="C2100" s="26" t="s">
        <v>27</v>
      </c>
      <c r="D2100" s="28" t="s">
        <v>4417</v>
      </c>
      <c r="E2100" s="26">
        <v>0</v>
      </c>
      <c r="F2100" s="29" t="s">
        <v>229</v>
      </c>
    </row>
    <row r="2101" spans="1:6" ht="29" x14ac:dyDescent="0.35">
      <c r="A2101" s="26" t="s">
        <v>216</v>
      </c>
      <c r="B2101" s="26" t="s">
        <v>4418</v>
      </c>
      <c r="C2101" s="26" t="s">
        <v>24</v>
      </c>
      <c r="D2101" s="28" t="s">
        <v>4419</v>
      </c>
      <c r="E2101" s="26">
        <v>0</v>
      </c>
      <c r="F2101" s="29" t="s">
        <v>232</v>
      </c>
    </row>
    <row r="2102" spans="1:6" ht="43.5" x14ac:dyDescent="0.35">
      <c r="A2102" s="26" t="s">
        <v>216</v>
      </c>
      <c r="B2102" s="26" t="s">
        <v>4420</v>
      </c>
      <c r="C2102" s="26" t="s">
        <v>15</v>
      </c>
      <c r="D2102" s="28" t="s">
        <v>218</v>
      </c>
      <c r="E2102" s="26" t="s">
        <v>4421</v>
      </c>
      <c r="F2102" s="29" t="s">
        <v>220</v>
      </c>
    </row>
    <row r="2103" spans="1:6" ht="29" x14ac:dyDescent="0.35">
      <c r="A2103" s="26" t="s">
        <v>216</v>
      </c>
      <c r="B2103" s="26" t="s">
        <v>4422</v>
      </c>
      <c r="C2103" s="26" t="s">
        <v>17</v>
      </c>
      <c r="D2103" s="28" t="s">
        <v>4423</v>
      </c>
      <c r="E2103" s="26">
        <v>13436</v>
      </c>
      <c r="F2103" s="29" t="s">
        <v>247</v>
      </c>
    </row>
    <row r="2104" spans="1:6" ht="29" x14ac:dyDescent="0.35">
      <c r="A2104" s="26" t="s">
        <v>216</v>
      </c>
      <c r="B2104" s="26" t="s">
        <v>4424</v>
      </c>
      <c r="C2104" s="26" t="s">
        <v>20</v>
      </c>
      <c r="D2104" s="28" t="s">
        <v>4425</v>
      </c>
      <c r="E2104" s="26">
        <v>13436</v>
      </c>
      <c r="F2104" s="29" t="s">
        <v>223</v>
      </c>
    </row>
    <row r="2105" spans="1:6" ht="58" x14ac:dyDescent="0.35">
      <c r="A2105" s="26" t="s">
        <v>216</v>
      </c>
      <c r="B2105" s="26" t="s">
        <v>4426</v>
      </c>
      <c r="C2105" s="26" t="s">
        <v>25</v>
      </c>
      <c r="D2105" s="28" t="s">
        <v>4427</v>
      </c>
      <c r="E2105" s="26">
        <v>0</v>
      </c>
      <c r="F2105" s="29" t="s">
        <v>226</v>
      </c>
    </row>
    <row r="2106" spans="1:6" ht="43.5" x14ac:dyDescent="0.35">
      <c r="A2106" s="26" t="s">
        <v>216</v>
      </c>
      <c r="B2106" s="26" t="s">
        <v>4428</v>
      </c>
      <c r="C2106" s="26" t="s">
        <v>27</v>
      </c>
      <c r="D2106" s="28" t="s">
        <v>4429</v>
      </c>
      <c r="E2106" s="26">
        <v>0</v>
      </c>
      <c r="F2106" s="29" t="s">
        <v>229</v>
      </c>
    </row>
    <row r="2107" spans="1:6" ht="29" x14ac:dyDescent="0.35">
      <c r="A2107" s="26" t="s">
        <v>216</v>
      </c>
      <c r="B2107" s="26" t="s">
        <v>4430</v>
      </c>
      <c r="C2107" s="26" t="s">
        <v>24</v>
      </c>
      <c r="D2107" s="28" t="s">
        <v>4431</v>
      </c>
      <c r="E2107" s="26">
        <v>0</v>
      </c>
      <c r="F2107" s="29" t="s">
        <v>232</v>
      </c>
    </row>
    <row r="2108" spans="1:6" ht="43.5" x14ac:dyDescent="0.35">
      <c r="A2108" s="26" t="s">
        <v>216</v>
      </c>
      <c r="B2108" s="26" t="s">
        <v>4432</v>
      </c>
      <c r="C2108" s="26" t="s">
        <v>15</v>
      </c>
      <c r="D2108" s="28" t="s">
        <v>218</v>
      </c>
      <c r="E2108" s="26" t="s">
        <v>4433</v>
      </c>
      <c r="F2108" s="29" t="s">
        <v>220</v>
      </c>
    </row>
    <row r="2109" spans="1:6" ht="29" x14ac:dyDescent="0.35">
      <c r="A2109" s="26" t="s">
        <v>216</v>
      </c>
      <c r="B2109" s="26" t="s">
        <v>4434</v>
      </c>
      <c r="C2109" s="26" t="s">
        <v>17</v>
      </c>
      <c r="D2109" s="28" t="s">
        <v>4435</v>
      </c>
      <c r="E2109" s="26">
        <v>13436</v>
      </c>
      <c r="F2109" s="29" t="s">
        <v>247</v>
      </c>
    </row>
    <row r="2110" spans="1:6" ht="29" x14ac:dyDescent="0.35">
      <c r="A2110" s="26" t="s">
        <v>216</v>
      </c>
      <c r="B2110" s="26" t="s">
        <v>4436</v>
      </c>
      <c r="C2110" s="26" t="s">
        <v>20</v>
      </c>
      <c r="D2110" s="28" t="s">
        <v>4437</v>
      </c>
      <c r="E2110" s="26">
        <v>13436</v>
      </c>
      <c r="F2110" s="29" t="s">
        <v>223</v>
      </c>
    </row>
    <row r="2111" spans="1:6" ht="58" x14ac:dyDescent="0.35">
      <c r="A2111" s="26" t="s">
        <v>216</v>
      </c>
      <c r="B2111" s="26" t="s">
        <v>4438</v>
      </c>
      <c r="C2111" s="26" t="s">
        <v>25</v>
      </c>
      <c r="D2111" s="28" t="s">
        <v>4439</v>
      </c>
      <c r="E2111" s="26">
        <v>0</v>
      </c>
      <c r="F2111" s="29" t="s">
        <v>226</v>
      </c>
    </row>
    <row r="2112" spans="1:6" ht="43.5" x14ac:dyDescent="0.35">
      <c r="A2112" s="26" t="s">
        <v>216</v>
      </c>
      <c r="B2112" s="26" t="s">
        <v>4440</v>
      </c>
      <c r="C2112" s="26" t="s">
        <v>27</v>
      </c>
      <c r="D2112" s="28" t="s">
        <v>4441</v>
      </c>
      <c r="E2112" s="26">
        <v>0</v>
      </c>
      <c r="F2112" s="29" t="s">
        <v>229</v>
      </c>
    </row>
    <row r="2113" spans="1:6" ht="29" x14ac:dyDescent="0.35">
      <c r="A2113" s="26" t="s">
        <v>216</v>
      </c>
      <c r="B2113" s="26" t="s">
        <v>4442</v>
      </c>
      <c r="C2113" s="26" t="s">
        <v>24</v>
      </c>
      <c r="D2113" s="28" t="s">
        <v>4443</v>
      </c>
      <c r="E2113" s="26">
        <v>0</v>
      </c>
      <c r="F2113" s="29" t="s">
        <v>232</v>
      </c>
    </row>
    <row r="2114" spans="1:6" ht="43.5" x14ac:dyDescent="0.35">
      <c r="A2114" s="26" t="s">
        <v>216</v>
      </c>
      <c r="B2114" s="26" t="s">
        <v>4444</v>
      </c>
      <c r="C2114" s="26" t="s">
        <v>15</v>
      </c>
      <c r="D2114" s="28" t="s">
        <v>218</v>
      </c>
      <c r="E2114" s="26" t="s">
        <v>4445</v>
      </c>
      <c r="F2114" s="29" t="s">
        <v>220</v>
      </c>
    </row>
    <row r="2115" spans="1:6" ht="29" x14ac:dyDescent="0.35">
      <c r="A2115" s="26" t="s">
        <v>216</v>
      </c>
      <c r="B2115" s="26" t="s">
        <v>4446</v>
      </c>
      <c r="C2115" s="26" t="s">
        <v>17</v>
      </c>
      <c r="D2115" s="28" t="s">
        <v>4447</v>
      </c>
      <c r="E2115" s="26">
        <v>13436</v>
      </c>
      <c r="F2115" s="29" t="s">
        <v>247</v>
      </c>
    </row>
    <row r="2116" spans="1:6" ht="29" x14ac:dyDescent="0.35">
      <c r="A2116" s="26" t="s">
        <v>216</v>
      </c>
      <c r="B2116" s="26" t="s">
        <v>4448</v>
      </c>
      <c r="C2116" s="26" t="s">
        <v>20</v>
      </c>
      <c r="D2116" s="28" t="s">
        <v>4449</v>
      </c>
      <c r="E2116" s="26">
        <v>13436</v>
      </c>
      <c r="F2116" s="29" t="s">
        <v>223</v>
      </c>
    </row>
    <row r="2117" spans="1:6" ht="58" x14ac:dyDescent="0.35">
      <c r="A2117" s="26" t="s">
        <v>216</v>
      </c>
      <c r="B2117" s="26" t="s">
        <v>4450</v>
      </c>
      <c r="C2117" s="26" t="s">
        <v>25</v>
      </c>
      <c r="D2117" s="28" t="s">
        <v>4451</v>
      </c>
      <c r="E2117" s="26">
        <v>0</v>
      </c>
      <c r="F2117" s="29" t="s">
        <v>226</v>
      </c>
    </row>
    <row r="2118" spans="1:6" ht="43.5" x14ac:dyDescent="0.35">
      <c r="A2118" s="26" t="s">
        <v>216</v>
      </c>
      <c r="B2118" s="26" t="s">
        <v>4452</v>
      </c>
      <c r="C2118" s="26" t="s">
        <v>27</v>
      </c>
      <c r="D2118" s="28" t="s">
        <v>4453</v>
      </c>
      <c r="E2118" s="26">
        <v>0</v>
      </c>
      <c r="F2118" s="29" t="s">
        <v>229</v>
      </c>
    </row>
    <row r="2119" spans="1:6" ht="29" x14ac:dyDescent="0.35">
      <c r="A2119" s="26" t="s">
        <v>216</v>
      </c>
      <c r="B2119" s="26" t="s">
        <v>4454</v>
      </c>
      <c r="C2119" s="26" t="s">
        <v>24</v>
      </c>
      <c r="D2119" s="28" t="s">
        <v>4455</v>
      </c>
      <c r="E2119" s="26">
        <v>0</v>
      </c>
      <c r="F2119" s="29" t="s">
        <v>232</v>
      </c>
    </row>
    <row r="2120" spans="1:6" ht="43.5" x14ac:dyDescent="0.35">
      <c r="A2120" s="26" t="s">
        <v>216</v>
      </c>
      <c r="B2120" s="26" t="s">
        <v>4456</v>
      </c>
      <c r="C2120" s="26" t="s">
        <v>15</v>
      </c>
      <c r="D2120" s="28" t="s">
        <v>218</v>
      </c>
      <c r="E2120" s="26" t="s">
        <v>4457</v>
      </c>
      <c r="F2120" s="29" t="s">
        <v>220</v>
      </c>
    </row>
    <row r="2121" spans="1:6" ht="29" x14ac:dyDescent="0.35">
      <c r="A2121" s="26" t="s">
        <v>216</v>
      </c>
      <c r="B2121" s="26" t="s">
        <v>4458</v>
      </c>
      <c r="C2121" s="26" t="s">
        <v>17</v>
      </c>
      <c r="D2121" s="28" t="s">
        <v>4459</v>
      </c>
      <c r="E2121" s="26">
        <v>13436</v>
      </c>
      <c r="F2121" s="29" t="s">
        <v>247</v>
      </c>
    </row>
    <row r="2122" spans="1:6" ht="29" x14ac:dyDescent="0.35">
      <c r="A2122" s="26" t="s">
        <v>216</v>
      </c>
      <c r="B2122" s="26" t="s">
        <v>4460</v>
      </c>
      <c r="C2122" s="26" t="s">
        <v>20</v>
      </c>
      <c r="D2122" s="28" t="s">
        <v>4461</v>
      </c>
      <c r="E2122" s="26">
        <v>13436</v>
      </c>
      <c r="F2122" s="29" t="s">
        <v>223</v>
      </c>
    </row>
    <row r="2123" spans="1:6" ht="58" x14ac:dyDescent="0.35">
      <c r="A2123" s="26" t="s">
        <v>216</v>
      </c>
      <c r="B2123" s="26" t="s">
        <v>4462</v>
      </c>
      <c r="C2123" s="26" t="s">
        <v>25</v>
      </c>
      <c r="D2123" s="28" t="s">
        <v>4463</v>
      </c>
      <c r="E2123" s="26">
        <v>0</v>
      </c>
      <c r="F2123" s="29" t="s">
        <v>226</v>
      </c>
    </row>
    <row r="2124" spans="1:6" ht="43.5" x14ac:dyDescent="0.35">
      <c r="A2124" s="26" t="s">
        <v>216</v>
      </c>
      <c r="B2124" s="26" t="s">
        <v>4464</v>
      </c>
      <c r="C2124" s="26" t="s">
        <v>27</v>
      </c>
      <c r="D2124" s="28" t="s">
        <v>4465</v>
      </c>
      <c r="E2124" s="26">
        <v>0</v>
      </c>
      <c r="F2124" s="29" t="s">
        <v>229</v>
      </c>
    </row>
    <row r="2125" spans="1:6" ht="29" x14ac:dyDescent="0.35">
      <c r="A2125" s="26" t="s">
        <v>216</v>
      </c>
      <c r="B2125" s="26" t="s">
        <v>4466</v>
      </c>
      <c r="C2125" s="26" t="s">
        <v>24</v>
      </c>
      <c r="D2125" s="28" t="s">
        <v>4467</v>
      </c>
      <c r="E2125" s="26">
        <v>0</v>
      </c>
      <c r="F2125" s="29" t="s">
        <v>232</v>
      </c>
    </row>
    <row r="2126" spans="1:6" ht="43.5" x14ac:dyDescent="0.35">
      <c r="A2126" s="26" t="s">
        <v>216</v>
      </c>
      <c r="B2126" s="26" t="s">
        <v>4468</v>
      </c>
      <c r="C2126" s="26" t="s">
        <v>15</v>
      </c>
      <c r="D2126" s="28" t="s">
        <v>218</v>
      </c>
      <c r="E2126" s="26" t="s">
        <v>4469</v>
      </c>
      <c r="F2126" s="29" t="s">
        <v>220</v>
      </c>
    </row>
    <row r="2127" spans="1:6" ht="29" x14ac:dyDescent="0.35">
      <c r="A2127" s="26" t="s">
        <v>216</v>
      </c>
      <c r="B2127" s="26" t="s">
        <v>4470</v>
      </c>
      <c r="C2127" s="26" t="s">
        <v>17</v>
      </c>
      <c r="D2127" s="28" t="s">
        <v>4471</v>
      </c>
      <c r="E2127" s="26">
        <v>13436</v>
      </c>
      <c r="F2127" s="29" t="s">
        <v>247</v>
      </c>
    </row>
    <row r="2128" spans="1:6" ht="29" x14ac:dyDescent="0.35">
      <c r="A2128" s="26" t="s">
        <v>216</v>
      </c>
      <c r="B2128" s="26" t="s">
        <v>4472</v>
      </c>
      <c r="C2128" s="26" t="s">
        <v>20</v>
      </c>
      <c r="D2128" s="28" t="s">
        <v>4473</v>
      </c>
      <c r="E2128" s="26">
        <v>13436</v>
      </c>
      <c r="F2128" s="29" t="s">
        <v>223</v>
      </c>
    </row>
    <row r="2129" spans="1:6" ht="58" x14ac:dyDescent="0.35">
      <c r="A2129" s="26" t="s">
        <v>216</v>
      </c>
      <c r="B2129" s="26" t="s">
        <v>4474</v>
      </c>
      <c r="C2129" s="26" t="s">
        <v>25</v>
      </c>
      <c r="D2129" s="28" t="s">
        <v>4475</v>
      </c>
      <c r="E2129" s="26">
        <v>0</v>
      </c>
      <c r="F2129" s="29" t="s">
        <v>226</v>
      </c>
    </row>
    <row r="2130" spans="1:6" ht="43.5" x14ac:dyDescent="0.35">
      <c r="A2130" s="26" t="s">
        <v>216</v>
      </c>
      <c r="B2130" s="26" t="s">
        <v>4476</v>
      </c>
      <c r="C2130" s="26" t="s">
        <v>27</v>
      </c>
      <c r="D2130" s="28" t="s">
        <v>4477</v>
      </c>
      <c r="E2130" s="26">
        <v>0</v>
      </c>
      <c r="F2130" s="29" t="s">
        <v>229</v>
      </c>
    </row>
    <row r="2131" spans="1:6" ht="29" x14ac:dyDescent="0.35">
      <c r="A2131" s="26" t="s">
        <v>216</v>
      </c>
      <c r="B2131" s="26" t="s">
        <v>4478</v>
      </c>
      <c r="C2131" s="26" t="s">
        <v>24</v>
      </c>
      <c r="D2131" s="28" t="s">
        <v>4479</v>
      </c>
      <c r="E2131" s="26">
        <v>0</v>
      </c>
      <c r="F2131" s="29" t="s">
        <v>232</v>
      </c>
    </row>
    <row r="2132" spans="1:6" ht="43.5" x14ac:dyDescent="0.35">
      <c r="A2132" s="26" t="s">
        <v>216</v>
      </c>
      <c r="B2132" s="26" t="s">
        <v>4480</v>
      </c>
      <c r="C2132" s="26" t="s">
        <v>15</v>
      </c>
      <c r="D2132" s="28" t="s">
        <v>218</v>
      </c>
      <c r="E2132" s="26" t="s">
        <v>4481</v>
      </c>
      <c r="F2132" s="29" t="s">
        <v>220</v>
      </c>
    </row>
    <row r="2133" spans="1:6" ht="29" x14ac:dyDescent="0.35">
      <c r="A2133" s="26" t="s">
        <v>216</v>
      </c>
      <c r="B2133" s="26" t="s">
        <v>4482</v>
      </c>
      <c r="C2133" s="26" t="s">
        <v>17</v>
      </c>
      <c r="D2133" s="28" t="s">
        <v>4483</v>
      </c>
      <c r="E2133" s="26">
        <v>13436</v>
      </c>
      <c r="F2133" s="29" t="s">
        <v>247</v>
      </c>
    </row>
    <row r="2134" spans="1:6" ht="29" x14ac:dyDescent="0.35">
      <c r="A2134" s="26" t="s">
        <v>216</v>
      </c>
      <c r="B2134" s="26" t="s">
        <v>4484</v>
      </c>
      <c r="C2134" s="26" t="s">
        <v>20</v>
      </c>
      <c r="D2134" s="28" t="s">
        <v>4485</v>
      </c>
      <c r="E2134" s="26">
        <v>13436</v>
      </c>
      <c r="F2134" s="29" t="s">
        <v>223</v>
      </c>
    </row>
    <row r="2135" spans="1:6" ht="58" x14ac:dyDescent="0.35">
      <c r="A2135" s="26" t="s">
        <v>216</v>
      </c>
      <c r="B2135" s="26" t="s">
        <v>4486</v>
      </c>
      <c r="C2135" s="26" t="s">
        <v>25</v>
      </c>
      <c r="D2135" s="28" t="s">
        <v>4487</v>
      </c>
      <c r="E2135" s="26">
        <v>0</v>
      </c>
      <c r="F2135" s="29" t="s">
        <v>226</v>
      </c>
    </row>
    <row r="2136" spans="1:6" ht="43.5" x14ac:dyDescent="0.35">
      <c r="A2136" s="26" t="s">
        <v>216</v>
      </c>
      <c r="B2136" s="26" t="s">
        <v>4488</v>
      </c>
      <c r="C2136" s="26" t="s">
        <v>27</v>
      </c>
      <c r="D2136" s="28" t="s">
        <v>4489</v>
      </c>
      <c r="E2136" s="26">
        <v>0</v>
      </c>
      <c r="F2136" s="29" t="s">
        <v>229</v>
      </c>
    </row>
    <row r="2137" spans="1:6" ht="29" x14ac:dyDescent="0.35">
      <c r="A2137" s="26" t="s">
        <v>216</v>
      </c>
      <c r="B2137" s="26" t="s">
        <v>4490</v>
      </c>
      <c r="C2137" s="26" t="s">
        <v>24</v>
      </c>
      <c r="D2137" s="28" t="s">
        <v>4491</v>
      </c>
      <c r="E2137" s="26">
        <v>0</v>
      </c>
      <c r="F2137" s="29" t="s">
        <v>232</v>
      </c>
    </row>
    <row r="2138" spans="1:6" ht="43.5" x14ac:dyDescent="0.35">
      <c r="A2138" s="26" t="s">
        <v>216</v>
      </c>
      <c r="B2138" s="26" t="s">
        <v>4492</v>
      </c>
      <c r="C2138" s="26" t="s">
        <v>15</v>
      </c>
      <c r="D2138" s="28" t="s">
        <v>218</v>
      </c>
      <c r="E2138" s="26" t="s">
        <v>4493</v>
      </c>
      <c r="F2138" s="29" t="s">
        <v>220</v>
      </c>
    </row>
    <row r="2139" spans="1:6" ht="29" x14ac:dyDescent="0.35">
      <c r="A2139" s="26" t="s">
        <v>216</v>
      </c>
      <c r="B2139" s="26" t="s">
        <v>4494</v>
      </c>
      <c r="C2139" s="26" t="s">
        <v>17</v>
      </c>
      <c r="D2139" s="28" t="s">
        <v>4495</v>
      </c>
      <c r="E2139" s="26">
        <v>13436</v>
      </c>
      <c r="F2139" s="29" t="s">
        <v>247</v>
      </c>
    </row>
    <row r="2140" spans="1:6" ht="29" x14ac:dyDescent="0.35">
      <c r="A2140" s="26" t="s">
        <v>216</v>
      </c>
      <c r="B2140" s="26" t="s">
        <v>4496</v>
      </c>
      <c r="C2140" s="26" t="s">
        <v>20</v>
      </c>
      <c r="D2140" s="28" t="s">
        <v>4497</v>
      </c>
      <c r="E2140" s="26">
        <v>13436</v>
      </c>
      <c r="F2140" s="29" t="s">
        <v>223</v>
      </c>
    </row>
    <row r="2141" spans="1:6" ht="58" x14ac:dyDescent="0.35">
      <c r="A2141" s="26" t="s">
        <v>216</v>
      </c>
      <c r="B2141" s="26" t="s">
        <v>4498</v>
      </c>
      <c r="C2141" s="26" t="s">
        <v>25</v>
      </c>
      <c r="D2141" s="28" t="s">
        <v>4499</v>
      </c>
      <c r="E2141" s="26">
        <v>0</v>
      </c>
      <c r="F2141" s="29" t="s">
        <v>226</v>
      </c>
    </row>
    <row r="2142" spans="1:6" ht="43.5" x14ac:dyDescent="0.35">
      <c r="A2142" s="26" t="s">
        <v>216</v>
      </c>
      <c r="B2142" s="26" t="s">
        <v>4500</v>
      </c>
      <c r="C2142" s="26" t="s">
        <v>27</v>
      </c>
      <c r="D2142" s="28" t="s">
        <v>4501</v>
      </c>
      <c r="E2142" s="26">
        <v>0</v>
      </c>
      <c r="F2142" s="29" t="s">
        <v>229</v>
      </c>
    </row>
    <row r="2143" spans="1:6" ht="29" x14ac:dyDescent="0.35">
      <c r="A2143" s="26" t="s">
        <v>216</v>
      </c>
      <c r="B2143" s="26" t="s">
        <v>4502</v>
      </c>
      <c r="C2143" s="26" t="s">
        <v>24</v>
      </c>
      <c r="D2143" s="28" t="s">
        <v>4503</v>
      </c>
      <c r="E2143" s="26">
        <v>0</v>
      </c>
      <c r="F2143" s="29" t="s">
        <v>232</v>
      </c>
    </row>
    <row r="2144" spans="1:6" ht="43.5" x14ac:dyDescent="0.35">
      <c r="A2144" s="26" t="s">
        <v>216</v>
      </c>
      <c r="B2144" s="26" t="s">
        <v>4504</v>
      </c>
      <c r="C2144" s="26" t="s">
        <v>15</v>
      </c>
      <c r="D2144" s="28" t="s">
        <v>218</v>
      </c>
      <c r="E2144" s="26" t="s">
        <v>4505</v>
      </c>
      <c r="F2144" s="29" t="s">
        <v>220</v>
      </c>
    </row>
    <row r="2145" spans="1:6" ht="29" x14ac:dyDescent="0.35">
      <c r="A2145" s="26" t="s">
        <v>216</v>
      </c>
      <c r="B2145" s="26" t="s">
        <v>4506</v>
      </c>
      <c r="C2145" s="26" t="s">
        <v>17</v>
      </c>
      <c r="D2145" s="28" t="s">
        <v>4507</v>
      </c>
      <c r="E2145" s="26">
        <v>13436</v>
      </c>
      <c r="F2145" s="29" t="s">
        <v>247</v>
      </c>
    </row>
    <row r="2146" spans="1:6" ht="29" x14ac:dyDescent="0.35">
      <c r="A2146" s="26" t="s">
        <v>216</v>
      </c>
      <c r="B2146" s="26" t="s">
        <v>4508</v>
      </c>
      <c r="C2146" s="26" t="s">
        <v>20</v>
      </c>
      <c r="D2146" s="28" t="s">
        <v>4509</v>
      </c>
      <c r="E2146" s="26">
        <v>13436</v>
      </c>
      <c r="F2146" s="29" t="s">
        <v>223</v>
      </c>
    </row>
    <row r="2147" spans="1:6" ht="58" x14ac:dyDescent="0.35">
      <c r="A2147" s="26" t="s">
        <v>216</v>
      </c>
      <c r="B2147" s="26" t="s">
        <v>4510</v>
      </c>
      <c r="C2147" s="26" t="s">
        <v>25</v>
      </c>
      <c r="D2147" s="28" t="s">
        <v>4511</v>
      </c>
      <c r="E2147" s="26">
        <v>0</v>
      </c>
      <c r="F2147" s="29" t="s">
        <v>226</v>
      </c>
    </row>
    <row r="2148" spans="1:6" ht="43.5" x14ac:dyDescent="0.35">
      <c r="A2148" s="26" t="s">
        <v>216</v>
      </c>
      <c r="B2148" s="26" t="s">
        <v>4512</v>
      </c>
      <c r="C2148" s="26" t="s">
        <v>27</v>
      </c>
      <c r="D2148" s="28" t="s">
        <v>4513</v>
      </c>
      <c r="E2148" s="26">
        <v>0</v>
      </c>
      <c r="F2148" s="29" t="s">
        <v>229</v>
      </c>
    </row>
    <row r="2149" spans="1:6" ht="29" x14ac:dyDescent="0.35">
      <c r="A2149" s="26" t="s">
        <v>216</v>
      </c>
      <c r="B2149" s="26" t="s">
        <v>4514</v>
      </c>
      <c r="C2149" s="26" t="s">
        <v>24</v>
      </c>
      <c r="D2149" s="28" t="s">
        <v>4515</v>
      </c>
      <c r="E2149" s="26">
        <v>0</v>
      </c>
      <c r="F2149" s="29" t="s">
        <v>232</v>
      </c>
    </row>
    <row r="2150" spans="1:6" ht="43.5" x14ac:dyDescent="0.35">
      <c r="A2150" s="26" t="s">
        <v>216</v>
      </c>
      <c r="B2150" s="26" t="s">
        <v>4516</v>
      </c>
      <c r="C2150" s="26" t="s">
        <v>15</v>
      </c>
      <c r="D2150" s="28" t="s">
        <v>218</v>
      </c>
      <c r="E2150" s="26" t="s">
        <v>4517</v>
      </c>
      <c r="F2150" s="29" t="s">
        <v>220</v>
      </c>
    </row>
    <row r="2151" spans="1:6" ht="29" x14ac:dyDescent="0.35">
      <c r="A2151" s="26" t="s">
        <v>216</v>
      </c>
      <c r="B2151" s="26" t="s">
        <v>4518</v>
      </c>
      <c r="C2151" s="26" t="s">
        <v>17</v>
      </c>
      <c r="D2151" s="28" t="s">
        <v>4519</v>
      </c>
      <c r="E2151" s="26">
        <v>13436</v>
      </c>
      <c r="F2151" s="29" t="s">
        <v>247</v>
      </c>
    </row>
    <row r="2152" spans="1:6" ht="29" x14ac:dyDescent="0.35">
      <c r="A2152" s="26" t="s">
        <v>216</v>
      </c>
      <c r="B2152" s="26" t="s">
        <v>4520</v>
      </c>
      <c r="C2152" s="26" t="s">
        <v>20</v>
      </c>
      <c r="D2152" s="28" t="s">
        <v>4521</v>
      </c>
      <c r="E2152" s="26">
        <v>13436</v>
      </c>
      <c r="F2152" s="29" t="s">
        <v>223</v>
      </c>
    </row>
    <row r="2153" spans="1:6" ht="58" x14ac:dyDescent="0.35">
      <c r="A2153" s="26" t="s">
        <v>216</v>
      </c>
      <c r="B2153" s="26" t="s">
        <v>4522</v>
      </c>
      <c r="C2153" s="26" t="s">
        <v>25</v>
      </c>
      <c r="D2153" s="28" t="s">
        <v>4523</v>
      </c>
      <c r="E2153" s="26">
        <v>0</v>
      </c>
      <c r="F2153" s="29" t="s">
        <v>226</v>
      </c>
    </row>
    <row r="2154" spans="1:6" ht="43.5" x14ac:dyDescent="0.35">
      <c r="A2154" s="26" t="s">
        <v>216</v>
      </c>
      <c r="B2154" s="26" t="s">
        <v>4524</v>
      </c>
      <c r="C2154" s="26" t="s">
        <v>27</v>
      </c>
      <c r="D2154" s="28" t="s">
        <v>4525</v>
      </c>
      <c r="E2154" s="26">
        <v>0</v>
      </c>
      <c r="F2154" s="29" t="s">
        <v>229</v>
      </c>
    </row>
    <row r="2155" spans="1:6" ht="29" x14ac:dyDescent="0.35">
      <c r="A2155" s="26" t="s">
        <v>216</v>
      </c>
      <c r="B2155" s="26" t="s">
        <v>4526</v>
      </c>
      <c r="C2155" s="26" t="s">
        <v>24</v>
      </c>
      <c r="D2155" s="28" t="s">
        <v>4527</v>
      </c>
      <c r="E2155" s="26">
        <v>0</v>
      </c>
      <c r="F2155" s="29" t="s">
        <v>232</v>
      </c>
    </row>
    <row r="2156" spans="1:6" ht="43.5" x14ac:dyDescent="0.35">
      <c r="A2156" s="26" t="s">
        <v>216</v>
      </c>
      <c r="B2156" s="26" t="s">
        <v>4528</v>
      </c>
      <c r="C2156" s="26" t="s">
        <v>15</v>
      </c>
      <c r="D2156" s="28" t="s">
        <v>218</v>
      </c>
      <c r="E2156" s="26" t="s">
        <v>4529</v>
      </c>
      <c r="F2156" s="29" t="s">
        <v>220</v>
      </c>
    </row>
    <row r="2157" spans="1:6" ht="29" x14ac:dyDescent="0.35">
      <c r="A2157" s="26" t="s">
        <v>216</v>
      </c>
      <c r="B2157" s="26" t="s">
        <v>4530</v>
      </c>
      <c r="C2157" s="26" t="s">
        <v>17</v>
      </c>
      <c r="D2157" s="28" t="s">
        <v>4531</v>
      </c>
      <c r="E2157" s="26">
        <v>13436</v>
      </c>
      <c r="F2157" s="29" t="s">
        <v>247</v>
      </c>
    </row>
    <row r="2158" spans="1:6" ht="29" x14ac:dyDescent="0.35">
      <c r="A2158" s="26" t="s">
        <v>216</v>
      </c>
      <c r="B2158" s="26" t="s">
        <v>4532</v>
      </c>
      <c r="C2158" s="26" t="s">
        <v>20</v>
      </c>
      <c r="D2158" s="28" t="s">
        <v>4533</v>
      </c>
      <c r="E2158" s="26">
        <v>13436</v>
      </c>
      <c r="F2158" s="29" t="s">
        <v>223</v>
      </c>
    </row>
    <row r="2159" spans="1:6" ht="58" x14ac:dyDescent="0.35">
      <c r="A2159" s="26" t="s">
        <v>216</v>
      </c>
      <c r="B2159" s="26" t="s">
        <v>4534</v>
      </c>
      <c r="C2159" s="26" t="s">
        <v>25</v>
      </c>
      <c r="D2159" s="28" t="s">
        <v>4535</v>
      </c>
      <c r="E2159" s="26">
        <v>0</v>
      </c>
      <c r="F2159" s="29" t="s">
        <v>226</v>
      </c>
    </row>
    <row r="2160" spans="1:6" ht="43.5" x14ac:dyDescent="0.35">
      <c r="A2160" s="26" t="s">
        <v>216</v>
      </c>
      <c r="B2160" s="26" t="s">
        <v>4536</v>
      </c>
      <c r="C2160" s="26" t="s">
        <v>27</v>
      </c>
      <c r="D2160" s="28" t="s">
        <v>4537</v>
      </c>
      <c r="E2160" s="26">
        <v>0</v>
      </c>
      <c r="F2160" s="29" t="s">
        <v>229</v>
      </c>
    </row>
    <row r="2161" spans="1:6" ht="29" x14ac:dyDescent="0.35">
      <c r="A2161" s="26" t="s">
        <v>216</v>
      </c>
      <c r="B2161" s="26" t="s">
        <v>4538</v>
      </c>
      <c r="C2161" s="26" t="s">
        <v>24</v>
      </c>
      <c r="D2161" s="28" t="s">
        <v>4539</v>
      </c>
      <c r="E2161" s="26">
        <v>0</v>
      </c>
      <c r="F2161" s="29" t="s">
        <v>232</v>
      </c>
    </row>
    <row r="2162" spans="1:6" ht="43.5" x14ac:dyDescent="0.35">
      <c r="A2162" s="26" t="s">
        <v>216</v>
      </c>
      <c r="B2162" s="26" t="s">
        <v>4540</v>
      </c>
      <c r="C2162" s="26" t="s">
        <v>15</v>
      </c>
      <c r="D2162" s="28" t="s">
        <v>218</v>
      </c>
      <c r="E2162" s="26" t="s">
        <v>4541</v>
      </c>
      <c r="F2162" s="29" t="s">
        <v>220</v>
      </c>
    </row>
    <row r="2163" spans="1:6" ht="29" x14ac:dyDescent="0.35">
      <c r="A2163" s="26" t="s">
        <v>216</v>
      </c>
      <c r="B2163" s="26" t="s">
        <v>4542</v>
      </c>
      <c r="C2163" s="26" t="s">
        <v>17</v>
      </c>
      <c r="D2163" s="28" t="s">
        <v>4543</v>
      </c>
      <c r="E2163" s="26">
        <v>13436</v>
      </c>
      <c r="F2163" s="29" t="s">
        <v>247</v>
      </c>
    </row>
    <row r="2164" spans="1:6" ht="29" x14ac:dyDescent="0.35">
      <c r="A2164" s="26" t="s">
        <v>216</v>
      </c>
      <c r="B2164" s="26" t="s">
        <v>4544</v>
      </c>
      <c r="C2164" s="26" t="s">
        <v>20</v>
      </c>
      <c r="D2164" s="28" t="s">
        <v>4545</v>
      </c>
      <c r="E2164" s="26">
        <v>13436</v>
      </c>
      <c r="F2164" s="29" t="s">
        <v>223</v>
      </c>
    </row>
    <row r="2165" spans="1:6" ht="58" x14ac:dyDescent="0.35">
      <c r="A2165" s="26" t="s">
        <v>216</v>
      </c>
      <c r="B2165" s="26" t="s">
        <v>4546</v>
      </c>
      <c r="C2165" s="26" t="s">
        <v>25</v>
      </c>
      <c r="D2165" s="28" t="s">
        <v>4547</v>
      </c>
      <c r="E2165" s="26">
        <v>0</v>
      </c>
      <c r="F2165" s="29" t="s">
        <v>226</v>
      </c>
    </row>
    <row r="2166" spans="1:6" ht="43.5" x14ac:dyDescent="0.35">
      <c r="A2166" s="26" t="s">
        <v>216</v>
      </c>
      <c r="B2166" s="26" t="s">
        <v>4548</v>
      </c>
      <c r="C2166" s="26" t="s">
        <v>27</v>
      </c>
      <c r="D2166" s="28" t="s">
        <v>4549</v>
      </c>
      <c r="E2166" s="26">
        <v>0</v>
      </c>
      <c r="F2166" s="29" t="s">
        <v>229</v>
      </c>
    </row>
    <row r="2167" spans="1:6" ht="29" x14ac:dyDescent="0.35">
      <c r="A2167" s="26" t="s">
        <v>216</v>
      </c>
      <c r="B2167" s="26" t="s">
        <v>4550</v>
      </c>
      <c r="C2167" s="26" t="s">
        <v>24</v>
      </c>
      <c r="D2167" s="28" t="s">
        <v>4551</v>
      </c>
      <c r="E2167" s="26">
        <v>0</v>
      </c>
      <c r="F2167" s="29" t="s">
        <v>232</v>
      </c>
    </row>
    <row r="2168" spans="1:6" ht="43.5" x14ac:dyDescent="0.35">
      <c r="A2168" s="26" t="s">
        <v>216</v>
      </c>
      <c r="B2168" s="26" t="s">
        <v>4552</v>
      </c>
      <c r="C2168" s="26" t="s">
        <v>15</v>
      </c>
      <c r="D2168" s="28" t="s">
        <v>218</v>
      </c>
      <c r="E2168" s="26" t="s">
        <v>4553</v>
      </c>
      <c r="F2168" s="29" t="s">
        <v>220</v>
      </c>
    </row>
    <row r="2169" spans="1:6" ht="29" x14ac:dyDescent="0.35">
      <c r="A2169" s="26" t="s">
        <v>216</v>
      </c>
      <c r="B2169" s="26" t="s">
        <v>4554</v>
      </c>
      <c r="C2169" s="26" t="s">
        <v>17</v>
      </c>
      <c r="D2169" s="28" t="s">
        <v>4555</v>
      </c>
      <c r="E2169" s="26">
        <v>13436</v>
      </c>
      <c r="F2169" s="29" t="s">
        <v>247</v>
      </c>
    </row>
    <row r="2170" spans="1:6" ht="29" x14ac:dyDescent="0.35">
      <c r="A2170" s="26" t="s">
        <v>216</v>
      </c>
      <c r="B2170" s="26" t="s">
        <v>4556</v>
      </c>
      <c r="C2170" s="26" t="s">
        <v>20</v>
      </c>
      <c r="D2170" s="28" t="s">
        <v>4557</v>
      </c>
      <c r="E2170" s="26">
        <v>13436</v>
      </c>
      <c r="F2170" s="29" t="s">
        <v>223</v>
      </c>
    </row>
    <row r="2171" spans="1:6" ht="58" x14ac:dyDescent="0.35">
      <c r="A2171" s="26" t="s">
        <v>216</v>
      </c>
      <c r="B2171" s="26" t="s">
        <v>4558</v>
      </c>
      <c r="C2171" s="26" t="s">
        <v>25</v>
      </c>
      <c r="D2171" s="28" t="s">
        <v>4559</v>
      </c>
      <c r="E2171" s="26">
        <v>0</v>
      </c>
      <c r="F2171" s="29" t="s">
        <v>226</v>
      </c>
    </row>
    <row r="2172" spans="1:6" ht="43.5" x14ac:dyDescent="0.35">
      <c r="A2172" s="26" t="s">
        <v>216</v>
      </c>
      <c r="B2172" s="26" t="s">
        <v>4560</v>
      </c>
      <c r="C2172" s="26" t="s">
        <v>27</v>
      </c>
      <c r="D2172" s="28" t="s">
        <v>4561</v>
      </c>
      <c r="E2172" s="26">
        <v>0</v>
      </c>
      <c r="F2172" s="29" t="s">
        <v>229</v>
      </c>
    </row>
    <row r="2173" spans="1:6" ht="29" x14ac:dyDescent="0.35">
      <c r="A2173" s="26" t="s">
        <v>216</v>
      </c>
      <c r="B2173" s="26" t="s">
        <v>4562</v>
      </c>
      <c r="C2173" s="26" t="s">
        <v>24</v>
      </c>
      <c r="D2173" s="28" t="s">
        <v>4563</v>
      </c>
      <c r="E2173" s="26">
        <v>0</v>
      </c>
      <c r="F2173" s="29" t="s">
        <v>232</v>
      </c>
    </row>
    <row r="2174" spans="1:6" ht="43.5" x14ac:dyDescent="0.35">
      <c r="A2174" s="26" t="s">
        <v>216</v>
      </c>
      <c r="B2174" s="26" t="s">
        <v>4564</v>
      </c>
      <c r="C2174" s="26" t="s">
        <v>15</v>
      </c>
      <c r="D2174" s="28" t="s">
        <v>218</v>
      </c>
      <c r="E2174" s="26" t="s">
        <v>4565</v>
      </c>
      <c r="F2174" s="29" t="s">
        <v>220</v>
      </c>
    </row>
    <row r="2175" spans="1:6" ht="29" x14ac:dyDescent="0.35">
      <c r="A2175" s="26" t="s">
        <v>216</v>
      </c>
      <c r="B2175" s="26" t="s">
        <v>4566</v>
      </c>
      <c r="C2175" s="26" t="s">
        <v>17</v>
      </c>
      <c r="D2175" s="28" t="s">
        <v>4567</v>
      </c>
      <c r="E2175" s="26">
        <v>13436</v>
      </c>
      <c r="F2175" s="29" t="s">
        <v>247</v>
      </c>
    </row>
    <row r="2176" spans="1:6" ht="29" x14ac:dyDescent="0.35">
      <c r="A2176" s="26" t="s">
        <v>216</v>
      </c>
      <c r="B2176" s="26" t="s">
        <v>4568</v>
      </c>
      <c r="C2176" s="26" t="s">
        <v>20</v>
      </c>
      <c r="D2176" s="28" t="s">
        <v>4569</v>
      </c>
      <c r="E2176" s="26">
        <v>13436</v>
      </c>
      <c r="F2176" s="29" t="s">
        <v>223</v>
      </c>
    </row>
    <row r="2177" spans="1:6" ht="58" x14ac:dyDescent="0.35">
      <c r="A2177" s="26" t="s">
        <v>216</v>
      </c>
      <c r="B2177" s="26" t="s">
        <v>4570</v>
      </c>
      <c r="C2177" s="26" t="s">
        <v>25</v>
      </c>
      <c r="D2177" s="28" t="s">
        <v>4571</v>
      </c>
      <c r="E2177" s="26">
        <v>0</v>
      </c>
      <c r="F2177" s="29" t="s">
        <v>226</v>
      </c>
    </row>
    <row r="2178" spans="1:6" ht="43.5" x14ac:dyDescent="0.35">
      <c r="A2178" s="26" t="s">
        <v>216</v>
      </c>
      <c r="B2178" s="26" t="s">
        <v>4572</v>
      </c>
      <c r="C2178" s="26" t="s">
        <v>27</v>
      </c>
      <c r="D2178" s="28" t="s">
        <v>4573</v>
      </c>
      <c r="E2178" s="26">
        <v>0</v>
      </c>
      <c r="F2178" s="29" t="s">
        <v>229</v>
      </c>
    </row>
    <row r="2179" spans="1:6" ht="29" x14ac:dyDescent="0.35">
      <c r="A2179" s="26" t="s">
        <v>216</v>
      </c>
      <c r="B2179" s="26" t="s">
        <v>4574</v>
      </c>
      <c r="C2179" s="26" t="s">
        <v>24</v>
      </c>
      <c r="D2179" s="28" t="s">
        <v>4575</v>
      </c>
      <c r="E2179" s="26">
        <v>0</v>
      </c>
      <c r="F2179" s="29" t="s">
        <v>232</v>
      </c>
    </row>
    <row r="2180" spans="1:6" ht="43.5" x14ac:dyDescent="0.35">
      <c r="A2180" s="26" t="s">
        <v>216</v>
      </c>
      <c r="B2180" s="26" t="s">
        <v>4576</v>
      </c>
      <c r="C2180" s="26" t="s">
        <v>15</v>
      </c>
      <c r="D2180" s="28" t="s">
        <v>218</v>
      </c>
      <c r="E2180" s="26" t="s">
        <v>4577</v>
      </c>
      <c r="F2180" s="29" t="s">
        <v>220</v>
      </c>
    </row>
    <row r="2181" spans="1:6" ht="29" x14ac:dyDescent="0.35">
      <c r="A2181" s="26" t="s">
        <v>216</v>
      </c>
      <c r="B2181" s="26" t="s">
        <v>4578</v>
      </c>
      <c r="C2181" s="26" t="s">
        <v>17</v>
      </c>
      <c r="D2181" s="28" t="s">
        <v>4579</v>
      </c>
      <c r="E2181" s="26">
        <v>13436</v>
      </c>
      <c r="F2181" s="29" t="s">
        <v>247</v>
      </c>
    </row>
    <row r="2182" spans="1:6" ht="29" x14ac:dyDescent="0.35">
      <c r="A2182" s="26" t="s">
        <v>216</v>
      </c>
      <c r="B2182" s="26" t="s">
        <v>4580</v>
      </c>
      <c r="C2182" s="26" t="s">
        <v>20</v>
      </c>
      <c r="D2182" s="28" t="s">
        <v>4581</v>
      </c>
      <c r="E2182" s="26">
        <v>13436</v>
      </c>
      <c r="F2182" s="29" t="s">
        <v>223</v>
      </c>
    </row>
    <row r="2183" spans="1:6" ht="58" x14ac:dyDescent="0.35">
      <c r="A2183" s="26" t="s">
        <v>216</v>
      </c>
      <c r="B2183" s="26" t="s">
        <v>4582</v>
      </c>
      <c r="C2183" s="26" t="s">
        <v>25</v>
      </c>
      <c r="D2183" s="28" t="s">
        <v>4583</v>
      </c>
      <c r="E2183" s="26">
        <v>0</v>
      </c>
      <c r="F2183" s="29" t="s">
        <v>226</v>
      </c>
    </row>
    <row r="2184" spans="1:6" ht="43.5" x14ac:dyDescent="0.35">
      <c r="A2184" s="26" t="s">
        <v>216</v>
      </c>
      <c r="B2184" s="26" t="s">
        <v>4584</v>
      </c>
      <c r="C2184" s="26" t="s">
        <v>27</v>
      </c>
      <c r="D2184" s="28" t="s">
        <v>4585</v>
      </c>
      <c r="E2184" s="26">
        <v>0</v>
      </c>
      <c r="F2184" s="29" t="s">
        <v>229</v>
      </c>
    </row>
    <row r="2185" spans="1:6" ht="29" x14ac:dyDescent="0.35">
      <c r="A2185" s="26" t="s">
        <v>216</v>
      </c>
      <c r="B2185" s="26" t="s">
        <v>4586</v>
      </c>
      <c r="C2185" s="26" t="s">
        <v>24</v>
      </c>
      <c r="D2185" s="28" t="s">
        <v>4587</v>
      </c>
      <c r="E2185" s="26">
        <v>0</v>
      </c>
      <c r="F2185" s="29" t="s">
        <v>232</v>
      </c>
    </row>
    <row r="2186" spans="1:6" ht="43.5" x14ac:dyDescent="0.35">
      <c r="A2186" s="26" t="s">
        <v>216</v>
      </c>
      <c r="B2186" s="26" t="s">
        <v>4588</v>
      </c>
      <c r="C2186" s="26" t="s">
        <v>15</v>
      </c>
      <c r="D2186" s="28" t="s">
        <v>218</v>
      </c>
      <c r="E2186" s="26" t="s">
        <v>4589</v>
      </c>
      <c r="F2186" s="29" t="s">
        <v>220</v>
      </c>
    </row>
    <row r="2187" spans="1:6" ht="29" x14ac:dyDescent="0.35">
      <c r="A2187" s="26" t="s">
        <v>216</v>
      </c>
      <c r="B2187" s="26" t="s">
        <v>4590</v>
      </c>
      <c r="C2187" s="26" t="s">
        <v>17</v>
      </c>
      <c r="D2187" s="28" t="s">
        <v>4591</v>
      </c>
      <c r="E2187" s="26">
        <v>13436</v>
      </c>
      <c r="F2187" s="29" t="s">
        <v>247</v>
      </c>
    </row>
    <row r="2188" spans="1:6" ht="29" x14ac:dyDescent="0.35">
      <c r="A2188" s="26" t="s">
        <v>216</v>
      </c>
      <c r="B2188" s="26" t="s">
        <v>4592</v>
      </c>
      <c r="C2188" s="26" t="s">
        <v>20</v>
      </c>
      <c r="D2188" s="28" t="s">
        <v>4593</v>
      </c>
      <c r="E2188" s="26">
        <v>13436</v>
      </c>
      <c r="F2188" s="29" t="s">
        <v>223</v>
      </c>
    </row>
    <row r="2189" spans="1:6" ht="58" x14ac:dyDescent="0.35">
      <c r="A2189" s="26" t="s">
        <v>216</v>
      </c>
      <c r="B2189" s="26" t="s">
        <v>4594</v>
      </c>
      <c r="C2189" s="26" t="s">
        <v>25</v>
      </c>
      <c r="D2189" s="28" t="s">
        <v>4595</v>
      </c>
      <c r="E2189" s="26">
        <v>0</v>
      </c>
      <c r="F2189" s="29" t="s">
        <v>226</v>
      </c>
    </row>
    <row r="2190" spans="1:6" ht="43.5" x14ac:dyDescent="0.35">
      <c r="A2190" s="26" t="s">
        <v>216</v>
      </c>
      <c r="B2190" s="26" t="s">
        <v>4596</v>
      </c>
      <c r="C2190" s="26" t="s">
        <v>27</v>
      </c>
      <c r="D2190" s="28" t="s">
        <v>4597</v>
      </c>
      <c r="E2190" s="26">
        <v>0</v>
      </c>
      <c r="F2190" s="29" t="s">
        <v>229</v>
      </c>
    </row>
    <row r="2191" spans="1:6" ht="29" x14ac:dyDescent="0.35">
      <c r="A2191" s="26" t="s">
        <v>216</v>
      </c>
      <c r="B2191" s="26" t="s">
        <v>4598</v>
      </c>
      <c r="C2191" s="26" t="s">
        <v>24</v>
      </c>
      <c r="D2191" s="28" t="s">
        <v>4599</v>
      </c>
      <c r="E2191" s="26">
        <v>0</v>
      </c>
      <c r="F2191" s="29" t="s">
        <v>232</v>
      </c>
    </row>
    <row r="2192" spans="1:6" ht="43.5" x14ac:dyDescent="0.35">
      <c r="A2192" s="26" t="s">
        <v>216</v>
      </c>
      <c r="B2192" s="26" t="s">
        <v>4600</v>
      </c>
      <c r="C2192" s="26" t="s">
        <v>15</v>
      </c>
      <c r="D2192" s="28" t="s">
        <v>218</v>
      </c>
      <c r="E2192" s="26" t="s">
        <v>4601</v>
      </c>
      <c r="F2192" s="29" t="s">
        <v>220</v>
      </c>
    </row>
    <row r="2193" spans="1:6" ht="29" x14ac:dyDescent="0.35">
      <c r="A2193" s="26" t="s">
        <v>216</v>
      </c>
      <c r="B2193" s="26" t="s">
        <v>4602</v>
      </c>
      <c r="C2193" s="26" t="s">
        <v>17</v>
      </c>
      <c r="D2193" s="28" t="s">
        <v>4603</v>
      </c>
      <c r="E2193" s="26">
        <v>13436</v>
      </c>
      <c r="F2193" s="29" t="s">
        <v>247</v>
      </c>
    </row>
    <row r="2194" spans="1:6" ht="29" x14ac:dyDescent="0.35">
      <c r="A2194" s="26" t="s">
        <v>216</v>
      </c>
      <c r="B2194" s="26" t="s">
        <v>4604</v>
      </c>
      <c r="C2194" s="26" t="s">
        <v>20</v>
      </c>
      <c r="D2194" s="28" t="s">
        <v>4605</v>
      </c>
      <c r="E2194" s="26">
        <v>13436</v>
      </c>
      <c r="F2194" s="29" t="s">
        <v>223</v>
      </c>
    </row>
    <row r="2195" spans="1:6" ht="58" x14ac:dyDescent="0.35">
      <c r="A2195" s="26" t="s">
        <v>216</v>
      </c>
      <c r="B2195" s="26" t="s">
        <v>4606</v>
      </c>
      <c r="C2195" s="26" t="s">
        <v>25</v>
      </c>
      <c r="D2195" s="28" t="s">
        <v>4607</v>
      </c>
      <c r="E2195" s="26">
        <v>0</v>
      </c>
      <c r="F2195" s="29" t="s">
        <v>226</v>
      </c>
    </row>
    <row r="2196" spans="1:6" ht="43.5" x14ac:dyDescent="0.35">
      <c r="A2196" s="26" t="s">
        <v>216</v>
      </c>
      <c r="B2196" s="26" t="s">
        <v>4608</v>
      </c>
      <c r="C2196" s="26" t="s">
        <v>27</v>
      </c>
      <c r="D2196" s="28" t="s">
        <v>4609</v>
      </c>
      <c r="E2196" s="26">
        <v>0</v>
      </c>
      <c r="F2196" s="29" t="s">
        <v>229</v>
      </c>
    </row>
    <row r="2197" spans="1:6" ht="29" x14ac:dyDescent="0.35">
      <c r="A2197" s="26" t="s">
        <v>216</v>
      </c>
      <c r="B2197" s="26" t="s">
        <v>4610</v>
      </c>
      <c r="C2197" s="26" t="s">
        <v>24</v>
      </c>
      <c r="D2197" s="28" t="s">
        <v>4611</v>
      </c>
      <c r="E2197" s="26">
        <v>0</v>
      </c>
      <c r="F2197" s="29" t="s">
        <v>232</v>
      </c>
    </row>
    <row r="2198" spans="1:6" ht="43.5" x14ac:dyDescent="0.35">
      <c r="A2198" s="26" t="s">
        <v>216</v>
      </c>
      <c r="B2198" s="26" t="s">
        <v>4612</v>
      </c>
      <c r="C2198" s="26" t="s">
        <v>15</v>
      </c>
      <c r="D2198" s="28" t="s">
        <v>218</v>
      </c>
      <c r="E2198" s="26" t="s">
        <v>4613</v>
      </c>
      <c r="F2198" s="29" t="s">
        <v>220</v>
      </c>
    </row>
    <row r="2199" spans="1:6" ht="29" x14ac:dyDescent="0.35">
      <c r="A2199" s="26" t="s">
        <v>216</v>
      </c>
      <c r="B2199" s="26" t="s">
        <v>4614</v>
      </c>
      <c r="C2199" s="26" t="s">
        <v>17</v>
      </c>
      <c r="D2199" s="28" t="s">
        <v>4615</v>
      </c>
      <c r="E2199" s="26">
        <v>13436</v>
      </c>
      <c r="F2199" s="29" t="s">
        <v>247</v>
      </c>
    </row>
    <row r="2200" spans="1:6" ht="29" x14ac:dyDescent="0.35">
      <c r="A2200" s="26" t="s">
        <v>216</v>
      </c>
      <c r="B2200" s="26" t="s">
        <v>4616</v>
      </c>
      <c r="C2200" s="26" t="s">
        <v>20</v>
      </c>
      <c r="D2200" s="28" t="s">
        <v>4617</v>
      </c>
      <c r="E2200" s="26">
        <v>13436</v>
      </c>
      <c r="F2200" s="29" t="s">
        <v>223</v>
      </c>
    </row>
    <row r="2201" spans="1:6" ht="58" x14ac:dyDescent="0.35">
      <c r="A2201" s="26" t="s">
        <v>216</v>
      </c>
      <c r="B2201" s="26" t="s">
        <v>4618</v>
      </c>
      <c r="C2201" s="26" t="s">
        <v>25</v>
      </c>
      <c r="D2201" s="28" t="s">
        <v>4619</v>
      </c>
      <c r="E2201" s="26">
        <v>0</v>
      </c>
      <c r="F2201" s="29" t="s">
        <v>226</v>
      </c>
    </row>
    <row r="2202" spans="1:6" ht="43.5" x14ac:dyDescent="0.35">
      <c r="A2202" s="26" t="s">
        <v>216</v>
      </c>
      <c r="B2202" s="26" t="s">
        <v>4620</v>
      </c>
      <c r="C2202" s="26" t="s">
        <v>27</v>
      </c>
      <c r="D2202" s="28" t="s">
        <v>4621</v>
      </c>
      <c r="E2202" s="26">
        <v>0</v>
      </c>
      <c r="F2202" s="29" t="s">
        <v>229</v>
      </c>
    </row>
    <row r="2203" spans="1:6" ht="29" x14ac:dyDescent="0.35">
      <c r="A2203" s="26" t="s">
        <v>216</v>
      </c>
      <c r="B2203" s="26" t="s">
        <v>4622</v>
      </c>
      <c r="C2203" s="26" t="s">
        <v>24</v>
      </c>
      <c r="D2203" s="28" t="s">
        <v>4623</v>
      </c>
      <c r="E2203" s="26">
        <v>0</v>
      </c>
      <c r="F2203" s="29" t="s">
        <v>232</v>
      </c>
    </row>
    <row r="2204" spans="1:6" ht="43.5" x14ac:dyDescent="0.35">
      <c r="A2204" s="26" t="s">
        <v>216</v>
      </c>
      <c r="B2204" s="26" t="s">
        <v>4624</v>
      </c>
      <c r="C2204" s="26" t="s">
        <v>15</v>
      </c>
      <c r="D2204" s="28" t="s">
        <v>218</v>
      </c>
      <c r="E2204" s="26" t="s">
        <v>4625</v>
      </c>
      <c r="F2204" s="29" t="s">
        <v>220</v>
      </c>
    </row>
    <row r="2205" spans="1:6" ht="29" x14ac:dyDescent="0.35">
      <c r="A2205" s="26" t="s">
        <v>216</v>
      </c>
      <c r="B2205" s="26" t="s">
        <v>4626</v>
      </c>
      <c r="C2205" s="26" t="s">
        <v>17</v>
      </c>
      <c r="D2205" s="28" t="s">
        <v>4627</v>
      </c>
      <c r="E2205" s="26">
        <v>13436</v>
      </c>
      <c r="F2205" s="29" t="s">
        <v>247</v>
      </c>
    </row>
    <row r="2206" spans="1:6" ht="29" x14ac:dyDescent="0.35">
      <c r="A2206" s="26" t="s">
        <v>216</v>
      </c>
      <c r="B2206" s="26" t="s">
        <v>4628</v>
      </c>
      <c r="C2206" s="26" t="s">
        <v>20</v>
      </c>
      <c r="D2206" s="28" t="s">
        <v>4629</v>
      </c>
      <c r="E2206" s="26">
        <v>13436</v>
      </c>
      <c r="F2206" s="29" t="s">
        <v>223</v>
      </c>
    </row>
    <row r="2207" spans="1:6" ht="58" x14ac:dyDescent="0.35">
      <c r="A2207" s="26" t="s">
        <v>216</v>
      </c>
      <c r="B2207" s="26" t="s">
        <v>4630</v>
      </c>
      <c r="C2207" s="26" t="s">
        <v>25</v>
      </c>
      <c r="D2207" s="28" t="s">
        <v>4631</v>
      </c>
      <c r="E2207" s="26">
        <v>0</v>
      </c>
      <c r="F2207" s="29" t="s">
        <v>226</v>
      </c>
    </row>
    <row r="2208" spans="1:6" ht="43.5" x14ac:dyDescent="0.35">
      <c r="A2208" s="26" t="s">
        <v>216</v>
      </c>
      <c r="B2208" s="26" t="s">
        <v>4632</v>
      </c>
      <c r="C2208" s="26" t="s">
        <v>27</v>
      </c>
      <c r="D2208" s="28" t="s">
        <v>4633</v>
      </c>
      <c r="E2208" s="26">
        <v>0</v>
      </c>
      <c r="F2208" s="29" t="s">
        <v>229</v>
      </c>
    </row>
    <row r="2209" spans="1:6" ht="29" x14ac:dyDescent="0.35">
      <c r="A2209" s="26" t="s">
        <v>216</v>
      </c>
      <c r="B2209" s="26" t="s">
        <v>4634</v>
      </c>
      <c r="C2209" s="26" t="s">
        <v>24</v>
      </c>
      <c r="D2209" s="28" t="s">
        <v>4635</v>
      </c>
      <c r="E2209" s="26">
        <v>0</v>
      </c>
      <c r="F2209" s="29" t="s">
        <v>232</v>
      </c>
    </row>
    <row r="2210" spans="1:6" ht="43.5" x14ac:dyDescent="0.35">
      <c r="A2210" s="26" t="s">
        <v>216</v>
      </c>
      <c r="B2210" s="26" t="s">
        <v>4636</v>
      </c>
      <c r="C2210" s="26" t="s">
        <v>15</v>
      </c>
      <c r="D2210" s="28" t="s">
        <v>218</v>
      </c>
      <c r="E2210" s="26" t="s">
        <v>4637</v>
      </c>
      <c r="F2210" s="29" t="s">
        <v>220</v>
      </c>
    </row>
    <row r="2211" spans="1:6" ht="29" x14ac:dyDescent="0.35">
      <c r="A2211" s="26" t="s">
        <v>216</v>
      </c>
      <c r="B2211" s="26" t="s">
        <v>4638</v>
      </c>
      <c r="C2211" s="26" t="s">
        <v>17</v>
      </c>
      <c r="D2211" s="28" t="s">
        <v>4639</v>
      </c>
      <c r="E2211" s="26">
        <v>13436</v>
      </c>
      <c r="F2211" s="29" t="s">
        <v>247</v>
      </c>
    </row>
    <row r="2212" spans="1:6" ht="29" x14ac:dyDescent="0.35">
      <c r="A2212" s="26" t="s">
        <v>216</v>
      </c>
      <c r="B2212" s="26" t="s">
        <v>4640</v>
      </c>
      <c r="C2212" s="26" t="s">
        <v>20</v>
      </c>
      <c r="D2212" s="28" t="s">
        <v>4641</v>
      </c>
      <c r="E2212" s="26">
        <v>13436</v>
      </c>
      <c r="F2212" s="29" t="s">
        <v>223</v>
      </c>
    </row>
    <row r="2213" spans="1:6" ht="58" x14ac:dyDescent="0.35">
      <c r="A2213" s="26" t="s">
        <v>216</v>
      </c>
      <c r="B2213" s="26" t="s">
        <v>4642</v>
      </c>
      <c r="C2213" s="26" t="s">
        <v>25</v>
      </c>
      <c r="D2213" s="28" t="s">
        <v>4643</v>
      </c>
      <c r="E2213" s="26">
        <v>0</v>
      </c>
      <c r="F2213" s="29" t="s">
        <v>226</v>
      </c>
    </row>
    <row r="2214" spans="1:6" ht="43.5" x14ac:dyDescent="0.35">
      <c r="A2214" s="26" t="s">
        <v>216</v>
      </c>
      <c r="B2214" s="26" t="s">
        <v>4644</v>
      </c>
      <c r="C2214" s="26" t="s">
        <v>27</v>
      </c>
      <c r="D2214" s="28" t="s">
        <v>4645</v>
      </c>
      <c r="E2214" s="26">
        <v>0</v>
      </c>
      <c r="F2214" s="29" t="s">
        <v>229</v>
      </c>
    </row>
    <row r="2215" spans="1:6" ht="29" x14ac:dyDescent="0.35">
      <c r="A2215" s="26" t="s">
        <v>216</v>
      </c>
      <c r="B2215" s="26" t="s">
        <v>4646</v>
      </c>
      <c r="C2215" s="26" t="s">
        <v>24</v>
      </c>
      <c r="D2215" s="28" t="s">
        <v>4647</v>
      </c>
      <c r="E2215" s="26">
        <v>0</v>
      </c>
      <c r="F2215" s="29" t="s">
        <v>232</v>
      </c>
    </row>
    <row r="2216" spans="1:6" ht="43.5" x14ac:dyDescent="0.35">
      <c r="A2216" s="26" t="s">
        <v>216</v>
      </c>
      <c r="B2216" s="26" t="s">
        <v>4648</v>
      </c>
      <c r="C2216" s="26" t="s">
        <v>15</v>
      </c>
      <c r="D2216" s="28" t="s">
        <v>218</v>
      </c>
      <c r="E2216" s="26" t="s">
        <v>4649</v>
      </c>
      <c r="F2216" s="29" t="s">
        <v>220</v>
      </c>
    </row>
    <row r="2217" spans="1:6" ht="29" x14ac:dyDescent="0.35">
      <c r="A2217" s="26" t="s">
        <v>216</v>
      </c>
      <c r="B2217" s="26" t="s">
        <v>4650</v>
      </c>
      <c r="C2217" s="26" t="s">
        <v>17</v>
      </c>
      <c r="D2217" s="28" t="s">
        <v>4651</v>
      </c>
      <c r="E2217" s="26">
        <v>13436</v>
      </c>
      <c r="F2217" s="29" t="s">
        <v>247</v>
      </c>
    </row>
    <row r="2218" spans="1:6" ht="29" x14ac:dyDescent="0.35">
      <c r="A2218" s="26" t="s">
        <v>216</v>
      </c>
      <c r="B2218" s="26" t="s">
        <v>4652</v>
      </c>
      <c r="C2218" s="26" t="s">
        <v>20</v>
      </c>
      <c r="D2218" s="28" t="s">
        <v>4653</v>
      </c>
      <c r="E2218" s="26">
        <v>13436</v>
      </c>
      <c r="F2218" s="29" t="s">
        <v>223</v>
      </c>
    </row>
    <row r="2219" spans="1:6" ht="58" x14ac:dyDescent="0.35">
      <c r="A2219" s="26" t="s">
        <v>216</v>
      </c>
      <c r="B2219" s="26" t="s">
        <v>4654</v>
      </c>
      <c r="C2219" s="26" t="s">
        <v>25</v>
      </c>
      <c r="D2219" s="28" t="s">
        <v>4655</v>
      </c>
      <c r="E2219" s="26">
        <v>0</v>
      </c>
      <c r="F2219" s="29" t="s">
        <v>226</v>
      </c>
    </row>
    <row r="2220" spans="1:6" ht="43.5" x14ac:dyDescent="0.35">
      <c r="A2220" s="26" t="s">
        <v>216</v>
      </c>
      <c r="B2220" s="26" t="s">
        <v>4656</v>
      </c>
      <c r="C2220" s="26" t="s">
        <v>27</v>
      </c>
      <c r="D2220" s="28" t="s">
        <v>4657</v>
      </c>
      <c r="E2220" s="26">
        <v>0</v>
      </c>
      <c r="F2220" s="29" t="s">
        <v>229</v>
      </c>
    </row>
    <row r="2221" spans="1:6" ht="29" x14ac:dyDescent="0.35">
      <c r="A2221" s="26" t="s">
        <v>216</v>
      </c>
      <c r="B2221" s="26" t="s">
        <v>4658</v>
      </c>
      <c r="C2221" s="26" t="s">
        <v>24</v>
      </c>
      <c r="D2221" s="28" t="s">
        <v>4659</v>
      </c>
      <c r="E2221" s="26">
        <v>0</v>
      </c>
      <c r="F2221" s="29" t="s">
        <v>232</v>
      </c>
    </row>
    <row r="2222" spans="1:6" ht="43.5" x14ac:dyDescent="0.35">
      <c r="A2222" s="26" t="s">
        <v>216</v>
      </c>
      <c r="B2222" s="26" t="s">
        <v>4660</v>
      </c>
      <c r="C2222" s="26" t="s">
        <v>15</v>
      </c>
      <c r="D2222" s="28" t="s">
        <v>218</v>
      </c>
      <c r="E2222" s="26" t="s">
        <v>4661</v>
      </c>
      <c r="F2222" s="29" t="s">
        <v>220</v>
      </c>
    </row>
    <row r="2223" spans="1:6" ht="29" x14ac:dyDescent="0.35">
      <c r="A2223" s="26" t="s">
        <v>216</v>
      </c>
      <c r="B2223" s="26" t="s">
        <v>4662</v>
      </c>
      <c r="C2223" s="26" t="s">
        <v>17</v>
      </c>
      <c r="D2223" s="28" t="s">
        <v>4663</v>
      </c>
      <c r="E2223" s="26">
        <v>13436</v>
      </c>
      <c r="F2223" s="29" t="s">
        <v>247</v>
      </c>
    </row>
    <row r="2224" spans="1:6" ht="29" x14ac:dyDescent="0.35">
      <c r="A2224" s="26" t="s">
        <v>216</v>
      </c>
      <c r="B2224" s="26" t="s">
        <v>4664</v>
      </c>
      <c r="C2224" s="26" t="s">
        <v>20</v>
      </c>
      <c r="D2224" s="28" t="s">
        <v>4665</v>
      </c>
      <c r="E2224" s="26">
        <v>13436</v>
      </c>
      <c r="F2224" s="29" t="s">
        <v>223</v>
      </c>
    </row>
    <row r="2225" spans="1:6" ht="58" x14ac:dyDescent="0.35">
      <c r="A2225" s="26" t="s">
        <v>216</v>
      </c>
      <c r="B2225" s="26" t="s">
        <v>4666</v>
      </c>
      <c r="C2225" s="26" t="s">
        <v>25</v>
      </c>
      <c r="D2225" s="28" t="s">
        <v>4667</v>
      </c>
      <c r="E2225" s="26">
        <v>0</v>
      </c>
      <c r="F2225" s="29" t="s">
        <v>226</v>
      </c>
    </row>
    <row r="2226" spans="1:6" ht="43.5" x14ac:dyDescent="0.35">
      <c r="A2226" s="26" t="s">
        <v>216</v>
      </c>
      <c r="B2226" s="26" t="s">
        <v>4668</v>
      </c>
      <c r="C2226" s="26" t="s">
        <v>27</v>
      </c>
      <c r="D2226" s="28" t="s">
        <v>4669</v>
      </c>
      <c r="E2226" s="26">
        <v>0</v>
      </c>
      <c r="F2226" s="29" t="s">
        <v>229</v>
      </c>
    </row>
    <row r="2227" spans="1:6" ht="29" x14ac:dyDescent="0.35">
      <c r="A2227" s="26" t="s">
        <v>216</v>
      </c>
      <c r="B2227" s="26" t="s">
        <v>4670</v>
      </c>
      <c r="C2227" s="26" t="s">
        <v>24</v>
      </c>
      <c r="D2227" s="28" t="s">
        <v>4671</v>
      </c>
      <c r="E2227" s="26">
        <v>0</v>
      </c>
      <c r="F2227" s="29" t="s">
        <v>232</v>
      </c>
    </row>
    <row r="2228" spans="1:6" ht="43.5" x14ac:dyDescent="0.35">
      <c r="A2228" s="26" t="s">
        <v>216</v>
      </c>
      <c r="B2228" s="26" t="s">
        <v>4672</v>
      </c>
      <c r="C2228" s="26" t="s">
        <v>15</v>
      </c>
      <c r="D2228" s="28" t="s">
        <v>218</v>
      </c>
      <c r="E2228" s="26" t="s">
        <v>4673</v>
      </c>
      <c r="F2228" s="29" t="s">
        <v>220</v>
      </c>
    </row>
    <row r="2229" spans="1:6" ht="29" x14ac:dyDescent="0.35">
      <c r="A2229" s="26" t="s">
        <v>216</v>
      </c>
      <c r="B2229" s="26" t="s">
        <v>4674</v>
      </c>
      <c r="C2229" s="26" t="s">
        <v>17</v>
      </c>
      <c r="D2229" s="28" t="s">
        <v>4675</v>
      </c>
      <c r="E2229" s="26">
        <v>13436</v>
      </c>
      <c r="F2229" s="29" t="s">
        <v>247</v>
      </c>
    </row>
    <row r="2230" spans="1:6" ht="29" x14ac:dyDescent="0.35">
      <c r="A2230" s="26" t="s">
        <v>216</v>
      </c>
      <c r="B2230" s="26" t="s">
        <v>4676</v>
      </c>
      <c r="C2230" s="26" t="s">
        <v>20</v>
      </c>
      <c r="D2230" s="28" t="s">
        <v>4677</v>
      </c>
      <c r="E2230" s="26">
        <v>13436</v>
      </c>
      <c r="F2230" s="29" t="s">
        <v>223</v>
      </c>
    </row>
    <row r="2231" spans="1:6" ht="58" x14ac:dyDescent="0.35">
      <c r="A2231" s="26" t="s">
        <v>216</v>
      </c>
      <c r="B2231" s="26" t="s">
        <v>4678</v>
      </c>
      <c r="C2231" s="26" t="s">
        <v>25</v>
      </c>
      <c r="D2231" s="28" t="s">
        <v>4679</v>
      </c>
      <c r="E2231" s="26">
        <v>0</v>
      </c>
      <c r="F2231" s="29" t="s">
        <v>226</v>
      </c>
    </row>
    <row r="2232" spans="1:6" ht="43.5" x14ac:dyDescent="0.35">
      <c r="A2232" s="26" t="s">
        <v>216</v>
      </c>
      <c r="B2232" s="26" t="s">
        <v>4680</v>
      </c>
      <c r="C2232" s="26" t="s">
        <v>27</v>
      </c>
      <c r="D2232" s="28" t="s">
        <v>4681</v>
      </c>
      <c r="E2232" s="26">
        <v>0</v>
      </c>
      <c r="F2232" s="29" t="s">
        <v>229</v>
      </c>
    </row>
    <row r="2233" spans="1:6" ht="29" x14ac:dyDescent="0.35">
      <c r="A2233" s="26" t="s">
        <v>216</v>
      </c>
      <c r="B2233" s="26" t="s">
        <v>4682</v>
      </c>
      <c r="C2233" s="26" t="s">
        <v>24</v>
      </c>
      <c r="D2233" s="28" t="s">
        <v>4683</v>
      </c>
      <c r="E2233" s="26">
        <v>0</v>
      </c>
      <c r="F2233" s="29" t="s">
        <v>232</v>
      </c>
    </row>
    <row r="2234" spans="1:6" ht="43.5" x14ac:dyDescent="0.35">
      <c r="A2234" s="26" t="s">
        <v>216</v>
      </c>
      <c r="B2234" s="26" t="s">
        <v>4684</v>
      </c>
      <c r="C2234" s="26" t="s">
        <v>15</v>
      </c>
      <c r="D2234" s="28" t="s">
        <v>218</v>
      </c>
      <c r="E2234" s="26" t="s">
        <v>4685</v>
      </c>
      <c r="F2234" s="29" t="s">
        <v>220</v>
      </c>
    </row>
    <row r="2235" spans="1:6" ht="29" x14ac:dyDescent="0.35">
      <c r="A2235" s="26" t="s">
        <v>216</v>
      </c>
      <c r="B2235" s="26" t="s">
        <v>4686</v>
      </c>
      <c r="C2235" s="26" t="s">
        <v>17</v>
      </c>
      <c r="D2235" s="28" t="s">
        <v>4687</v>
      </c>
      <c r="E2235" s="26">
        <v>13436</v>
      </c>
      <c r="F2235" s="29" t="s">
        <v>247</v>
      </c>
    </row>
    <row r="2236" spans="1:6" ht="29" x14ac:dyDescent="0.35">
      <c r="A2236" s="26" t="s">
        <v>216</v>
      </c>
      <c r="B2236" s="26" t="s">
        <v>4688</v>
      </c>
      <c r="C2236" s="26" t="s">
        <v>20</v>
      </c>
      <c r="D2236" s="28" t="s">
        <v>4689</v>
      </c>
      <c r="E2236" s="26">
        <v>13436</v>
      </c>
      <c r="F2236" s="29" t="s">
        <v>223</v>
      </c>
    </row>
    <row r="2237" spans="1:6" ht="58" x14ac:dyDescent="0.35">
      <c r="A2237" s="26" t="s">
        <v>216</v>
      </c>
      <c r="B2237" s="26" t="s">
        <v>4690</v>
      </c>
      <c r="C2237" s="26" t="s">
        <v>25</v>
      </c>
      <c r="D2237" s="28" t="s">
        <v>4691</v>
      </c>
      <c r="E2237" s="26">
        <v>0</v>
      </c>
      <c r="F2237" s="29" t="s">
        <v>226</v>
      </c>
    </row>
    <row r="2238" spans="1:6" ht="43.5" x14ac:dyDescent="0.35">
      <c r="A2238" s="26" t="s">
        <v>216</v>
      </c>
      <c r="B2238" s="26" t="s">
        <v>4692</v>
      </c>
      <c r="C2238" s="26" t="s">
        <v>27</v>
      </c>
      <c r="D2238" s="28" t="s">
        <v>4693</v>
      </c>
      <c r="E2238" s="26">
        <v>0</v>
      </c>
      <c r="F2238" s="29" t="s">
        <v>229</v>
      </c>
    </row>
    <row r="2239" spans="1:6" ht="29" x14ac:dyDescent="0.35">
      <c r="A2239" s="26" t="s">
        <v>216</v>
      </c>
      <c r="B2239" s="26" t="s">
        <v>4694</v>
      </c>
      <c r="C2239" s="26" t="s">
        <v>24</v>
      </c>
      <c r="D2239" s="28" t="s">
        <v>4695</v>
      </c>
      <c r="E2239" s="26">
        <v>0</v>
      </c>
      <c r="F2239" s="29" t="s">
        <v>232</v>
      </c>
    </row>
    <row r="2240" spans="1:6" ht="43.5" x14ac:dyDescent="0.35">
      <c r="A2240" s="26" t="s">
        <v>216</v>
      </c>
      <c r="B2240" s="26" t="s">
        <v>4696</v>
      </c>
      <c r="C2240" s="26" t="s">
        <v>15</v>
      </c>
      <c r="D2240" s="28" t="s">
        <v>218</v>
      </c>
      <c r="E2240" s="26" t="s">
        <v>4697</v>
      </c>
      <c r="F2240" s="29" t="s">
        <v>220</v>
      </c>
    </row>
    <row r="2241" spans="1:6" ht="29" x14ac:dyDescent="0.35">
      <c r="A2241" s="26" t="s">
        <v>216</v>
      </c>
      <c r="B2241" s="26" t="s">
        <v>4698</v>
      </c>
      <c r="C2241" s="26" t="s">
        <v>17</v>
      </c>
      <c r="D2241" s="28" t="s">
        <v>4699</v>
      </c>
      <c r="E2241" s="26">
        <v>13436</v>
      </c>
      <c r="F2241" s="29" t="s">
        <v>247</v>
      </c>
    </row>
    <row r="2242" spans="1:6" ht="29" x14ac:dyDescent="0.35">
      <c r="A2242" s="26" t="s">
        <v>216</v>
      </c>
      <c r="B2242" s="26" t="s">
        <v>4700</v>
      </c>
      <c r="C2242" s="26" t="s">
        <v>20</v>
      </c>
      <c r="D2242" s="28" t="s">
        <v>4701</v>
      </c>
      <c r="E2242" s="26">
        <v>13436</v>
      </c>
      <c r="F2242" s="29" t="s">
        <v>223</v>
      </c>
    </row>
    <row r="2243" spans="1:6" ht="58" x14ac:dyDescent="0.35">
      <c r="A2243" s="26" t="s">
        <v>216</v>
      </c>
      <c r="B2243" s="26" t="s">
        <v>4702</v>
      </c>
      <c r="C2243" s="26" t="s">
        <v>25</v>
      </c>
      <c r="D2243" s="28" t="s">
        <v>4703</v>
      </c>
      <c r="E2243" s="26">
        <v>0</v>
      </c>
      <c r="F2243" s="29" t="s">
        <v>226</v>
      </c>
    </row>
    <row r="2244" spans="1:6" ht="43.5" x14ac:dyDescent="0.35">
      <c r="A2244" s="26" t="s">
        <v>216</v>
      </c>
      <c r="B2244" s="26" t="s">
        <v>4704</v>
      </c>
      <c r="C2244" s="26" t="s">
        <v>27</v>
      </c>
      <c r="D2244" s="28" t="s">
        <v>4705</v>
      </c>
      <c r="E2244" s="26">
        <v>0</v>
      </c>
      <c r="F2244" s="29" t="s">
        <v>229</v>
      </c>
    </row>
    <row r="2245" spans="1:6" ht="29" x14ac:dyDescent="0.35">
      <c r="A2245" s="26" t="s">
        <v>216</v>
      </c>
      <c r="B2245" s="26" t="s">
        <v>4706</v>
      </c>
      <c r="C2245" s="26" t="s">
        <v>24</v>
      </c>
      <c r="D2245" s="28" t="s">
        <v>4707</v>
      </c>
      <c r="E2245" s="26">
        <v>0</v>
      </c>
      <c r="F2245" s="29" t="s">
        <v>232</v>
      </c>
    </row>
    <row r="2246" spans="1:6" ht="43.5" x14ac:dyDescent="0.35">
      <c r="A2246" s="26" t="s">
        <v>216</v>
      </c>
      <c r="B2246" s="26" t="s">
        <v>4708</v>
      </c>
      <c r="C2246" s="26" t="s">
        <v>15</v>
      </c>
      <c r="D2246" s="28" t="s">
        <v>218</v>
      </c>
      <c r="E2246" s="26" t="s">
        <v>4709</v>
      </c>
      <c r="F2246" s="29" t="s">
        <v>220</v>
      </c>
    </row>
    <row r="2247" spans="1:6" ht="29" x14ac:dyDescent="0.35">
      <c r="A2247" s="26" t="s">
        <v>216</v>
      </c>
      <c r="B2247" s="26" t="s">
        <v>4710</v>
      </c>
      <c r="C2247" s="26" t="s">
        <v>17</v>
      </c>
      <c r="D2247" s="28" t="s">
        <v>4711</v>
      </c>
      <c r="E2247" s="26">
        <v>13436</v>
      </c>
      <c r="F2247" s="29" t="s">
        <v>247</v>
      </c>
    </row>
    <row r="2248" spans="1:6" ht="29" x14ac:dyDescent="0.35">
      <c r="A2248" s="26" t="s">
        <v>216</v>
      </c>
      <c r="B2248" s="26" t="s">
        <v>4712</v>
      </c>
      <c r="C2248" s="26" t="s">
        <v>20</v>
      </c>
      <c r="D2248" s="28" t="s">
        <v>4713</v>
      </c>
      <c r="E2248" s="26">
        <v>13436</v>
      </c>
      <c r="F2248" s="29" t="s">
        <v>223</v>
      </c>
    </row>
    <row r="2249" spans="1:6" ht="58" x14ac:dyDescent="0.35">
      <c r="A2249" s="26" t="s">
        <v>216</v>
      </c>
      <c r="B2249" s="26" t="s">
        <v>4714</v>
      </c>
      <c r="C2249" s="26" t="s">
        <v>25</v>
      </c>
      <c r="D2249" s="28" t="s">
        <v>4715</v>
      </c>
      <c r="E2249" s="26">
        <v>0</v>
      </c>
      <c r="F2249" s="29" t="s">
        <v>226</v>
      </c>
    </row>
    <row r="2250" spans="1:6" ht="43.5" x14ac:dyDescent="0.35">
      <c r="A2250" s="26" t="s">
        <v>216</v>
      </c>
      <c r="B2250" s="26" t="s">
        <v>4716</v>
      </c>
      <c r="C2250" s="26" t="s">
        <v>27</v>
      </c>
      <c r="D2250" s="28" t="s">
        <v>4717</v>
      </c>
      <c r="E2250" s="26">
        <v>0</v>
      </c>
      <c r="F2250" s="29" t="s">
        <v>229</v>
      </c>
    </row>
    <row r="2251" spans="1:6" ht="29" x14ac:dyDescent="0.35">
      <c r="A2251" s="26" t="s">
        <v>216</v>
      </c>
      <c r="B2251" s="26" t="s">
        <v>4718</v>
      </c>
      <c r="C2251" s="26" t="s">
        <v>24</v>
      </c>
      <c r="D2251" s="28" t="s">
        <v>4719</v>
      </c>
      <c r="E2251" s="26">
        <v>0</v>
      </c>
      <c r="F2251" s="29" t="s">
        <v>232</v>
      </c>
    </row>
    <row r="2252" spans="1:6" ht="43.5" x14ac:dyDescent="0.35">
      <c r="A2252" s="26" t="s">
        <v>216</v>
      </c>
      <c r="B2252" s="26" t="s">
        <v>4720</v>
      </c>
      <c r="C2252" s="26" t="s">
        <v>15</v>
      </c>
      <c r="D2252" s="28" t="s">
        <v>218</v>
      </c>
      <c r="E2252" s="26" t="s">
        <v>4721</v>
      </c>
      <c r="F2252" s="29" t="s">
        <v>220</v>
      </c>
    </row>
    <row r="2253" spans="1:6" ht="29" x14ac:dyDescent="0.35">
      <c r="A2253" s="26" t="s">
        <v>216</v>
      </c>
      <c r="B2253" s="26" t="s">
        <v>4722</v>
      </c>
      <c r="C2253" s="26" t="s">
        <v>17</v>
      </c>
      <c r="D2253" s="28" t="s">
        <v>4723</v>
      </c>
      <c r="E2253" s="26">
        <v>13436</v>
      </c>
      <c r="F2253" s="29" t="s">
        <v>247</v>
      </c>
    </row>
    <row r="2254" spans="1:6" ht="29" x14ac:dyDescent="0.35">
      <c r="A2254" s="26" t="s">
        <v>216</v>
      </c>
      <c r="B2254" s="26" t="s">
        <v>4724</v>
      </c>
      <c r="C2254" s="26" t="s">
        <v>20</v>
      </c>
      <c r="D2254" s="28" t="s">
        <v>4725</v>
      </c>
      <c r="E2254" s="26">
        <v>13436</v>
      </c>
      <c r="F2254" s="29" t="s">
        <v>223</v>
      </c>
    </row>
    <row r="2255" spans="1:6" ht="58" x14ac:dyDescent="0.35">
      <c r="A2255" s="26" t="s">
        <v>216</v>
      </c>
      <c r="B2255" s="26" t="s">
        <v>4726</v>
      </c>
      <c r="C2255" s="26" t="s">
        <v>25</v>
      </c>
      <c r="D2255" s="28" t="s">
        <v>4727</v>
      </c>
      <c r="E2255" s="26">
        <v>0</v>
      </c>
      <c r="F2255" s="29" t="s">
        <v>226</v>
      </c>
    </row>
    <row r="2256" spans="1:6" ht="43.5" x14ac:dyDescent="0.35">
      <c r="A2256" s="26" t="s">
        <v>216</v>
      </c>
      <c r="B2256" s="26" t="s">
        <v>4728</v>
      </c>
      <c r="C2256" s="26" t="s">
        <v>27</v>
      </c>
      <c r="D2256" s="28" t="s">
        <v>4729</v>
      </c>
      <c r="E2256" s="26">
        <v>0</v>
      </c>
      <c r="F2256" s="29" t="s">
        <v>229</v>
      </c>
    </row>
    <row r="2257" spans="1:6" ht="29" x14ac:dyDescent="0.35">
      <c r="A2257" s="26" t="s">
        <v>216</v>
      </c>
      <c r="B2257" s="26" t="s">
        <v>4730</v>
      </c>
      <c r="C2257" s="26" t="s">
        <v>24</v>
      </c>
      <c r="D2257" s="28" t="s">
        <v>4731</v>
      </c>
      <c r="E2257" s="26">
        <v>0</v>
      </c>
      <c r="F2257" s="29" t="s">
        <v>232</v>
      </c>
    </row>
    <row r="2258" spans="1:6" ht="43.5" x14ac:dyDescent="0.35">
      <c r="A2258" s="26" t="s">
        <v>216</v>
      </c>
      <c r="B2258" s="26" t="s">
        <v>4732</v>
      </c>
      <c r="C2258" s="26" t="s">
        <v>15</v>
      </c>
      <c r="D2258" s="28" t="s">
        <v>218</v>
      </c>
      <c r="E2258" s="26" t="s">
        <v>4733</v>
      </c>
      <c r="F2258" s="29" t="s">
        <v>220</v>
      </c>
    </row>
    <row r="2259" spans="1:6" ht="29" x14ac:dyDescent="0.35">
      <c r="A2259" s="26" t="s">
        <v>216</v>
      </c>
      <c r="B2259" s="26" t="s">
        <v>4734</v>
      </c>
      <c r="C2259" s="26" t="s">
        <v>17</v>
      </c>
      <c r="D2259" s="28" t="s">
        <v>4735</v>
      </c>
      <c r="E2259" s="26">
        <v>13436</v>
      </c>
      <c r="F2259" s="29" t="s">
        <v>247</v>
      </c>
    </row>
    <row r="2260" spans="1:6" ht="29" x14ac:dyDescent="0.35">
      <c r="A2260" s="26" t="s">
        <v>216</v>
      </c>
      <c r="B2260" s="26" t="s">
        <v>4736</v>
      </c>
      <c r="C2260" s="26" t="s">
        <v>20</v>
      </c>
      <c r="D2260" s="28" t="s">
        <v>4737</v>
      </c>
      <c r="E2260" s="26">
        <v>13436</v>
      </c>
      <c r="F2260" s="29" t="s">
        <v>223</v>
      </c>
    </row>
    <row r="2261" spans="1:6" ht="58" x14ac:dyDescent="0.35">
      <c r="A2261" s="26" t="s">
        <v>216</v>
      </c>
      <c r="B2261" s="26" t="s">
        <v>4738</v>
      </c>
      <c r="C2261" s="26" t="s">
        <v>25</v>
      </c>
      <c r="D2261" s="28" t="s">
        <v>4739</v>
      </c>
      <c r="E2261" s="26">
        <v>0</v>
      </c>
      <c r="F2261" s="29" t="s">
        <v>226</v>
      </c>
    </row>
    <row r="2262" spans="1:6" ht="43.5" x14ac:dyDescent="0.35">
      <c r="A2262" s="26" t="s">
        <v>216</v>
      </c>
      <c r="B2262" s="26" t="s">
        <v>4740</v>
      </c>
      <c r="C2262" s="26" t="s">
        <v>27</v>
      </c>
      <c r="D2262" s="28" t="s">
        <v>4741</v>
      </c>
      <c r="E2262" s="26">
        <v>0</v>
      </c>
      <c r="F2262" s="29" t="s">
        <v>229</v>
      </c>
    </row>
    <row r="2263" spans="1:6" ht="29" x14ac:dyDescent="0.35">
      <c r="A2263" s="26" t="s">
        <v>216</v>
      </c>
      <c r="B2263" s="26" t="s">
        <v>4742</v>
      </c>
      <c r="C2263" s="26" t="s">
        <v>24</v>
      </c>
      <c r="D2263" s="28" t="s">
        <v>4743</v>
      </c>
      <c r="E2263" s="26">
        <v>0</v>
      </c>
      <c r="F2263" s="29" t="s">
        <v>232</v>
      </c>
    </row>
    <row r="2264" spans="1:6" ht="43.5" x14ac:dyDescent="0.35">
      <c r="A2264" s="26" t="s">
        <v>216</v>
      </c>
      <c r="B2264" s="26" t="s">
        <v>4744</v>
      </c>
      <c r="C2264" s="26" t="s">
        <v>15</v>
      </c>
      <c r="D2264" s="28" t="s">
        <v>218</v>
      </c>
      <c r="E2264" s="26" t="s">
        <v>4745</v>
      </c>
      <c r="F2264" s="29" t="s">
        <v>220</v>
      </c>
    </row>
    <row r="2265" spans="1:6" ht="29" x14ac:dyDescent="0.35">
      <c r="A2265" s="26" t="s">
        <v>216</v>
      </c>
      <c r="B2265" s="26" t="s">
        <v>4746</v>
      </c>
      <c r="C2265" s="26" t="s">
        <v>17</v>
      </c>
      <c r="D2265" s="28" t="s">
        <v>4747</v>
      </c>
      <c r="E2265" s="26">
        <v>13436</v>
      </c>
      <c r="F2265" s="29" t="s">
        <v>247</v>
      </c>
    </row>
    <row r="2266" spans="1:6" ht="29" x14ac:dyDescent="0.35">
      <c r="A2266" s="26" t="s">
        <v>216</v>
      </c>
      <c r="B2266" s="26" t="s">
        <v>4748</v>
      </c>
      <c r="C2266" s="26" t="s">
        <v>20</v>
      </c>
      <c r="D2266" s="28" t="s">
        <v>4749</v>
      </c>
      <c r="E2266" s="26">
        <v>13436</v>
      </c>
      <c r="F2266" s="29" t="s">
        <v>223</v>
      </c>
    </row>
    <row r="2267" spans="1:6" ht="58" x14ac:dyDescent="0.35">
      <c r="A2267" s="26" t="s">
        <v>216</v>
      </c>
      <c r="B2267" s="26" t="s">
        <v>4750</v>
      </c>
      <c r="C2267" s="26" t="s">
        <v>25</v>
      </c>
      <c r="D2267" s="28" t="s">
        <v>4751</v>
      </c>
      <c r="E2267" s="26">
        <v>0</v>
      </c>
      <c r="F2267" s="29" t="s">
        <v>226</v>
      </c>
    </row>
    <row r="2268" spans="1:6" ht="43.5" x14ac:dyDescent="0.35">
      <c r="A2268" s="26" t="s">
        <v>216</v>
      </c>
      <c r="B2268" s="26" t="s">
        <v>4752</v>
      </c>
      <c r="C2268" s="26" t="s">
        <v>27</v>
      </c>
      <c r="D2268" s="28" t="s">
        <v>4753</v>
      </c>
      <c r="E2268" s="26">
        <v>0</v>
      </c>
      <c r="F2268" s="29" t="s">
        <v>229</v>
      </c>
    </row>
    <row r="2269" spans="1:6" ht="29" x14ac:dyDescent="0.35">
      <c r="A2269" s="26" t="s">
        <v>216</v>
      </c>
      <c r="B2269" s="26" t="s">
        <v>4754</v>
      </c>
      <c r="C2269" s="26" t="s">
        <v>24</v>
      </c>
      <c r="D2269" s="28" t="s">
        <v>4755</v>
      </c>
      <c r="E2269" s="26">
        <v>0</v>
      </c>
      <c r="F2269" s="29" t="s">
        <v>232</v>
      </c>
    </row>
    <row r="2270" spans="1:6" ht="43.5" x14ac:dyDescent="0.35">
      <c r="A2270" s="26" t="s">
        <v>216</v>
      </c>
      <c r="B2270" s="26" t="s">
        <v>4756</v>
      </c>
      <c r="C2270" s="26" t="s">
        <v>15</v>
      </c>
      <c r="D2270" s="28" t="s">
        <v>218</v>
      </c>
      <c r="E2270" s="26" t="s">
        <v>4757</v>
      </c>
      <c r="F2270" s="29" t="s">
        <v>220</v>
      </c>
    </row>
    <row r="2271" spans="1:6" ht="29" x14ac:dyDescent="0.35">
      <c r="A2271" s="26" t="s">
        <v>216</v>
      </c>
      <c r="B2271" s="26" t="s">
        <v>4758</v>
      </c>
      <c r="C2271" s="26" t="s">
        <v>17</v>
      </c>
      <c r="D2271" s="28" t="s">
        <v>4759</v>
      </c>
      <c r="E2271" s="26">
        <v>13436</v>
      </c>
      <c r="F2271" s="29" t="s">
        <v>247</v>
      </c>
    </row>
    <row r="2272" spans="1:6" ht="29" x14ac:dyDescent="0.35">
      <c r="A2272" s="26" t="s">
        <v>216</v>
      </c>
      <c r="B2272" s="26" t="s">
        <v>4760</v>
      </c>
      <c r="C2272" s="26" t="s">
        <v>20</v>
      </c>
      <c r="D2272" s="28" t="s">
        <v>4761</v>
      </c>
      <c r="E2272" s="26">
        <v>13436</v>
      </c>
      <c r="F2272" s="29" t="s">
        <v>223</v>
      </c>
    </row>
    <row r="2273" spans="1:6" ht="58" x14ac:dyDescent="0.35">
      <c r="A2273" s="26" t="s">
        <v>216</v>
      </c>
      <c r="B2273" s="26" t="s">
        <v>4762</v>
      </c>
      <c r="C2273" s="26" t="s">
        <v>25</v>
      </c>
      <c r="D2273" s="28" t="s">
        <v>4763</v>
      </c>
      <c r="E2273" s="26">
        <v>0</v>
      </c>
      <c r="F2273" s="29" t="s">
        <v>226</v>
      </c>
    </row>
    <row r="2274" spans="1:6" ht="43.5" x14ac:dyDescent="0.35">
      <c r="A2274" s="26" t="s">
        <v>216</v>
      </c>
      <c r="B2274" s="26" t="s">
        <v>4764</v>
      </c>
      <c r="C2274" s="26" t="s">
        <v>27</v>
      </c>
      <c r="D2274" s="28" t="s">
        <v>4765</v>
      </c>
      <c r="E2274" s="26">
        <v>0</v>
      </c>
      <c r="F2274" s="29" t="s">
        <v>229</v>
      </c>
    </row>
    <row r="2275" spans="1:6" ht="29" x14ac:dyDescent="0.35">
      <c r="A2275" s="26" t="s">
        <v>216</v>
      </c>
      <c r="B2275" s="26" t="s">
        <v>4766</v>
      </c>
      <c r="C2275" s="26" t="s">
        <v>24</v>
      </c>
      <c r="D2275" s="28" t="s">
        <v>4767</v>
      </c>
      <c r="E2275" s="26">
        <v>0</v>
      </c>
      <c r="F2275" s="29" t="s">
        <v>232</v>
      </c>
    </row>
    <row r="2276" spans="1:6" ht="43.5" x14ac:dyDescent="0.35">
      <c r="A2276" s="26" t="s">
        <v>216</v>
      </c>
      <c r="B2276" s="26" t="s">
        <v>4768</v>
      </c>
      <c r="C2276" s="26" t="s">
        <v>15</v>
      </c>
      <c r="D2276" s="28" t="s">
        <v>218</v>
      </c>
      <c r="E2276" s="26" t="s">
        <v>4769</v>
      </c>
      <c r="F2276" s="29" t="s">
        <v>220</v>
      </c>
    </row>
    <row r="2277" spans="1:6" ht="29" x14ac:dyDescent="0.35">
      <c r="A2277" s="26" t="s">
        <v>216</v>
      </c>
      <c r="B2277" s="26" t="s">
        <v>4770</v>
      </c>
      <c r="C2277" s="26" t="s">
        <v>17</v>
      </c>
      <c r="D2277" s="28" t="s">
        <v>4771</v>
      </c>
      <c r="E2277" s="26">
        <v>13436</v>
      </c>
      <c r="F2277" s="29" t="s">
        <v>247</v>
      </c>
    </row>
    <row r="2278" spans="1:6" ht="29" x14ac:dyDescent="0.35">
      <c r="A2278" s="26" t="s">
        <v>216</v>
      </c>
      <c r="B2278" s="26" t="s">
        <v>4772</v>
      </c>
      <c r="C2278" s="26" t="s">
        <v>20</v>
      </c>
      <c r="D2278" s="28" t="s">
        <v>4773</v>
      </c>
      <c r="E2278" s="26">
        <v>13436</v>
      </c>
      <c r="F2278" s="29" t="s">
        <v>223</v>
      </c>
    </row>
    <row r="2279" spans="1:6" ht="58" x14ac:dyDescent="0.35">
      <c r="A2279" s="26" t="s">
        <v>216</v>
      </c>
      <c r="B2279" s="26" t="s">
        <v>4774</v>
      </c>
      <c r="C2279" s="26" t="s">
        <v>25</v>
      </c>
      <c r="D2279" s="28" t="s">
        <v>4775</v>
      </c>
      <c r="E2279" s="26">
        <v>0</v>
      </c>
      <c r="F2279" s="29" t="s">
        <v>226</v>
      </c>
    </row>
    <row r="2280" spans="1:6" ht="43.5" x14ac:dyDescent="0.35">
      <c r="A2280" s="26" t="s">
        <v>216</v>
      </c>
      <c r="B2280" s="26" t="s">
        <v>4776</v>
      </c>
      <c r="C2280" s="26" t="s">
        <v>27</v>
      </c>
      <c r="D2280" s="28" t="s">
        <v>4777</v>
      </c>
      <c r="E2280" s="26">
        <v>0</v>
      </c>
      <c r="F2280" s="29" t="s">
        <v>229</v>
      </c>
    </row>
    <row r="2281" spans="1:6" ht="29" x14ac:dyDescent="0.35">
      <c r="A2281" s="26" t="s">
        <v>216</v>
      </c>
      <c r="B2281" s="26" t="s">
        <v>4778</v>
      </c>
      <c r="C2281" s="26" t="s">
        <v>24</v>
      </c>
      <c r="D2281" s="28" t="s">
        <v>4779</v>
      </c>
      <c r="E2281" s="26">
        <v>0</v>
      </c>
      <c r="F2281" s="29" t="s">
        <v>232</v>
      </c>
    </row>
    <row r="2282" spans="1:6" ht="43.5" x14ac:dyDescent="0.35">
      <c r="A2282" s="26" t="s">
        <v>216</v>
      </c>
      <c r="B2282" s="26" t="s">
        <v>4780</v>
      </c>
      <c r="C2282" s="26" t="s">
        <v>15</v>
      </c>
      <c r="D2282" s="28" t="s">
        <v>218</v>
      </c>
      <c r="E2282" s="26" t="s">
        <v>4781</v>
      </c>
      <c r="F2282" s="29" t="s">
        <v>220</v>
      </c>
    </row>
    <row r="2283" spans="1:6" ht="29" x14ac:dyDescent="0.35">
      <c r="A2283" s="26" t="s">
        <v>216</v>
      </c>
      <c r="B2283" s="26" t="s">
        <v>4782</v>
      </c>
      <c r="C2283" s="26" t="s">
        <v>17</v>
      </c>
      <c r="D2283" s="28" t="s">
        <v>4783</v>
      </c>
      <c r="E2283" s="26">
        <v>13436</v>
      </c>
      <c r="F2283" s="29" t="s">
        <v>247</v>
      </c>
    </row>
    <row r="2284" spans="1:6" ht="29" x14ac:dyDescent="0.35">
      <c r="A2284" s="26" t="s">
        <v>216</v>
      </c>
      <c r="B2284" s="26" t="s">
        <v>4784</v>
      </c>
      <c r="C2284" s="26" t="s">
        <v>20</v>
      </c>
      <c r="D2284" s="28" t="s">
        <v>4785</v>
      </c>
      <c r="E2284" s="26">
        <v>13436</v>
      </c>
      <c r="F2284" s="29" t="s">
        <v>223</v>
      </c>
    </row>
    <row r="2285" spans="1:6" ht="58" x14ac:dyDescent="0.35">
      <c r="A2285" s="26" t="s">
        <v>216</v>
      </c>
      <c r="B2285" s="26" t="s">
        <v>4786</v>
      </c>
      <c r="C2285" s="26" t="s">
        <v>25</v>
      </c>
      <c r="D2285" s="28" t="s">
        <v>4787</v>
      </c>
      <c r="E2285" s="26">
        <v>0</v>
      </c>
      <c r="F2285" s="29" t="s">
        <v>226</v>
      </c>
    </row>
    <row r="2286" spans="1:6" ht="43.5" x14ac:dyDescent="0.35">
      <c r="A2286" s="26" t="s">
        <v>216</v>
      </c>
      <c r="B2286" s="26" t="s">
        <v>4788</v>
      </c>
      <c r="C2286" s="26" t="s">
        <v>27</v>
      </c>
      <c r="D2286" s="28" t="s">
        <v>4789</v>
      </c>
      <c r="E2286" s="26">
        <v>0</v>
      </c>
      <c r="F2286" s="29" t="s">
        <v>229</v>
      </c>
    </row>
    <row r="2287" spans="1:6" ht="29" x14ac:dyDescent="0.35">
      <c r="A2287" s="26" t="s">
        <v>216</v>
      </c>
      <c r="B2287" s="26" t="s">
        <v>4790</v>
      </c>
      <c r="C2287" s="26" t="s">
        <v>24</v>
      </c>
      <c r="D2287" s="28" t="s">
        <v>4791</v>
      </c>
      <c r="E2287" s="26">
        <v>0</v>
      </c>
      <c r="F2287" s="29" t="s">
        <v>232</v>
      </c>
    </row>
    <row r="2288" spans="1:6" ht="43.5" x14ac:dyDescent="0.35">
      <c r="A2288" s="26" t="s">
        <v>216</v>
      </c>
      <c r="B2288" s="26" t="s">
        <v>4792</v>
      </c>
      <c r="C2288" s="26" t="s">
        <v>15</v>
      </c>
      <c r="D2288" s="28" t="s">
        <v>218</v>
      </c>
      <c r="E2288" s="26" t="s">
        <v>4793</v>
      </c>
      <c r="F2288" s="29" t="s">
        <v>220</v>
      </c>
    </row>
    <row r="2289" spans="1:6" ht="29" x14ac:dyDescent="0.35">
      <c r="A2289" s="26" t="s">
        <v>216</v>
      </c>
      <c r="B2289" s="26" t="s">
        <v>4794</v>
      </c>
      <c r="C2289" s="26" t="s">
        <v>17</v>
      </c>
      <c r="D2289" s="28" t="s">
        <v>4795</v>
      </c>
      <c r="E2289" s="26">
        <v>13436</v>
      </c>
      <c r="F2289" s="29" t="s">
        <v>247</v>
      </c>
    </row>
    <row r="2290" spans="1:6" ht="29" x14ac:dyDescent="0.35">
      <c r="A2290" s="26" t="s">
        <v>216</v>
      </c>
      <c r="B2290" s="26" t="s">
        <v>4796</v>
      </c>
      <c r="C2290" s="26" t="s">
        <v>20</v>
      </c>
      <c r="D2290" s="28" t="s">
        <v>4797</v>
      </c>
      <c r="E2290" s="26">
        <v>13436</v>
      </c>
      <c r="F2290" s="29" t="s">
        <v>223</v>
      </c>
    </row>
    <row r="2291" spans="1:6" ht="58" x14ac:dyDescent="0.35">
      <c r="A2291" s="26" t="s">
        <v>216</v>
      </c>
      <c r="B2291" s="26" t="s">
        <v>4798</v>
      </c>
      <c r="C2291" s="26" t="s">
        <v>25</v>
      </c>
      <c r="D2291" s="28" t="s">
        <v>4799</v>
      </c>
      <c r="E2291" s="26">
        <v>0</v>
      </c>
      <c r="F2291" s="29" t="s">
        <v>226</v>
      </c>
    </row>
    <row r="2292" spans="1:6" ht="43.5" x14ac:dyDescent="0.35">
      <c r="A2292" s="26" t="s">
        <v>216</v>
      </c>
      <c r="B2292" s="26" t="s">
        <v>4800</v>
      </c>
      <c r="C2292" s="26" t="s">
        <v>27</v>
      </c>
      <c r="D2292" s="28" t="s">
        <v>4801</v>
      </c>
      <c r="E2292" s="26">
        <v>0</v>
      </c>
      <c r="F2292" s="29" t="s">
        <v>229</v>
      </c>
    </row>
    <row r="2293" spans="1:6" ht="29" x14ac:dyDescent="0.35">
      <c r="A2293" s="26" t="s">
        <v>216</v>
      </c>
      <c r="B2293" s="26" t="s">
        <v>4802</v>
      </c>
      <c r="C2293" s="26" t="s">
        <v>24</v>
      </c>
      <c r="D2293" s="28" t="s">
        <v>4803</v>
      </c>
      <c r="E2293" s="26">
        <v>0</v>
      </c>
      <c r="F2293" s="29" t="s">
        <v>232</v>
      </c>
    </row>
    <row r="2294" spans="1:6" ht="43.5" x14ac:dyDescent="0.35">
      <c r="A2294" s="26" t="s">
        <v>216</v>
      </c>
      <c r="B2294" s="26" t="s">
        <v>4804</v>
      </c>
      <c r="C2294" s="26" t="s">
        <v>15</v>
      </c>
      <c r="D2294" s="28" t="s">
        <v>218</v>
      </c>
      <c r="E2294" s="26" t="s">
        <v>4805</v>
      </c>
      <c r="F2294" s="29" t="s">
        <v>220</v>
      </c>
    </row>
    <row r="2295" spans="1:6" ht="29" x14ac:dyDescent="0.35">
      <c r="A2295" s="26" t="s">
        <v>216</v>
      </c>
      <c r="B2295" s="26" t="s">
        <v>4806</v>
      </c>
      <c r="C2295" s="26" t="s">
        <v>17</v>
      </c>
      <c r="D2295" s="28" t="s">
        <v>4807</v>
      </c>
      <c r="E2295" s="26">
        <v>13436</v>
      </c>
      <c r="F2295" s="29" t="s">
        <v>247</v>
      </c>
    </row>
    <row r="2296" spans="1:6" ht="29" x14ac:dyDescent="0.35">
      <c r="A2296" s="26" t="s">
        <v>216</v>
      </c>
      <c r="B2296" s="26" t="s">
        <v>4808</v>
      </c>
      <c r="C2296" s="26" t="s">
        <v>20</v>
      </c>
      <c r="D2296" s="28" t="s">
        <v>4809</v>
      </c>
      <c r="E2296" s="26">
        <v>13436</v>
      </c>
      <c r="F2296" s="29" t="s">
        <v>223</v>
      </c>
    </row>
    <row r="2297" spans="1:6" ht="58" x14ac:dyDescent="0.35">
      <c r="A2297" s="26" t="s">
        <v>216</v>
      </c>
      <c r="B2297" s="26" t="s">
        <v>4810</v>
      </c>
      <c r="C2297" s="26" t="s">
        <v>25</v>
      </c>
      <c r="D2297" s="28" t="s">
        <v>4811</v>
      </c>
      <c r="E2297" s="26">
        <v>0</v>
      </c>
      <c r="F2297" s="29" t="s">
        <v>226</v>
      </c>
    </row>
    <row r="2298" spans="1:6" ht="43.5" x14ac:dyDescent="0.35">
      <c r="A2298" s="26" t="s">
        <v>216</v>
      </c>
      <c r="B2298" s="26" t="s">
        <v>4812</v>
      </c>
      <c r="C2298" s="26" t="s">
        <v>27</v>
      </c>
      <c r="D2298" s="28" t="s">
        <v>4813</v>
      </c>
      <c r="E2298" s="26">
        <v>0</v>
      </c>
      <c r="F2298" s="29" t="s">
        <v>229</v>
      </c>
    </row>
    <row r="2299" spans="1:6" ht="29" x14ac:dyDescent="0.35">
      <c r="A2299" s="26" t="s">
        <v>216</v>
      </c>
      <c r="B2299" s="26" t="s">
        <v>4814</v>
      </c>
      <c r="C2299" s="26" t="s">
        <v>24</v>
      </c>
      <c r="D2299" s="28" t="s">
        <v>4815</v>
      </c>
      <c r="E2299" s="26">
        <v>0</v>
      </c>
      <c r="F2299" s="29" t="s">
        <v>232</v>
      </c>
    </row>
    <row r="2300" spans="1:6" ht="43.5" x14ac:dyDescent="0.35">
      <c r="A2300" s="26" t="s">
        <v>216</v>
      </c>
      <c r="B2300" s="26" t="s">
        <v>4816</v>
      </c>
      <c r="C2300" s="26" t="s">
        <v>15</v>
      </c>
      <c r="D2300" s="28" t="s">
        <v>218</v>
      </c>
      <c r="E2300" s="26" t="s">
        <v>4817</v>
      </c>
      <c r="F2300" s="29" t="s">
        <v>220</v>
      </c>
    </row>
    <row r="2301" spans="1:6" ht="29" x14ac:dyDescent="0.35">
      <c r="A2301" s="26" t="s">
        <v>216</v>
      </c>
      <c r="B2301" s="26" t="s">
        <v>4818</v>
      </c>
      <c r="C2301" s="26" t="s">
        <v>17</v>
      </c>
      <c r="D2301" s="28" t="s">
        <v>4819</v>
      </c>
      <c r="E2301" s="26">
        <v>13436</v>
      </c>
      <c r="F2301" s="29" t="s">
        <v>247</v>
      </c>
    </row>
    <row r="2302" spans="1:6" ht="29" x14ac:dyDescent="0.35">
      <c r="A2302" s="26" t="s">
        <v>216</v>
      </c>
      <c r="B2302" s="26" t="s">
        <v>4820</v>
      </c>
      <c r="C2302" s="26" t="s">
        <v>20</v>
      </c>
      <c r="D2302" s="28" t="s">
        <v>4821</v>
      </c>
      <c r="E2302" s="26">
        <v>13436</v>
      </c>
      <c r="F2302" s="29" t="s">
        <v>223</v>
      </c>
    </row>
    <row r="2303" spans="1:6" ht="58" x14ac:dyDescent="0.35">
      <c r="A2303" s="26" t="s">
        <v>216</v>
      </c>
      <c r="B2303" s="26" t="s">
        <v>4822</v>
      </c>
      <c r="C2303" s="26" t="s">
        <v>25</v>
      </c>
      <c r="D2303" s="28" t="s">
        <v>4823</v>
      </c>
      <c r="E2303" s="26">
        <v>0</v>
      </c>
      <c r="F2303" s="29" t="s">
        <v>226</v>
      </c>
    </row>
    <row r="2304" spans="1:6" ht="43.5" x14ac:dyDescent="0.35">
      <c r="A2304" s="26" t="s">
        <v>216</v>
      </c>
      <c r="B2304" s="26" t="s">
        <v>4824</v>
      </c>
      <c r="C2304" s="26" t="s">
        <v>27</v>
      </c>
      <c r="D2304" s="28" t="s">
        <v>4825</v>
      </c>
      <c r="E2304" s="26">
        <v>0</v>
      </c>
      <c r="F2304" s="29" t="s">
        <v>229</v>
      </c>
    </row>
    <row r="2305" spans="1:6" ht="29" x14ac:dyDescent="0.35">
      <c r="A2305" s="26" t="s">
        <v>216</v>
      </c>
      <c r="B2305" s="26" t="s">
        <v>4826</v>
      </c>
      <c r="C2305" s="26" t="s">
        <v>24</v>
      </c>
      <c r="D2305" s="28" t="s">
        <v>4827</v>
      </c>
      <c r="E2305" s="26">
        <v>0</v>
      </c>
      <c r="F2305" s="29" t="s">
        <v>232</v>
      </c>
    </row>
    <row r="2306" spans="1:6" ht="43.5" x14ac:dyDescent="0.35">
      <c r="A2306" s="26" t="s">
        <v>216</v>
      </c>
      <c r="B2306" s="26" t="s">
        <v>4828</v>
      </c>
      <c r="C2306" s="26" t="s">
        <v>15</v>
      </c>
      <c r="D2306" s="28" t="s">
        <v>218</v>
      </c>
      <c r="E2306" s="26" t="s">
        <v>4829</v>
      </c>
      <c r="F2306" s="29" t="s">
        <v>220</v>
      </c>
    </row>
    <row r="2307" spans="1:6" ht="29" x14ac:dyDescent="0.35">
      <c r="A2307" s="26" t="s">
        <v>216</v>
      </c>
      <c r="B2307" s="26" t="s">
        <v>4830</v>
      </c>
      <c r="C2307" s="26" t="s">
        <v>17</v>
      </c>
      <c r="D2307" s="28" t="s">
        <v>4831</v>
      </c>
      <c r="E2307" s="26">
        <v>13436</v>
      </c>
      <c r="F2307" s="29" t="s">
        <v>247</v>
      </c>
    </row>
    <row r="2308" spans="1:6" ht="29" x14ac:dyDescent="0.35">
      <c r="A2308" s="26" t="s">
        <v>216</v>
      </c>
      <c r="B2308" s="26" t="s">
        <v>4832</v>
      </c>
      <c r="C2308" s="26" t="s">
        <v>20</v>
      </c>
      <c r="D2308" s="28" t="s">
        <v>4833</v>
      </c>
      <c r="E2308" s="26">
        <v>13436</v>
      </c>
      <c r="F2308" s="29" t="s">
        <v>223</v>
      </c>
    </row>
    <row r="2309" spans="1:6" ht="58" x14ac:dyDescent="0.35">
      <c r="A2309" s="26" t="s">
        <v>216</v>
      </c>
      <c r="B2309" s="26" t="s">
        <v>4834</v>
      </c>
      <c r="C2309" s="26" t="s">
        <v>25</v>
      </c>
      <c r="D2309" s="28" t="s">
        <v>4835</v>
      </c>
      <c r="E2309" s="26">
        <v>0</v>
      </c>
      <c r="F2309" s="29" t="s">
        <v>226</v>
      </c>
    </row>
    <row r="2310" spans="1:6" ht="43.5" x14ac:dyDescent="0.35">
      <c r="A2310" s="26" t="s">
        <v>216</v>
      </c>
      <c r="B2310" s="26" t="s">
        <v>4836</v>
      </c>
      <c r="C2310" s="26" t="s">
        <v>27</v>
      </c>
      <c r="D2310" s="28" t="s">
        <v>4837</v>
      </c>
      <c r="E2310" s="26">
        <v>0</v>
      </c>
      <c r="F2310" s="29" t="s">
        <v>229</v>
      </c>
    </row>
    <row r="2311" spans="1:6" ht="29" x14ac:dyDescent="0.35">
      <c r="A2311" s="26" t="s">
        <v>216</v>
      </c>
      <c r="B2311" s="26" t="s">
        <v>4838</v>
      </c>
      <c r="C2311" s="26" t="s">
        <v>24</v>
      </c>
      <c r="D2311" s="28" t="s">
        <v>4839</v>
      </c>
      <c r="E2311" s="26">
        <v>0</v>
      </c>
      <c r="F2311" s="29" t="s">
        <v>232</v>
      </c>
    </row>
    <row r="2312" spans="1:6" ht="43.5" x14ac:dyDescent="0.35">
      <c r="A2312" s="26" t="s">
        <v>216</v>
      </c>
      <c r="B2312" s="26" t="s">
        <v>4840</v>
      </c>
      <c r="C2312" s="26" t="s">
        <v>15</v>
      </c>
      <c r="D2312" s="28" t="s">
        <v>218</v>
      </c>
      <c r="E2312" s="26" t="s">
        <v>4841</v>
      </c>
      <c r="F2312" s="29" t="s">
        <v>220</v>
      </c>
    </row>
    <row r="2313" spans="1:6" ht="29" x14ac:dyDescent="0.35">
      <c r="A2313" s="26" t="s">
        <v>216</v>
      </c>
      <c r="B2313" s="26" t="s">
        <v>4842</v>
      </c>
      <c r="C2313" s="26" t="s">
        <v>17</v>
      </c>
      <c r="D2313" s="28" t="s">
        <v>4843</v>
      </c>
      <c r="E2313" s="26">
        <v>13436</v>
      </c>
      <c r="F2313" s="29" t="s">
        <v>247</v>
      </c>
    </row>
    <row r="2314" spans="1:6" ht="29" x14ac:dyDescent="0.35">
      <c r="A2314" s="26" t="s">
        <v>216</v>
      </c>
      <c r="B2314" s="26" t="s">
        <v>4844</v>
      </c>
      <c r="C2314" s="26" t="s">
        <v>20</v>
      </c>
      <c r="D2314" s="28" t="s">
        <v>4845</v>
      </c>
      <c r="E2314" s="26">
        <v>13436</v>
      </c>
      <c r="F2314" s="29" t="s">
        <v>223</v>
      </c>
    </row>
    <row r="2315" spans="1:6" ht="58" x14ac:dyDescent="0.35">
      <c r="A2315" s="26" t="s">
        <v>216</v>
      </c>
      <c r="B2315" s="26" t="s">
        <v>4846</v>
      </c>
      <c r="C2315" s="26" t="s">
        <v>25</v>
      </c>
      <c r="D2315" s="28" t="s">
        <v>4847</v>
      </c>
      <c r="E2315" s="26">
        <v>0</v>
      </c>
      <c r="F2315" s="29" t="s">
        <v>226</v>
      </c>
    </row>
    <row r="2316" spans="1:6" ht="43.5" x14ac:dyDescent="0.35">
      <c r="A2316" s="26" t="s">
        <v>216</v>
      </c>
      <c r="B2316" s="26" t="s">
        <v>4848</v>
      </c>
      <c r="C2316" s="26" t="s">
        <v>27</v>
      </c>
      <c r="D2316" s="28" t="s">
        <v>4849</v>
      </c>
      <c r="E2316" s="26">
        <v>0</v>
      </c>
      <c r="F2316" s="29" t="s">
        <v>229</v>
      </c>
    </row>
    <row r="2317" spans="1:6" ht="29" x14ac:dyDescent="0.35">
      <c r="A2317" s="26" t="s">
        <v>216</v>
      </c>
      <c r="B2317" s="26" t="s">
        <v>4850</v>
      </c>
      <c r="C2317" s="26" t="s">
        <v>24</v>
      </c>
      <c r="D2317" s="28" t="s">
        <v>4851</v>
      </c>
      <c r="E2317" s="26">
        <v>0</v>
      </c>
      <c r="F2317" s="29" t="s">
        <v>232</v>
      </c>
    </row>
    <row r="2318" spans="1:6" ht="43.5" x14ac:dyDescent="0.35">
      <c r="A2318" s="26" t="s">
        <v>216</v>
      </c>
      <c r="B2318" s="26" t="s">
        <v>4852</v>
      </c>
      <c r="C2318" s="26" t="s">
        <v>15</v>
      </c>
      <c r="D2318" s="28" t="s">
        <v>218</v>
      </c>
      <c r="E2318" s="26" t="s">
        <v>4853</v>
      </c>
      <c r="F2318" s="29" t="s">
        <v>220</v>
      </c>
    </row>
    <row r="2319" spans="1:6" ht="29" x14ac:dyDescent="0.35">
      <c r="A2319" s="26" t="s">
        <v>216</v>
      </c>
      <c r="B2319" s="26" t="s">
        <v>4854</v>
      </c>
      <c r="C2319" s="26" t="s">
        <v>17</v>
      </c>
      <c r="D2319" s="28" t="s">
        <v>4855</v>
      </c>
      <c r="E2319" s="26">
        <v>13436</v>
      </c>
      <c r="F2319" s="29" t="s">
        <v>247</v>
      </c>
    </row>
    <row r="2320" spans="1:6" ht="29" x14ac:dyDescent="0.35">
      <c r="A2320" s="26" t="s">
        <v>216</v>
      </c>
      <c r="B2320" s="26" t="s">
        <v>4856</v>
      </c>
      <c r="C2320" s="26" t="s">
        <v>20</v>
      </c>
      <c r="D2320" s="28" t="s">
        <v>4857</v>
      </c>
      <c r="E2320" s="26">
        <v>13436</v>
      </c>
      <c r="F2320" s="29" t="s">
        <v>223</v>
      </c>
    </row>
    <row r="2321" spans="1:6" ht="58" x14ac:dyDescent="0.35">
      <c r="A2321" s="26" t="s">
        <v>216</v>
      </c>
      <c r="B2321" s="26" t="s">
        <v>4858</v>
      </c>
      <c r="C2321" s="26" t="s">
        <v>25</v>
      </c>
      <c r="D2321" s="28" t="s">
        <v>4859</v>
      </c>
      <c r="E2321" s="26">
        <v>0</v>
      </c>
      <c r="F2321" s="29" t="s">
        <v>226</v>
      </c>
    </row>
    <row r="2322" spans="1:6" ht="43.5" x14ac:dyDescent="0.35">
      <c r="A2322" s="26" t="s">
        <v>216</v>
      </c>
      <c r="B2322" s="26" t="s">
        <v>4860</v>
      </c>
      <c r="C2322" s="26" t="s">
        <v>27</v>
      </c>
      <c r="D2322" s="28" t="s">
        <v>4861</v>
      </c>
      <c r="E2322" s="26">
        <v>0</v>
      </c>
      <c r="F2322" s="29" t="s">
        <v>229</v>
      </c>
    </row>
    <row r="2323" spans="1:6" ht="29" x14ac:dyDescent="0.35">
      <c r="A2323" s="26" t="s">
        <v>216</v>
      </c>
      <c r="B2323" s="26" t="s">
        <v>4862</v>
      </c>
      <c r="C2323" s="26" t="s">
        <v>24</v>
      </c>
      <c r="D2323" s="28" t="s">
        <v>4863</v>
      </c>
      <c r="E2323" s="26">
        <v>0</v>
      </c>
      <c r="F2323" s="29" t="s">
        <v>232</v>
      </c>
    </row>
    <row r="2324" spans="1:6" ht="43.5" x14ac:dyDescent="0.35">
      <c r="A2324" s="26" t="s">
        <v>216</v>
      </c>
      <c r="B2324" s="26" t="s">
        <v>4864</v>
      </c>
      <c r="C2324" s="26" t="s">
        <v>15</v>
      </c>
      <c r="D2324" s="28" t="s">
        <v>218</v>
      </c>
      <c r="E2324" s="26" t="s">
        <v>4865</v>
      </c>
      <c r="F2324" s="29" t="s">
        <v>220</v>
      </c>
    </row>
    <row r="2325" spans="1:6" ht="29" x14ac:dyDescent="0.35">
      <c r="A2325" s="26" t="s">
        <v>216</v>
      </c>
      <c r="B2325" s="26" t="s">
        <v>4866</v>
      </c>
      <c r="C2325" s="26" t="s">
        <v>17</v>
      </c>
      <c r="D2325" s="28" t="s">
        <v>4867</v>
      </c>
      <c r="E2325" s="26">
        <v>13436</v>
      </c>
      <c r="F2325" s="29" t="s">
        <v>247</v>
      </c>
    </row>
    <row r="2326" spans="1:6" ht="29" x14ac:dyDescent="0.35">
      <c r="A2326" s="26" t="s">
        <v>216</v>
      </c>
      <c r="B2326" s="26" t="s">
        <v>4868</v>
      </c>
      <c r="C2326" s="26" t="s">
        <v>20</v>
      </c>
      <c r="D2326" s="28" t="s">
        <v>4869</v>
      </c>
      <c r="E2326" s="26">
        <v>13436</v>
      </c>
      <c r="F2326" s="29" t="s">
        <v>223</v>
      </c>
    </row>
    <row r="2327" spans="1:6" ht="58" x14ac:dyDescent="0.35">
      <c r="A2327" s="26" t="s">
        <v>216</v>
      </c>
      <c r="B2327" s="26" t="s">
        <v>4870</v>
      </c>
      <c r="C2327" s="26" t="s">
        <v>25</v>
      </c>
      <c r="D2327" s="28" t="s">
        <v>4871</v>
      </c>
      <c r="E2327" s="26">
        <v>0</v>
      </c>
      <c r="F2327" s="29" t="s">
        <v>226</v>
      </c>
    </row>
    <row r="2328" spans="1:6" ht="43.5" x14ac:dyDescent="0.35">
      <c r="A2328" s="26" t="s">
        <v>216</v>
      </c>
      <c r="B2328" s="26" t="s">
        <v>4872</v>
      </c>
      <c r="C2328" s="26" t="s">
        <v>27</v>
      </c>
      <c r="D2328" s="28" t="s">
        <v>4873</v>
      </c>
      <c r="E2328" s="26">
        <v>0</v>
      </c>
      <c r="F2328" s="29" t="s">
        <v>229</v>
      </c>
    </row>
    <row r="2329" spans="1:6" ht="29" x14ac:dyDescent="0.35">
      <c r="A2329" s="26" t="s">
        <v>216</v>
      </c>
      <c r="B2329" s="26" t="s">
        <v>4874</v>
      </c>
      <c r="C2329" s="26" t="s">
        <v>24</v>
      </c>
      <c r="D2329" s="28" t="s">
        <v>4875</v>
      </c>
      <c r="E2329" s="26">
        <v>0</v>
      </c>
      <c r="F2329" s="29" t="s">
        <v>232</v>
      </c>
    </row>
    <row r="2330" spans="1:6" ht="43.5" x14ac:dyDescent="0.35">
      <c r="A2330" s="26" t="s">
        <v>216</v>
      </c>
      <c r="B2330" s="26" t="s">
        <v>4876</v>
      </c>
      <c r="C2330" s="26" t="s">
        <v>15</v>
      </c>
      <c r="D2330" s="28" t="s">
        <v>218</v>
      </c>
      <c r="E2330" s="26" t="s">
        <v>4877</v>
      </c>
      <c r="F2330" s="29" t="s">
        <v>220</v>
      </c>
    </row>
    <row r="2331" spans="1:6" ht="29" x14ac:dyDescent="0.35">
      <c r="A2331" s="26" t="s">
        <v>216</v>
      </c>
      <c r="B2331" s="26" t="s">
        <v>4878</v>
      </c>
      <c r="C2331" s="26" t="s">
        <v>17</v>
      </c>
      <c r="D2331" s="28" t="s">
        <v>4879</v>
      </c>
      <c r="E2331" s="26">
        <v>13436</v>
      </c>
      <c r="F2331" s="29" t="s">
        <v>247</v>
      </c>
    </row>
    <row r="2332" spans="1:6" ht="29" x14ac:dyDescent="0.35">
      <c r="A2332" s="26" t="s">
        <v>216</v>
      </c>
      <c r="B2332" s="26" t="s">
        <v>4880</v>
      </c>
      <c r="C2332" s="26" t="s">
        <v>20</v>
      </c>
      <c r="D2332" s="28" t="s">
        <v>4881</v>
      </c>
      <c r="E2332" s="26">
        <v>13436</v>
      </c>
      <c r="F2332" s="29" t="s">
        <v>223</v>
      </c>
    </row>
    <row r="2333" spans="1:6" ht="58" x14ac:dyDescent="0.35">
      <c r="A2333" s="26" t="s">
        <v>216</v>
      </c>
      <c r="B2333" s="26" t="s">
        <v>4882</v>
      </c>
      <c r="C2333" s="26" t="s">
        <v>25</v>
      </c>
      <c r="D2333" s="28" t="s">
        <v>4883</v>
      </c>
      <c r="E2333" s="26">
        <v>0</v>
      </c>
      <c r="F2333" s="29" t="s">
        <v>226</v>
      </c>
    </row>
    <row r="2334" spans="1:6" ht="43.5" x14ac:dyDescent="0.35">
      <c r="A2334" s="26" t="s">
        <v>216</v>
      </c>
      <c r="B2334" s="26" t="s">
        <v>4884</v>
      </c>
      <c r="C2334" s="26" t="s">
        <v>27</v>
      </c>
      <c r="D2334" s="28" t="s">
        <v>4885</v>
      </c>
      <c r="E2334" s="26">
        <v>0</v>
      </c>
      <c r="F2334" s="29" t="s">
        <v>229</v>
      </c>
    </row>
    <row r="2335" spans="1:6" ht="29" x14ac:dyDescent="0.35">
      <c r="A2335" s="26" t="s">
        <v>216</v>
      </c>
      <c r="B2335" s="26" t="s">
        <v>4886</v>
      </c>
      <c r="C2335" s="26" t="s">
        <v>24</v>
      </c>
      <c r="D2335" s="28" t="s">
        <v>4887</v>
      </c>
      <c r="E2335" s="26">
        <v>0</v>
      </c>
      <c r="F2335" s="29" t="s">
        <v>232</v>
      </c>
    </row>
    <row r="2336" spans="1:6" ht="43.5" x14ac:dyDescent="0.35">
      <c r="A2336" s="26" t="s">
        <v>216</v>
      </c>
      <c r="B2336" s="26" t="s">
        <v>4888</v>
      </c>
      <c r="C2336" s="26" t="s">
        <v>15</v>
      </c>
      <c r="D2336" s="28" t="s">
        <v>218</v>
      </c>
      <c r="E2336" s="26" t="s">
        <v>4889</v>
      </c>
      <c r="F2336" s="29" t="s">
        <v>220</v>
      </c>
    </row>
    <row r="2337" spans="1:6" ht="29" x14ac:dyDescent="0.35">
      <c r="A2337" s="26" t="s">
        <v>216</v>
      </c>
      <c r="B2337" s="26" t="s">
        <v>4890</v>
      </c>
      <c r="C2337" s="26" t="s">
        <v>17</v>
      </c>
      <c r="D2337" s="28" t="s">
        <v>4891</v>
      </c>
      <c r="E2337" s="26">
        <v>13436</v>
      </c>
      <c r="F2337" s="29" t="s">
        <v>247</v>
      </c>
    </row>
    <row r="2338" spans="1:6" ht="29" x14ac:dyDescent="0.35">
      <c r="A2338" s="26" t="s">
        <v>216</v>
      </c>
      <c r="B2338" s="26" t="s">
        <v>4892</v>
      </c>
      <c r="C2338" s="26" t="s">
        <v>20</v>
      </c>
      <c r="D2338" s="28" t="s">
        <v>4893</v>
      </c>
      <c r="E2338" s="26">
        <v>13436</v>
      </c>
      <c r="F2338" s="29" t="s">
        <v>223</v>
      </c>
    </row>
    <row r="2339" spans="1:6" ht="58" x14ac:dyDescent="0.35">
      <c r="A2339" s="26" t="s">
        <v>216</v>
      </c>
      <c r="B2339" s="26" t="s">
        <v>4894</v>
      </c>
      <c r="C2339" s="26" t="s">
        <v>25</v>
      </c>
      <c r="D2339" s="28" t="s">
        <v>4895</v>
      </c>
      <c r="E2339" s="26">
        <v>0</v>
      </c>
      <c r="F2339" s="29" t="s">
        <v>226</v>
      </c>
    </row>
    <row r="2340" spans="1:6" ht="43.5" x14ac:dyDescent="0.35">
      <c r="A2340" s="26" t="s">
        <v>216</v>
      </c>
      <c r="B2340" s="26" t="s">
        <v>4896</v>
      </c>
      <c r="C2340" s="26" t="s">
        <v>27</v>
      </c>
      <c r="D2340" s="28" t="s">
        <v>4897</v>
      </c>
      <c r="E2340" s="26">
        <v>0</v>
      </c>
      <c r="F2340" s="29" t="s">
        <v>229</v>
      </c>
    </row>
    <row r="2341" spans="1:6" ht="29" x14ac:dyDescent="0.35">
      <c r="A2341" s="26" t="s">
        <v>216</v>
      </c>
      <c r="B2341" s="26" t="s">
        <v>4898</v>
      </c>
      <c r="C2341" s="26" t="s">
        <v>24</v>
      </c>
      <c r="D2341" s="28" t="s">
        <v>4899</v>
      </c>
      <c r="E2341" s="26">
        <v>0</v>
      </c>
      <c r="F2341" s="29" t="s">
        <v>232</v>
      </c>
    </row>
    <row r="2342" spans="1:6" ht="43.5" x14ac:dyDescent="0.35">
      <c r="A2342" s="26" t="s">
        <v>216</v>
      </c>
      <c r="B2342" s="26" t="s">
        <v>4900</v>
      </c>
      <c r="C2342" s="26" t="s">
        <v>15</v>
      </c>
      <c r="D2342" s="28" t="s">
        <v>218</v>
      </c>
      <c r="E2342" s="26" t="s">
        <v>4901</v>
      </c>
      <c r="F2342" s="29" t="s">
        <v>220</v>
      </c>
    </row>
    <row r="2343" spans="1:6" ht="29" x14ac:dyDescent="0.35">
      <c r="A2343" s="26" t="s">
        <v>216</v>
      </c>
      <c r="B2343" s="26" t="s">
        <v>4902</v>
      </c>
      <c r="C2343" s="26" t="s">
        <v>17</v>
      </c>
      <c r="D2343" s="28" t="s">
        <v>4903</v>
      </c>
      <c r="E2343" s="26">
        <v>13436</v>
      </c>
      <c r="F2343" s="29" t="s">
        <v>247</v>
      </c>
    </row>
    <row r="2344" spans="1:6" ht="29" x14ac:dyDescent="0.35">
      <c r="A2344" s="26" t="s">
        <v>216</v>
      </c>
      <c r="B2344" s="26" t="s">
        <v>4904</v>
      </c>
      <c r="C2344" s="26" t="s">
        <v>20</v>
      </c>
      <c r="D2344" s="28" t="s">
        <v>4905</v>
      </c>
      <c r="E2344" s="26">
        <v>13436</v>
      </c>
      <c r="F2344" s="29" t="s">
        <v>223</v>
      </c>
    </row>
    <row r="2345" spans="1:6" ht="58" x14ac:dyDescent="0.35">
      <c r="A2345" s="26" t="s">
        <v>216</v>
      </c>
      <c r="B2345" s="26" t="s">
        <v>4906</v>
      </c>
      <c r="C2345" s="26" t="s">
        <v>25</v>
      </c>
      <c r="D2345" s="28" t="s">
        <v>4907</v>
      </c>
      <c r="E2345" s="26">
        <v>0</v>
      </c>
      <c r="F2345" s="29" t="s">
        <v>226</v>
      </c>
    </row>
    <row r="2346" spans="1:6" ht="43.5" x14ac:dyDescent="0.35">
      <c r="A2346" s="26" t="s">
        <v>216</v>
      </c>
      <c r="B2346" s="26" t="s">
        <v>4908</v>
      </c>
      <c r="C2346" s="26" t="s">
        <v>27</v>
      </c>
      <c r="D2346" s="28" t="s">
        <v>4909</v>
      </c>
      <c r="E2346" s="26">
        <v>0</v>
      </c>
      <c r="F2346" s="29" t="s">
        <v>229</v>
      </c>
    </row>
    <row r="2347" spans="1:6" ht="29" x14ac:dyDescent="0.35">
      <c r="A2347" s="26" t="s">
        <v>216</v>
      </c>
      <c r="B2347" s="26" t="s">
        <v>4910</v>
      </c>
      <c r="C2347" s="26" t="s">
        <v>24</v>
      </c>
      <c r="D2347" s="28" t="s">
        <v>4911</v>
      </c>
      <c r="E2347" s="26">
        <v>0</v>
      </c>
      <c r="F2347" s="29" t="s">
        <v>232</v>
      </c>
    </row>
    <row r="2348" spans="1:6" ht="43.5" x14ac:dyDescent="0.35">
      <c r="A2348" s="26" t="s">
        <v>216</v>
      </c>
      <c r="B2348" s="26" t="s">
        <v>4912</v>
      </c>
      <c r="C2348" s="26" t="s">
        <v>15</v>
      </c>
      <c r="D2348" s="28" t="s">
        <v>218</v>
      </c>
      <c r="E2348" s="26" t="s">
        <v>4913</v>
      </c>
      <c r="F2348" s="29" t="s">
        <v>220</v>
      </c>
    </row>
    <row r="2349" spans="1:6" ht="29" x14ac:dyDescent="0.35">
      <c r="A2349" s="26" t="s">
        <v>216</v>
      </c>
      <c r="B2349" s="26" t="s">
        <v>4914</v>
      </c>
      <c r="C2349" s="26" t="s">
        <v>17</v>
      </c>
      <c r="D2349" s="28" t="s">
        <v>4915</v>
      </c>
      <c r="E2349" s="26">
        <v>13436</v>
      </c>
      <c r="F2349" s="29" t="s">
        <v>247</v>
      </c>
    </row>
    <row r="2350" spans="1:6" ht="29" x14ac:dyDescent="0.35">
      <c r="A2350" s="26" t="s">
        <v>216</v>
      </c>
      <c r="B2350" s="26" t="s">
        <v>4916</v>
      </c>
      <c r="C2350" s="26" t="s">
        <v>20</v>
      </c>
      <c r="D2350" s="28" t="s">
        <v>4917</v>
      </c>
      <c r="E2350" s="26">
        <v>13436</v>
      </c>
      <c r="F2350" s="29" t="s">
        <v>223</v>
      </c>
    </row>
    <row r="2351" spans="1:6" ht="58" x14ac:dyDescent="0.35">
      <c r="A2351" s="26" t="s">
        <v>216</v>
      </c>
      <c r="B2351" s="26" t="s">
        <v>4918</v>
      </c>
      <c r="C2351" s="26" t="s">
        <v>25</v>
      </c>
      <c r="D2351" s="28" t="s">
        <v>4919</v>
      </c>
      <c r="E2351" s="26">
        <v>0</v>
      </c>
      <c r="F2351" s="29" t="s">
        <v>226</v>
      </c>
    </row>
    <row r="2352" spans="1:6" ht="43.5" x14ac:dyDescent="0.35">
      <c r="A2352" s="26" t="s">
        <v>216</v>
      </c>
      <c r="B2352" s="26" t="s">
        <v>4920</v>
      </c>
      <c r="C2352" s="26" t="s">
        <v>27</v>
      </c>
      <c r="D2352" s="28" t="s">
        <v>4921</v>
      </c>
      <c r="E2352" s="26">
        <v>0</v>
      </c>
      <c r="F2352" s="29" t="s">
        <v>229</v>
      </c>
    </row>
    <row r="2353" spans="1:6" ht="29" x14ac:dyDescent="0.35">
      <c r="A2353" s="26" t="s">
        <v>216</v>
      </c>
      <c r="B2353" s="26" t="s">
        <v>4922</v>
      </c>
      <c r="C2353" s="26" t="s">
        <v>24</v>
      </c>
      <c r="D2353" s="28" t="s">
        <v>4923</v>
      </c>
      <c r="E2353" s="26">
        <v>0</v>
      </c>
      <c r="F2353" s="29" t="s">
        <v>232</v>
      </c>
    </row>
    <row r="2354" spans="1:6" ht="43.5" x14ac:dyDescent="0.35">
      <c r="A2354" s="26" t="s">
        <v>216</v>
      </c>
      <c r="B2354" s="26" t="s">
        <v>4924</v>
      </c>
      <c r="C2354" s="26" t="s">
        <v>15</v>
      </c>
      <c r="D2354" s="28" t="s">
        <v>218</v>
      </c>
      <c r="E2354" s="26" t="s">
        <v>4925</v>
      </c>
      <c r="F2354" s="29" t="s">
        <v>220</v>
      </c>
    </row>
    <row r="2355" spans="1:6" ht="29" x14ac:dyDescent="0.35">
      <c r="A2355" s="26" t="s">
        <v>216</v>
      </c>
      <c r="B2355" s="26" t="s">
        <v>4926</v>
      </c>
      <c r="C2355" s="26" t="s">
        <v>17</v>
      </c>
      <c r="D2355" s="28" t="s">
        <v>4927</v>
      </c>
      <c r="E2355" s="26">
        <v>13436</v>
      </c>
      <c r="F2355" s="29" t="s">
        <v>247</v>
      </c>
    </row>
    <row r="2356" spans="1:6" ht="29" x14ac:dyDescent="0.35">
      <c r="A2356" s="26" t="s">
        <v>216</v>
      </c>
      <c r="B2356" s="26" t="s">
        <v>4928</v>
      </c>
      <c r="C2356" s="26" t="s">
        <v>20</v>
      </c>
      <c r="D2356" s="28" t="s">
        <v>4929</v>
      </c>
      <c r="E2356" s="26">
        <v>13436</v>
      </c>
      <c r="F2356" s="29" t="s">
        <v>223</v>
      </c>
    </row>
    <row r="2357" spans="1:6" ht="58" x14ac:dyDescent="0.35">
      <c r="A2357" s="26" t="s">
        <v>216</v>
      </c>
      <c r="B2357" s="26" t="s">
        <v>4930</v>
      </c>
      <c r="C2357" s="26" t="s">
        <v>25</v>
      </c>
      <c r="D2357" s="28" t="s">
        <v>4931</v>
      </c>
      <c r="E2357" s="26">
        <v>0</v>
      </c>
      <c r="F2357" s="29" t="s">
        <v>226</v>
      </c>
    </row>
    <row r="2358" spans="1:6" ht="43.5" x14ac:dyDescent="0.35">
      <c r="A2358" s="26" t="s">
        <v>216</v>
      </c>
      <c r="B2358" s="26" t="s">
        <v>4932</v>
      </c>
      <c r="C2358" s="26" t="s">
        <v>27</v>
      </c>
      <c r="D2358" s="28" t="s">
        <v>4933</v>
      </c>
      <c r="E2358" s="26">
        <v>0</v>
      </c>
      <c r="F2358" s="29" t="s">
        <v>229</v>
      </c>
    </row>
    <row r="2359" spans="1:6" ht="29" x14ac:dyDescent="0.35">
      <c r="A2359" s="26" t="s">
        <v>216</v>
      </c>
      <c r="B2359" s="26" t="s">
        <v>4934</v>
      </c>
      <c r="C2359" s="26" t="s">
        <v>24</v>
      </c>
      <c r="D2359" s="28" t="s">
        <v>4935</v>
      </c>
      <c r="E2359" s="26">
        <v>0</v>
      </c>
      <c r="F2359" s="29" t="s">
        <v>232</v>
      </c>
    </row>
    <row r="2360" spans="1:6" ht="43.5" x14ac:dyDescent="0.35">
      <c r="A2360" s="26" t="s">
        <v>216</v>
      </c>
      <c r="B2360" s="26" t="s">
        <v>4936</v>
      </c>
      <c r="C2360" s="26" t="s">
        <v>15</v>
      </c>
      <c r="D2360" s="28" t="s">
        <v>218</v>
      </c>
      <c r="E2360" s="26" t="s">
        <v>4937</v>
      </c>
      <c r="F2360" s="29" t="s">
        <v>220</v>
      </c>
    </row>
    <row r="2361" spans="1:6" ht="29" x14ac:dyDescent="0.35">
      <c r="A2361" s="26" t="s">
        <v>216</v>
      </c>
      <c r="B2361" s="26" t="s">
        <v>4938</v>
      </c>
      <c r="C2361" s="26" t="s">
        <v>17</v>
      </c>
      <c r="D2361" s="28" t="s">
        <v>4939</v>
      </c>
      <c r="E2361" s="26">
        <v>13436</v>
      </c>
      <c r="F2361" s="29" t="s">
        <v>247</v>
      </c>
    </row>
    <row r="2362" spans="1:6" ht="29" x14ac:dyDescent="0.35">
      <c r="A2362" s="26" t="s">
        <v>216</v>
      </c>
      <c r="B2362" s="26" t="s">
        <v>4940</v>
      </c>
      <c r="C2362" s="26" t="s">
        <v>20</v>
      </c>
      <c r="D2362" s="28" t="s">
        <v>4941</v>
      </c>
      <c r="E2362" s="26">
        <v>13436</v>
      </c>
      <c r="F2362" s="29" t="s">
        <v>223</v>
      </c>
    </row>
    <row r="2363" spans="1:6" ht="58" x14ac:dyDescent="0.35">
      <c r="A2363" s="26" t="s">
        <v>216</v>
      </c>
      <c r="B2363" s="26" t="s">
        <v>4942</v>
      </c>
      <c r="C2363" s="26" t="s">
        <v>25</v>
      </c>
      <c r="D2363" s="28" t="s">
        <v>4943</v>
      </c>
      <c r="E2363" s="26">
        <v>0</v>
      </c>
      <c r="F2363" s="29" t="s">
        <v>226</v>
      </c>
    </row>
    <row r="2364" spans="1:6" ht="43.5" x14ac:dyDescent="0.35">
      <c r="A2364" s="26" t="s">
        <v>216</v>
      </c>
      <c r="B2364" s="26" t="s">
        <v>4944</v>
      </c>
      <c r="C2364" s="26" t="s">
        <v>27</v>
      </c>
      <c r="D2364" s="28" t="s">
        <v>4945</v>
      </c>
      <c r="E2364" s="26">
        <v>0</v>
      </c>
      <c r="F2364" s="29" t="s">
        <v>229</v>
      </c>
    </row>
    <row r="2365" spans="1:6" ht="29" x14ac:dyDescent="0.35">
      <c r="A2365" s="26" t="s">
        <v>216</v>
      </c>
      <c r="B2365" s="26" t="s">
        <v>4946</v>
      </c>
      <c r="C2365" s="26" t="s">
        <v>24</v>
      </c>
      <c r="D2365" s="28" t="s">
        <v>4947</v>
      </c>
      <c r="E2365" s="26">
        <v>0</v>
      </c>
      <c r="F2365" s="29" t="s">
        <v>232</v>
      </c>
    </row>
    <row r="2366" spans="1:6" ht="43.5" x14ac:dyDescent="0.35">
      <c r="A2366" s="26" t="s">
        <v>216</v>
      </c>
      <c r="B2366" s="26" t="s">
        <v>4948</v>
      </c>
      <c r="C2366" s="26" t="s">
        <v>15</v>
      </c>
      <c r="D2366" s="28" t="s">
        <v>218</v>
      </c>
      <c r="E2366" s="26" t="s">
        <v>4949</v>
      </c>
      <c r="F2366" s="29" t="s">
        <v>220</v>
      </c>
    </row>
    <row r="2367" spans="1:6" ht="29" x14ac:dyDescent="0.35">
      <c r="A2367" s="26" t="s">
        <v>216</v>
      </c>
      <c r="B2367" s="26" t="s">
        <v>4950</v>
      </c>
      <c r="C2367" s="26" t="s">
        <v>17</v>
      </c>
      <c r="D2367" s="28" t="s">
        <v>4951</v>
      </c>
      <c r="E2367" s="26">
        <v>13436</v>
      </c>
      <c r="F2367" s="29" t="s">
        <v>247</v>
      </c>
    </row>
    <row r="2368" spans="1:6" ht="29" x14ac:dyDescent="0.35">
      <c r="A2368" s="26" t="s">
        <v>216</v>
      </c>
      <c r="B2368" s="26" t="s">
        <v>4952</v>
      </c>
      <c r="C2368" s="26" t="s">
        <v>20</v>
      </c>
      <c r="D2368" s="28" t="s">
        <v>4953</v>
      </c>
      <c r="E2368" s="26">
        <v>13436</v>
      </c>
      <c r="F2368" s="29" t="s">
        <v>223</v>
      </c>
    </row>
    <row r="2369" spans="1:6" ht="58" x14ac:dyDescent="0.35">
      <c r="A2369" s="26" t="s">
        <v>216</v>
      </c>
      <c r="B2369" s="26" t="s">
        <v>4954</v>
      </c>
      <c r="C2369" s="26" t="s">
        <v>25</v>
      </c>
      <c r="D2369" s="28" t="s">
        <v>4955</v>
      </c>
      <c r="E2369" s="26">
        <v>0</v>
      </c>
      <c r="F2369" s="29" t="s">
        <v>226</v>
      </c>
    </row>
    <row r="2370" spans="1:6" ht="43.5" x14ac:dyDescent="0.35">
      <c r="A2370" s="26" t="s">
        <v>216</v>
      </c>
      <c r="B2370" s="26" t="s">
        <v>4956</v>
      </c>
      <c r="C2370" s="26" t="s">
        <v>27</v>
      </c>
      <c r="D2370" s="28" t="s">
        <v>4957</v>
      </c>
      <c r="E2370" s="26">
        <v>0</v>
      </c>
      <c r="F2370" s="29" t="s">
        <v>229</v>
      </c>
    </row>
    <row r="2371" spans="1:6" ht="29" x14ac:dyDescent="0.35">
      <c r="A2371" s="26" t="s">
        <v>216</v>
      </c>
      <c r="B2371" s="26" t="s">
        <v>4958</v>
      </c>
      <c r="C2371" s="26" t="s">
        <v>24</v>
      </c>
      <c r="D2371" s="28" t="s">
        <v>4959</v>
      </c>
      <c r="E2371" s="26">
        <v>0</v>
      </c>
      <c r="F2371" s="29" t="s">
        <v>232</v>
      </c>
    </row>
    <row r="2372" spans="1:6" ht="43.5" x14ac:dyDescent="0.35">
      <c r="A2372" s="26" t="s">
        <v>216</v>
      </c>
      <c r="B2372" s="26" t="s">
        <v>4960</v>
      </c>
      <c r="C2372" s="26" t="s">
        <v>15</v>
      </c>
      <c r="D2372" s="28" t="s">
        <v>218</v>
      </c>
      <c r="E2372" s="26" t="s">
        <v>4961</v>
      </c>
      <c r="F2372" s="29" t="s">
        <v>220</v>
      </c>
    </row>
    <row r="2373" spans="1:6" ht="29" x14ac:dyDescent="0.35">
      <c r="A2373" s="26" t="s">
        <v>216</v>
      </c>
      <c r="B2373" s="26" t="s">
        <v>4962</v>
      </c>
      <c r="C2373" s="26" t="s">
        <v>17</v>
      </c>
      <c r="D2373" s="28" t="s">
        <v>4963</v>
      </c>
      <c r="E2373" s="26">
        <v>13436</v>
      </c>
      <c r="F2373" s="29" t="s">
        <v>247</v>
      </c>
    </row>
    <row r="2374" spans="1:6" ht="29" x14ac:dyDescent="0.35">
      <c r="A2374" s="26" t="s">
        <v>216</v>
      </c>
      <c r="B2374" s="26" t="s">
        <v>4964</v>
      </c>
      <c r="C2374" s="26" t="s">
        <v>20</v>
      </c>
      <c r="D2374" s="28" t="s">
        <v>4965</v>
      </c>
      <c r="E2374" s="26">
        <v>13436</v>
      </c>
      <c r="F2374" s="29" t="s">
        <v>223</v>
      </c>
    </row>
    <row r="2375" spans="1:6" ht="58" x14ac:dyDescent="0.35">
      <c r="A2375" s="26" t="s">
        <v>216</v>
      </c>
      <c r="B2375" s="26" t="s">
        <v>4966</v>
      </c>
      <c r="C2375" s="26" t="s">
        <v>25</v>
      </c>
      <c r="D2375" s="28" t="s">
        <v>4967</v>
      </c>
      <c r="E2375" s="26">
        <v>0</v>
      </c>
      <c r="F2375" s="29" t="s">
        <v>226</v>
      </c>
    </row>
    <row r="2376" spans="1:6" ht="43.5" x14ac:dyDescent="0.35">
      <c r="A2376" s="26" t="s">
        <v>216</v>
      </c>
      <c r="B2376" s="26" t="s">
        <v>4968</v>
      </c>
      <c r="C2376" s="26" t="s">
        <v>27</v>
      </c>
      <c r="D2376" s="28" t="s">
        <v>4969</v>
      </c>
      <c r="E2376" s="26">
        <v>0</v>
      </c>
      <c r="F2376" s="29" t="s">
        <v>229</v>
      </c>
    </row>
    <row r="2377" spans="1:6" ht="29" x14ac:dyDescent="0.35">
      <c r="A2377" s="26" t="s">
        <v>216</v>
      </c>
      <c r="B2377" s="26" t="s">
        <v>4970</v>
      </c>
      <c r="C2377" s="26" t="s">
        <v>24</v>
      </c>
      <c r="D2377" s="28" t="s">
        <v>4971</v>
      </c>
      <c r="E2377" s="26">
        <v>0</v>
      </c>
      <c r="F2377" s="29" t="s">
        <v>232</v>
      </c>
    </row>
    <row r="2378" spans="1:6" ht="43.5" x14ac:dyDescent="0.35">
      <c r="A2378" s="26" t="s">
        <v>216</v>
      </c>
      <c r="B2378" s="26" t="s">
        <v>4972</v>
      </c>
      <c r="C2378" s="26" t="s">
        <v>15</v>
      </c>
      <c r="D2378" s="28" t="s">
        <v>218</v>
      </c>
      <c r="E2378" s="26" t="s">
        <v>4973</v>
      </c>
      <c r="F2378" s="29" t="s">
        <v>220</v>
      </c>
    </row>
    <row r="2379" spans="1:6" ht="29" x14ac:dyDescent="0.35">
      <c r="A2379" s="26" t="s">
        <v>216</v>
      </c>
      <c r="B2379" s="26" t="s">
        <v>4974</v>
      </c>
      <c r="C2379" s="26" t="s">
        <v>17</v>
      </c>
      <c r="D2379" s="28" t="s">
        <v>4975</v>
      </c>
      <c r="E2379" s="26">
        <v>13436</v>
      </c>
      <c r="F2379" s="29" t="s">
        <v>247</v>
      </c>
    </row>
    <row r="2380" spans="1:6" ht="29" x14ac:dyDescent="0.35">
      <c r="A2380" s="26" t="s">
        <v>216</v>
      </c>
      <c r="B2380" s="26" t="s">
        <v>4976</v>
      </c>
      <c r="C2380" s="26" t="s">
        <v>20</v>
      </c>
      <c r="D2380" s="28" t="s">
        <v>4977</v>
      </c>
      <c r="E2380" s="26">
        <v>13436</v>
      </c>
      <c r="F2380" s="29" t="s">
        <v>223</v>
      </c>
    </row>
    <row r="2381" spans="1:6" ht="58" x14ac:dyDescent="0.35">
      <c r="A2381" s="26" t="s">
        <v>216</v>
      </c>
      <c r="B2381" s="26" t="s">
        <v>4978</v>
      </c>
      <c r="C2381" s="26" t="s">
        <v>25</v>
      </c>
      <c r="D2381" s="28" t="s">
        <v>4979</v>
      </c>
      <c r="E2381" s="26">
        <v>0</v>
      </c>
      <c r="F2381" s="29" t="s">
        <v>226</v>
      </c>
    </row>
    <row r="2382" spans="1:6" ht="43.5" x14ac:dyDescent="0.35">
      <c r="A2382" s="26" t="s">
        <v>216</v>
      </c>
      <c r="B2382" s="26" t="s">
        <v>4980</v>
      </c>
      <c r="C2382" s="26" t="s">
        <v>27</v>
      </c>
      <c r="D2382" s="28" t="s">
        <v>4981</v>
      </c>
      <c r="E2382" s="26">
        <v>0</v>
      </c>
      <c r="F2382" s="29" t="s">
        <v>229</v>
      </c>
    </row>
    <row r="2383" spans="1:6" ht="29" x14ac:dyDescent="0.35">
      <c r="A2383" s="26" t="s">
        <v>216</v>
      </c>
      <c r="B2383" s="26" t="s">
        <v>4982</v>
      </c>
      <c r="C2383" s="26" t="s">
        <v>24</v>
      </c>
      <c r="D2383" s="28" t="s">
        <v>4983</v>
      </c>
      <c r="E2383" s="26">
        <v>0</v>
      </c>
      <c r="F2383" s="29" t="s">
        <v>232</v>
      </c>
    </row>
    <row r="2384" spans="1:6" ht="43.5" x14ac:dyDescent="0.35">
      <c r="A2384" s="26" t="s">
        <v>216</v>
      </c>
      <c r="B2384" s="26" t="s">
        <v>4984</v>
      </c>
      <c r="C2384" s="26" t="s">
        <v>15</v>
      </c>
      <c r="D2384" s="28" t="s">
        <v>218</v>
      </c>
      <c r="E2384" s="26" t="s">
        <v>4985</v>
      </c>
      <c r="F2384" s="29" t="s">
        <v>220</v>
      </c>
    </row>
    <row r="2385" spans="1:6" ht="29" x14ac:dyDescent="0.35">
      <c r="A2385" s="26" t="s">
        <v>216</v>
      </c>
      <c r="B2385" s="26" t="s">
        <v>4986</v>
      </c>
      <c r="C2385" s="26" t="s">
        <v>17</v>
      </c>
      <c r="D2385" s="28" t="s">
        <v>4987</v>
      </c>
      <c r="E2385" s="26">
        <v>13436</v>
      </c>
      <c r="F2385" s="29" t="s">
        <v>247</v>
      </c>
    </row>
    <row r="2386" spans="1:6" ht="29" x14ac:dyDescent="0.35">
      <c r="A2386" s="26" t="s">
        <v>216</v>
      </c>
      <c r="B2386" s="26" t="s">
        <v>4988</v>
      </c>
      <c r="C2386" s="26" t="s">
        <v>20</v>
      </c>
      <c r="D2386" s="28" t="s">
        <v>4989</v>
      </c>
      <c r="E2386" s="26">
        <v>13436</v>
      </c>
      <c r="F2386" s="29" t="s">
        <v>223</v>
      </c>
    </row>
    <row r="2387" spans="1:6" ht="58" x14ac:dyDescent="0.35">
      <c r="A2387" s="26" t="s">
        <v>216</v>
      </c>
      <c r="B2387" s="26" t="s">
        <v>4990</v>
      </c>
      <c r="C2387" s="26" t="s">
        <v>25</v>
      </c>
      <c r="D2387" s="28" t="s">
        <v>4991</v>
      </c>
      <c r="E2387" s="26">
        <v>0</v>
      </c>
      <c r="F2387" s="29" t="s">
        <v>226</v>
      </c>
    </row>
    <row r="2388" spans="1:6" ht="43.5" x14ac:dyDescent="0.35">
      <c r="A2388" s="26" t="s">
        <v>216</v>
      </c>
      <c r="B2388" s="26" t="s">
        <v>4992</v>
      </c>
      <c r="C2388" s="26" t="s">
        <v>27</v>
      </c>
      <c r="D2388" s="28" t="s">
        <v>4993</v>
      </c>
      <c r="E2388" s="26">
        <v>0</v>
      </c>
      <c r="F2388" s="29" t="s">
        <v>229</v>
      </c>
    </row>
    <row r="2389" spans="1:6" ht="29" x14ac:dyDescent="0.35">
      <c r="A2389" s="26" t="s">
        <v>216</v>
      </c>
      <c r="B2389" s="26" t="s">
        <v>4994</v>
      </c>
      <c r="C2389" s="26" t="s">
        <v>24</v>
      </c>
      <c r="D2389" s="28" t="s">
        <v>4995</v>
      </c>
      <c r="E2389" s="26">
        <v>0</v>
      </c>
      <c r="F2389" s="29" t="s">
        <v>232</v>
      </c>
    </row>
    <row r="2390" spans="1:6" ht="43.5" x14ac:dyDescent="0.35">
      <c r="A2390" s="26" t="s">
        <v>216</v>
      </c>
      <c r="B2390" s="26" t="s">
        <v>4996</v>
      </c>
      <c r="C2390" s="26" t="s">
        <v>15</v>
      </c>
      <c r="D2390" s="28" t="s">
        <v>218</v>
      </c>
      <c r="E2390" s="26" t="s">
        <v>4997</v>
      </c>
      <c r="F2390" s="29" t="s">
        <v>220</v>
      </c>
    </row>
    <row r="2391" spans="1:6" ht="29" x14ac:dyDescent="0.35">
      <c r="A2391" s="26" t="s">
        <v>216</v>
      </c>
      <c r="B2391" s="26" t="s">
        <v>4998</v>
      </c>
      <c r="C2391" s="26" t="s">
        <v>17</v>
      </c>
      <c r="D2391" s="28" t="s">
        <v>4999</v>
      </c>
      <c r="E2391" s="26">
        <v>13436</v>
      </c>
      <c r="F2391" s="29" t="s">
        <v>247</v>
      </c>
    </row>
    <row r="2392" spans="1:6" ht="29" x14ac:dyDescent="0.35">
      <c r="A2392" s="26" t="s">
        <v>216</v>
      </c>
      <c r="B2392" s="26" t="s">
        <v>5000</v>
      </c>
      <c r="C2392" s="26" t="s">
        <v>20</v>
      </c>
      <c r="D2392" s="28" t="s">
        <v>5001</v>
      </c>
      <c r="E2392" s="26">
        <v>13436</v>
      </c>
      <c r="F2392" s="29" t="s">
        <v>223</v>
      </c>
    </row>
    <row r="2393" spans="1:6" ht="58" x14ac:dyDescent="0.35">
      <c r="A2393" s="26" t="s">
        <v>216</v>
      </c>
      <c r="B2393" s="26" t="s">
        <v>5002</v>
      </c>
      <c r="C2393" s="26" t="s">
        <v>25</v>
      </c>
      <c r="D2393" s="28" t="s">
        <v>5003</v>
      </c>
      <c r="E2393" s="26">
        <v>0</v>
      </c>
      <c r="F2393" s="29" t="s">
        <v>226</v>
      </c>
    </row>
    <row r="2394" spans="1:6" ht="43.5" x14ac:dyDescent="0.35">
      <c r="A2394" s="26" t="s">
        <v>216</v>
      </c>
      <c r="B2394" s="26" t="s">
        <v>5004</v>
      </c>
      <c r="C2394" s="26" t="s">
        <v>27</v>
      </c>
      <c r="D2394" s="28" t="s">
        <v>5005</v>
      </c>
      <c r="E2394" s="26">
        <v>0</v>
      </c>
      <c r="F2394" s="29" t="s">
        <v>229</v>
      </c>
    </row>
    <row r="2395" spans="1:6" ht="29" x14ac:dyDescent="0.35">
      <c r="A2395" s="26" t="s">
        <v>216</v>
      </c>
      <c r="B2395" s="26" t="s">
        <v>5006</v>
      </c>
      <c r="C2395" s="26" t="s">
        <v>24</v>
      </c>
      <c r="D2395" s="28" t="s">
        <v>5007</v>
      </c>
      <c r="E2395" s="26">
        <v>0</v>
      </c>
      <c r="F2395" s="29" t="s">
        <v>232</v>
      </c>
    </row>
    <row r="2396" spans="1:6" ht="43.5" x14ac:dyDescent="0.35">
      <c r="A2396" s="26" t="s">
        <v>216</v>
      </c>
      <c r="B2396" s="26" t="s">
        <v>5008</v>
      </c>
      <c r="C2396" s="26" t="s">
        <v>15</v>
      </c>
      <c r="D2396" s="28" t="s">
        <v>218</v>
      </c>
      <c r="E2396" s="26" t="s">
        <v>5009</v>
      </c>
      <c r="F2396" s="29" t="s">
        <v>220</v>
      </c>
    </row>
    <row r="2397" spans="1:6" ht="29" x14ac:dyDescent="0.35">
      <c r="A2397" s="26" t="s">
        <v>216</v>
      </c>
      <c r="B2397" s="26" t="s">
        <v>5010</v>
      </c>
      <c r="C2397" s="26" t="s">
        <v>17</v>
      </c>
      <c r="D2397" s="28" t="s">
        <v>5011</v>
      </c>
      <c r="E2397" s="26">
        <v>13436</v>
      </c>
      <c r="F2397" s="29" t="s">
        <v>247</v>
      </c>
    </row>
    <row r="2398" spans="1:6" ht="29" x14ac:dyDescent="0.35">
      <c r="A2398" s="26" t="s">
        <v>216</v>
      </c>
      <c r="B2398" s="26" t="s">
        <v>5012</v>
      </c>
      <c r="C2398" s="26" t="s">
        <v>20</v>
      </c>
      <c r="D2398" s="28" t="s">
        <v>5013</v>
      </c>
      <c r="E2398" s="26">
        <v>13436</v>
      </c>
      <c r="F2398" s="29" t="s">
        <v>223</v>
      </c>
    </row>
    <row r="2399" spans="1:6" ht="58" x14ac:dyDescent="0.35">
      <c r="A2399" s="26" t="s">
        <v>216</v>
      </c>
      <c r="B2399" s="26" t="s">
        <v>5014</v>
      </c>
      <c r="C2399" s="26" t="s">
        <v>25</v>
      </c>
      <c r="D2399" s="28" t="s">
        <v>5015</v>
      </c>
      <c r="E2399" s="26">
        <v>0</v>
      </c>
      <c r="F2399" s="29" t="s">
        <v>226</v>
      </c>
    </row>
    <row r="2400" spans="1:6" ht="43.5" x14ac:dyDescent="0.35">
      <c r="A2400" s="26" t="s">
        <v>216</v>
      </c>
      <c r="B2400" s="26" t="s">
        <v>5016</v>
      </c>
      <c r="C2400" s="26" t="s">
        <v>27</v>
      </c>
      <c r="D2400" s="28" t="s">
        <v>5017</v>
      </c>
      <c r="E2400" s="26">
        <v>0</v>
      </c>
      <c r="F2400" s="29" t="s">
        <v>229</v>
      </c>
    </row>
    <row r="2401" spans="1:6" ht="29" x14ac:dyDescent="0.35">
      <c r="A2401" s="26" t="s">
        <v>216</v>
      </c>
      <c r="B2401" s="26" t="s">
        <v>5018</v>
      </c>
      <c r="C2401" s="26" t="s">
        <v>24</v>
      </c>
      <c r="D2401" s="28" t="s">
        <v>5019</v>
      </c>
      <c r="E2401" s="26">
        <v>0</v>
      </c>
      <c r="F2401" s="29" t="s">
        <v>232</v>
      </c>
    </row>
    <row r="2402" spans="1:6" ht="43.5" x14ac:dyDescent="0.35">
      <c r="A2402" s="26" t="s">
        <v>216</v>
      </c>
      <c r="B2402" s="26" t="s">
        <v>5020</v>
      </c>
      <c r="C2402" s="26" t="s">
        <v>15</v>
      </c>
      <c r="D2402" s="28" t="s">
        <v>218</v>
      </c>
      <c r="E2402" s="26" t="s">
        <v>5021</v>
      </c>
      <c r="F2402" s="29" t="s">
        <v>220</v>
      </c>
    </row>
    <row r="2403" spans="1:6" ht="29" x14ac:dyDescent="0.35">
      <c r="A2403" s="26" t="s">
        <v>216</v>
      </c>
      <c r="B2403" s="26" t="s">
        <v>5022</v>
      </c>
      <c r="C2403" s="26" t="s">
        <v>17</v>
      </c>
      <c r="D2403" s="28" t="s">
        <v>5023</v>
      </c>
      <c r="E2403" s="26">
        <v>13436</v>
      </c>
      <c r="F2403" s="29" t="s">
        <v>247</v>
      </c>
    </row>
    <row r="2404" spans="1:6" ht="29" x14ac:dyDescent="0.35">
      <c r="A2404" s="26" t="s">
        <v>216</v>
      </c>
      <c r="B2404" s="26" t="s">
        <v>5024</v>
      </c>
      <c r="C2404" s="26" t="s">
        <v>20</v>
      </c>
      <c r="D2404" s="28" t="s">
        <v>5025</v>
      </c>
      <c r="E2404" s="26">
        <v>13436</v>
      </c>
      <c r="F2404" s="29" t="s">
        <v>223</v>
      </c>
    </row>
    <row r="2405" spans="1:6" ht="58" x14ac:dyDescent="0.35">
      <c r="A2405" s="26" t="s">
        <v>216</v>
      </c>
      <c r="B2405" s="26" t="s">
        <v>5026</v>
      </c>
      <c r="C2405" s="26" t="s">
        <v>25</v>
      </c>
      <c r="D2405" s="28" t="s">
        <v>5027</v>
      </c>
      <c r="E2405" s="26">
        <v>0</v>
      </c>
      <c r="F2405" s="29" t="s">
        <v>226</v>
      </c>
    </row>
    <row r="2406" spans="1:6" ht="43.5" x14ac:dyDescent="0.35">
      <c r="A2406" s="26" t="s">
        <v>216</v>
      </c>
      <c r="B2406" s="26" t="s">
        <v>5028</v>
      </c>
      <c r="C2406" s="26" t="s">
        <v>27</v>
      </c>
      <c r="D2406" s="28" t="s">
        <v>5029</v>
      </c>
      <c r="E2406" s="26">
        <v>0</v>
      </c>
      <c r="F2406" s="29" t="s">
        <v>229</v>
      </c>
    </row>
    <row r="2407" spans="1:6" ht="29" x14ac:dyDescent="0.35">
      <c r="A2407" s="26" t="s">
        <v>216</v>
      </c>
      <c r="B2407" s="26" t="s">
        <v>5030</v>
      </c>
      <c r="C2407" s="26" t="s">
        <v>24</v>
      </c>
      <c r="D2407" s="28" t="s">
        <v>5031</v>
      </c>
      <c r="E2407" s="26">
        <v>0</v>
      </c>
      <c r="F2407" s="29" t="s">
        <v>232</v>
      </c>
    </row>
    <row r="2408" spans="1:6" ht="43.5" x14ac:dyDescent="0.35">
      <c r="A2408" s="26" t="s">
        <v>216</v>
      </c>
      <c r="B2408" s="26" t="s">
        <v>5032</v>
      </c>
      <c r="C2408" s="26" t="s">
        <v>15</v>
      </c>
      <c r="D2408" s="28" t="s">
        <v>218</v>
      </c>
      <c r="E2408" s="26" t="s">
        <v>5033</v>
      </c>
      <c r="F2408" s="29" t="s">
        <v>220</v>
      </c>
    </row>
    <row r="2409" spans="1:6" ht="29" x14ac:dyDescent="0.35">
      <c r="A2409" s="26" t="s">
        <v>216</v>
      </c>
      <c r="B2409" s="26" t="s">
        <v>5034</v>
      </c>
      <c r="C2409" s="26" t="s">
        <v>17</v>
      </c>
      <c r="D2409" s="28" t="s">
        <v>5035</v>
      </c>
      <c r="E2409" s="26">
        <v>13436</v>
      </c>
      <c r="F2409" s="29" t="s">
        <v>247</v>
      </c>
    </row>
    <row r="2410" spans="1:6" ht="29" x14ac:dyDescent="0.35">
      <c r="A2410" s="26" t="s">
        <v>216</v>
      </c>
      <c r="B2410" s="26" t="s">
        <v>5036</v>
      </c>
      <c r="C2410" s="26" t="s">
        <v>20</v>
      </c>
      <c r="D2410" s="28" t="s">
        <v>5037</v>
      </c>
      <c r="E2410" s="26">
        <v>13436</v>
      </c>
      <c r="F2410" s="29" t="s">
        <v>223</v>
      </c>
    </row>
    <row r="2411" spans="1:6" ht="58" x14ac:dyDescent="0.35">
      <c r="A2411" s="26" t="s">
        <v>216</v>
      </c>
      <c r="B2411" s="26" t="s">
        <v>5038</v>
      </c>
      <c r="C2411" s="26" t="s">
        <v>25</v>
      </c>
      <c r="D2411" s="28" t="s">
        <v>5039</v>
      </c>
      <c r="E2411" s="26">
        <v>0</v>
      </c>
      <c r="F2411" s="29" t="s">
        <v>226</v>
      </c>
    </row>
    <row r="2412" spans="1:6" ht="43.5" x14ac:dyDescent="0.35">
      <c r="A2412" s="26" t="s">
        <v>216</v>
      </c>
      <c r="B2412" s="26" t="s">
        <v>5040</v>
      </c>
      <c r="C2412" s="26" t="s">
        <v>27</v>
      </c>
      <c r="D2412" s="28" t="s">
        <v>5041</v>
      </c>
      <c r="E2412" s="26">
        <v>0</v>
      </c>
      <c r="F2412" s="29" t="s">
        <v>229</v>
      </c>
    </row>
    <row r="2413" spans="1:6" ht="29" x14ac:dyDescent="0.35">
      <c r="A2413" s="26" t="s">
        <v>216</v>
      </c>
      <c r="B2413" s="26" t="s">
        <v>5042</v>
      </c>
      <c r="C2413" s="26" t="s">
        <v>24</v>
      </c>
      <c r="D2413" s="28" t="s">
        <v>5043</v>
      </c>
      <c r="E2413" s="26">
        <v>0</v>
      </c>
      <c r="F2413" s="29" t="s">
        <v>232</v>
      </c>
    </row>
    <row r="2414" spans="1:6" ht="43.5" x14ac:dyDescent="0.35">
      <c r="A2414" s="26" t="s">
        <v>216</v>
      </c>
      <c r="B2414" s="26" t="s">
        <v>5044</v>
      </c>
      <c r="C2414" s="26" t="s">
        <v>15</v>
      </c>
      <c r="D2414" s="28" t="s">
        <v>218</v>
      </c>
      <c r="E2414" s="26" t="s">
        <v>5045</v>
      </c>
      <c r="F2414" s="29" t="s">
        <v>220</v>
      </c>
    </row>
    <row r="2415" spans="1:6" ht="29" x14ac:dyDescent="0.35">
      <c r="A2415" s="26" t="s">
        <v>216</v>
      </c>
      <c r="B2415" s="26" t="s">
        <v>5046</v>
      </c>
      <c r="C2415" s="26" t="s">
        <v>17</v>
      </c>
      <c r="D2415" s="28" t="s">
        <v>5047</v>
      </c>
      <c r="E2415" s="26">
        <v>13436</v>
      </c>
      <c r="F2415" s="29" t="s">
        <v>247</v>
      </c>
    </row>
    <row r="2416" spans="1:6" ht="29" x14ac:dyDescent="0.35">
      <c r="A2416" s="26" t="s">
        <v>216</v>
      </c>
      <c r="B2416" s="26" t="s">
        <v>5048</v>
      </c>
      <c r="C2416" s="26" t="s">
        <v>20</v>
      </c>
      <c r="D2416" s="28" t="s">
        <v>5049</v>
      </c>
      <c r="E2416" s="26">
        <v>13436</v>
      </c>
      <c r="F2416" s="29" t="s">
        <v>223</v>
      </c>
    </row>
    <row r="2417" spans="1:6" ht="58" x14ac:dyDescent="0.35">
      <c r="A2417" s="26" t="s">
        <v>216</v>
      </c>
      <c r="B2417" s="26" t="s">
        <v>5050</v>
      </c>
      <c r="C2417" s="26" t="s">
        <v>25</v>
      </c>
      <c r="D2417" s="28" t="s">
        <v>5051</v>
      </c>
      <c r="E2417" s="26">
        <v>0</v>
      </c>
      <c r="F2417" s="29" t="s">
        <v>226</v>
      </c>
    </row>
    <row r="2418" spans="1:6" ht="43.5" x14ac:dyDescent="0.35">
      <c r="A2418" s="26" t="s">
        <v>216</v>
      </c>
      <c r="B2418" s="26" t="s">
        <v>5052</v>
      </c>
      <c r="C2418" s="26" t="s">
        <v>27</v>
      </c>
      <c r="D2418" s="28" t="s">
        <v>5053</v>
      </c>
      <c r="E2418" s="26">
        <v>0</v>
      </c>
      <c r="F2418" s="29" t="s">
        <v>229</v>
      </c>
    </row>
    <row r="2419" spans="1:6" ht="29" x14ac:dyDescent="0.35">
      <c r="A2419" s="26" t="s">
        <v>216</v>
      </c>
      <c r="B2419" s="26" t="s">
        <v>5054</v>
      </c>
      <c r="C2419" s="26" t="s">
        <v>24</v>
      </c>
      <c r="D2419" s="28" t="s">
        <v>5055</v>
      </c>
      <c r="E2419" s="26">
        <v>0</v>
      </c>
      <c r="F2419" s="29" t="s">
        <v>232</v>
      </c>
    </row>
    <row r="2420" spans="1:6" ht="43.5" x14ac:dyDescent="0.35">
      <c r="A2420" s="26" t="s">
        <v>216</v>
      </c>
      <c r="B2420" s="26" t="s">
        <v>5056</v>
      </c>
      <c r="C2420" s="26" t="s">
        <v>15</v>
      </c>
      <c r="D2420" s="28" t="s">
        <v>218</v>
      </c>
      <c r="E2420" s="26" t="s">
        <v>5057</v>
      </c>
      <c r="F2420" s="29" t="s">
        <v>220</v>
      </c>
    </row>
    <row r="2421" spans="1:6" ht="29" x14ac:dyDescent="0.35">
      <c r="A2421" s="26" t="s">
        <v>216</v>
      </c>
      <c r="B2421" s="26" t="s">
        <v>5058</v>
      </c>
      <c r="C2421" s="26" t="s">
        <v>17</v>
      </c>
      <c r="D2421" s="28" t="s">
        <v>5059</v>
      </c>
      <c r="E2421" s="26">
        <v>13436</v>
      </c>
      <c r="F2421" s="29" t="s">
        <v>247</v>
      </c>
    </row>
    <row r="2422" spans="1:6" ht="29" x14ac:dyDescent="0.35">
      <c r="A2422" s="26" t="s">
        <v>216</v>
      </c>
      <c r="B2422" s="26" t="s">
        <v>5060</v>
      </c>
      <c r="C2422" s="26" t="s">
        <v>20</v>
      </c>
      <c r="D2422" s="28" t="s">
        <v>5061</v>
      </c>
      <c r="E2422" s="26">
        <v>13436</v>
      </c>
      <c r="F2422" s="29" t="s">
        <v>223</v>
      </c>
    </row>
    <row r="2423" spans="1:6" ht="58" x14ac:dyDescent="0.35">
      <c r="A2423" s="26" t="s">
        <v>216</v>
      </c>
      <c r="B2423" s="26" t="s">
        <v>5062</v>
      </c>
      <c r="C2423" s="26" t="s">
        <v>25</v>
      </c>
      <c r="D2423" s="28" t="s">
        <v>5063</v>
      </c>
      <c r="E2423" s="26">
        <v>0</v>
      </c>
      <c r="F2423" s="29" t="s">
        <v>226</v>
      </c>
    </row>
    <row r="2424" spans="1:6" ht="43.5" x14ac:dyDescent="0.35">
      <c r="A2424" s="26" t="s">
        <v>216</v>
      </c>
      <c r="B2424" s="26" t="s">
        <v>5064</v>
      </c>
      <c r="C2424" s="26" t="s">
        <v>27</v>
      </c>
      <c r="D2424" s="28" t="s">
        <v>5065</v>
      </c>
      <c r="E2424" s="26">
        <v>0</v>
      </c>
      <c r="F2424" s="29" t="s">
        <v>229</v>
      </c>
    </row>
    <row r="2425" spans="1:6" ht="29" x14ac:dyDescent="0.35">
      <c r="A2425" s="26" t="s">
        <v>216</v>
      </c>
      <c r="B2425" s="26" t="s">
        <v>5066</v>
      </c>
      <c r="C2425" s="26" t="s">
        <v>24</v>
      </c>
      <c r="D2425" s="28" t="s">
        <v>5067</v>
      </c>
      <c r="E2425" s="26">
        <v>0</v>
      </c>
      <c r="F2425" s="29" t="s">
        <v>232</v>
      </c>
    </row>
    <row r="2426" spans="1:6" ht="43.5" x14ac:dyDescent="0.35">
      <c r="A2426" s="26" t="s">
        <v>216</v>
      </c>
      <c r="B2426" s="26" t="s">
        <v>5068</v>
      </c>
      <c r="C2426" s="26" t="s">
        <v>15</v>
      </c>
      <c r="D2426" s="28" t="s">
        <v>218</v>
      </c>
      <c r="E2426" s="26" t="s">
        <v>5069</v>
      </c>
      <c r="F2426" s="29" t="s">
        <v>220</v>
      </c>
    </row>
    <row r="2427" spans="1:6" ht="29" x14ac:dyDescent="0.35">
      <c r="A2427" s="26" t="s">
        <v>216</v>
      </c>
      <c r="B2427" s="26" t="s">
        <v>5070</v>
      </c>
      <c r="C2427" s="26" t="s">
        <v>17</v>
      </c>
      <c r="D2427" s="28" t="s">
        <v>5071</v>
      </c>
      <c r="E2427" s="26">
        <v>13436</v>
      </c>
      <c r="F2427" s="29" t="s">
        <v>247</v>
      </c>
    </row>
    <row r="2428" spans="1:6" ht="29" x14ac:dyDescent="0.35">
      <c r="A2428" s="26" t="s">
        <v>216</v>
      </c>
      <c r="B2428" s="26" t="s">
        <v>5072</v>
      </c>
      <c r="C2428" s="26" t="s">
        <v>20</v>
      </c>
      <c r="D2428" s="28" t="s">
        <v>5073</v>
      </c>
      <c r="E2428" s="26">
        <v>13436</v>
      </c>
      <c r="F2428" s="29" t="s">
        <v>223</v>
      </c>
    </row>
    <row r="2429" spans="1:6" ht="58" x14ac:dyDescent="0.35">
      <c r="A2429" s="26" t="s">
        <v>216</v>
      </c>
      <c r="B2429" s="26" t="s">
        <v>5074</v>
      </c>
      <c r="C2429" s="26" t="s">
        <v>25</v>
      </c>
      <c r="D2429" s="28" t="s">
        <v>5075</v>
      </c>
      <c r="E2429" s="26">
        <v>0</v>
      </c>
      <c r="F2429" s="29" t="s">
        <v>226</v>
      </c>
    </row>
    <row r="2430" spans="1:6" ht="43.5" x14ac:dyDescent="0.35">
      <c r="A2430" s="26" t="s">
        <v>216</v>
      </c>
      <c r="B2430" s="26" t="s">
        <v>5076</v>
      </c>
      <c r="C2430" s="26" t="s">
        <v>27</v>
      </c>
      <c r="D2430" s="28" t="s">
        <v>5077</v>
      </c>
      <c r="E2430" s="26">
        <v>0</v>
      </c>
      <c r="F2430" s="29" t="s">
        <v>229</v>
      </c>
    </row>
    <row r="2431" spans="1:6" ht="29" x14ac:dyDescent="0.35">
      <c r="A2431" s="26" t="s">
        <v>216</v>
      </c>
      <c r="B2431" s="26" t="s">
        <v>5078</v>
      </c>
      <c r="C2431" s="26" t="s">
        <v>24</v>
      </c>
      <c r="D2431" s="28" t="s">
        <v>5079</v>
      </c>
      <c r="E2431" s="26">
        <v>0</v>
      </c>
      <c r="F2431" s="29" t="s">
        <v>232</v>
      </c>
    </row>
    <row r="2432" spans="1:6" ht="43.5" x14ac:dyDescent="0.35">
      <c r="A2432" s="26" t="s">
        <v>216</v>
      </c>
      <c r="B2432" s="26" t="s">
        <v>5080</v>
      </c>
      <c r="C2432" s="26" t="s">
        <v>15</v>
      </c>
      <c r="D2432" s="28" t="s">
        <v>218</v>
      </c>
      <c r="E2432" s="26" t="s">
        <v>5081</v>
      </c>
      <c r="F2432" s="29" t="s">
        <v>220</v>
      </c>
    </row>
    <row r="2433" spans="1:6" ht="29" x14ac:dyDescent="0.35">
      <c r="A2433" s="26" t="s">
        <v>216</v>
      </c>
      <c r="B2433" s="26" t="s">
        <v>5082</v>
      </c>
      <c r="C2433" s="26" t="s">
        <v>17</v>
      </c>
      <c r="D2433" s="28" t="s">
        <v>5083</v>
      </c>
      <c r="E2433" s="26">
        <v>13436</v>
      </c>
      <c r="F2433" s="29" t="s">
        <v>247</v>
      </c>
    </row>
    <row r="2434" spans="1:6" ht="29" x14ac:dyDescent="0.35">
      <c r="A2434" s="26" t="s">
        <v>216</v>
      </c>
      <c r="B2434" s="26" t="s">
        <v>5084</v>
      </c>
      <c r="C2434" s="26" t="s">
        <v>20</v>
      </c>
      <c r="D2434" s="28" t="s">
        <v>5085</v>
      </c>
      <c r="E2434" s="26">
        <v>13436</v>
      </c>
      <c r="F2434" s="29" t="s">
        <v>223</v>
      </c>
    </row>
    <row r="2435" spans="1:6" ht="58" x14ac:dyDescent="0.35">
      <c r="A2435" s="26" t="s">
        <v>216</v>
      </c>
      <c r="B2435" s="26" t="s">
        <v>5086</v>
      </c>
      <c r="C2435" s="26" t="s">
        <v>25</v>
      </c>
      <c r="D2435" s="28" t="s">
        <v>5087</v>
      </c>
      <c r="E2435" s="26">
        <v>0</v>
      </c>
      <c r="F2435" s="29" t="s">
        <v>226</v>
      </c>
    </row>
    <row r="2436" spans="1:6" ht="43.5" x14ac:dyDescent="0.35">
      <c r="A2436" s="26" t="s">
        <v>216</v>
      </c>
      <c r="B2436" s="26" t="s">
        <v>5088</v>
      </c>
      <c r="C2436" s="26" t="s">
        <v>27</v>
      </c>
      <c r="D2436" s="28" t="s">
        <v>5089</v>
      </c>
      <c r="E2436" s="26">
        <v>0</v>
      </c>
      <c r="F2436" s="29" t="s">
        <v>229</v>
      </c>
    </row>
    <row r="2437" spans="1:6" ht="29" x14ac:dyDescent="0.35">
      <c r="A2437" s="26" t="s">
        <v>216</v>
      </c>
      <c r="B2437" s="26" t="s">
        <v>5090</v>
      </c>
      <c r="C2437" s="26" t="s">
        <v>24</v>
      </c>
      <c r="D2437" s="28" t="s">
        <v>5091</v>
      </c>
      <c r="E2437" s="26">
        <v>0</v>
      </c>
      <c r="F2437" s="29" t="s">
        <v>232</v>
      </c>
    </row>
    <row r="2438" spans="1:6" ht="43.5" x14ac:dyDescent="0.35">
      <c r="A2438" s="26" t="s">
        <v>216</v>
      </c>
      <c r="B2438" s="26" t="s">
        <v>5092</v>
      </c>
      <c r="C2438" s="26" t="s">
        <v>15</v>
      </c>
      <c r="D2438" s="28" t="s">
        <v>218</v>
      </c>
      <c r="E2438" s="26" t="s">
        <v>5093</v>
      </c>
      <c r="F2438" s="29" t="s">
        <v>220</v>
      </c>
    </row>
    <row r="2439" spans="1:6" ht="29" x14ac:dyDescent="0.35">
      <c r="A2439" s="26" t="s">
        <v>216</v>
      </c>
      <c r="B2439" s="26" t="s">
        <v>5094</v>
      </c>
      <c r="C2439" s="26" t="s">
        <v>17</v>
      </c>
      <c r="D2439" s="28" t="s">
        <v>5095</v>
      </c>
      <c r="E2439" s="26">
        <v>13436</v>
      </c>
      <c r="F2439" s="29" t="s">
        <v>247</v>
      </c>
    </row>
    <row r="2440" spans="1:6" ht="29" x14ac:dyDescent="0.35">
      <c r="A2440" s="26" t="s">
        <v>216</v>
      </c>
      <c r="B2440" s="26" t="s">
        <v>5096</v>
      </c>
      <c r="C2440" s="26" t="s">
        <v>20</v>
      </c>
      <c r="D2440" s="28" t="s">
        <v>5097</v>
      </c>
      <c r="E2440" s="26">
        <v>13436</v>
      </c>
      <c r="F2440" s="29" t="s">
        <v>223</v>
      </c>
    </row>
    <row r="2441" spans="1:6" ht="58" x14ac:dyDescent="0.35">
      <c r="A2441" s="26" t="s">
        <v>216</v>
      </c>
      <c r="B2441" s="26" t="s">
        <v>5098</v>
      </c>
      <c r="C2441" s="26" t="s">
        <v>25</v>
      </c>
      <c r="D2441" s="28" t="s">
        <v>5099</v>
      </c>
      <c r="E2441" s="26">
        <v>0</v>
      </c>
      <c r="F2441" s="29" t="s">
        <v>226</v>
      </c>
    </row>
    <row r="2442" spans="1:6" ht="43.5" x14ac:dyDescent="0.35">
      <c r="A2442" s="26" t="s">
        <v>216</v>
      </c>
      <c r="B2442" s="26" t="s">
        <v>5100</v>
      </c>
      <c r="C2442" s="26" t="s">
        <v>27</v>
      </c>
      <c r="D2442" s="28" t="s">
        <v>5101</v>
      </c>
      <c r="E2442" s="26">
        <v>0</v>
      </c>
      <c r="F2442" s="29" t="s">
        <v>229</v>
      </c>
    </row>
    <row r="2443" spans="1:6" ht="29" x14ac:dyDescent="0.35">
      <c r="A2443" s="26" t="s">
        <v>216</v>
      </c>
      <c r="B2443" s="26" t="s">
        <v>5102</v>
      </c>
      <c r="C2443" s="26" t="s">
        <v>24</v>
      </c>
      <c r="D2443" s="28" t="s">
        <v>5103</v>
      </c>
      <c r="E2443" s="26">
        <v>0</v>
      </c>
      <c r="F2443" s="29" t="s">
        <v>232</v>
      </c>
    </row>
    <row r="2444" spans="1:6" ht="43.5" x14ac:dyDescent="0.35">
      <c r="A2444" s="26" t="s">
        <v>216</v>
      </c>
      <c r="B2444" s="26" t="s">
        <v>5104</v>
      </c>
      <c r="C2444" s="26" t="s">
        <v>15</v>
      </c>
      <c r="D2444" s="28" t="s">
        <v>218</v>
      </c>
      <c r="E2444" s="26" t="s">
        <v>5105</v>
      </c>
      <c r="F2444" s="29" t="s">
        <v>220</v>
      </c>
    </row>
    <row r="2445" spans="1:6" ht="29" x14ac:dyDescent="0.35">
      <c r="A2445" s="26" t="s">
        <v>216</v>
      </c>
      <c r="B2445" s="26" t="s">
        <v>5106</v>
      </c>
      <c r="C2445" s="26" t="s">
        <v>17</v>
      </c>
      <c r="D2445" s="28" t="s">
        <v>5107</v>
      </c>
      <c r="E2445" s="26">
        <v>13436</v>
      </c>
      <c r="F2445" s="29" t="s">
        <v>247</v>
      </c>
    </row>
    <row r="2446" spans="1:6" ht="29" x14ac:dyDescent="0.35">
      <c r="A2446" s="26" t="s">
        <v>216</v>
      </c>
      <c r="B2446" s="26" t="s">
        <v>5108</v>
      </c>
      <c r="C2446" s="26" t="s">
        <v>20</v>
      </c>
      <c r="D2446" s="28" t="s">
        <v>5109</v>
      </c>
      <c r="E2446" s="26">
        <v>13436</v>
      </c>
      <c r="F2446" s="29" t="s">
        <v>223</v>
      </c>
    </row>
    <row r="2447" spans="1:6" ht="58" x14ac:dyDescent="0.35">
      <c r="A2447" s="26" t="s">
        <v>216</v>
      </c>
      <c r="B2447" s="26" t="s">
        <v>5110</v>
      </c>
      <c r="C2447" s="26" t="s">
        <v>25</v>
      </c>
      <c r="D2447" s="28" t="s">
        <v>5111</v>
      </c>
      <c r="E2447" s="26">
        <v>0</v>
      </c>
      <c r="F2447" s="29" t="s">
        <v>226</v>
      </c>
    </row>
    <row r="2448" spans="1:6" ht="43.5" x14ac:dyDescent="0.35">
      <c r="A2448" s="26" t="s">
        <v>216</v>
      </c>
      <c r="B2448" s="26" t="s">
        <v>5112</v>
      </c>
      <c r="C2448" s="26" t="s">
        <v>27</v>
      </c>
      <c r="D2448" s="28" t="s">
        <v>5113</v>
      </c>
      <c r="E2448" s="26">
        <v>0</v>
      </c>
      <c r="F2448" s="29" t="s">
        <v>229</v>
      </c>
    </row>
    <row r="2449" spans="1:6" ht="29" x14ac:dyDescent="0.35">
      <c r="A2449" s="26" t="s">
        <v>216</v>
      </c>
      <c r="B2449" s="26" t="s">
        <v>5114</v>
      </c>
      <c r="C2449" s="26" t="s">
        <v>24</v>
      </c>
      <c r="D2449" s="28" t="s">
        <v>5115</v>
      </c>
      <c r="E2449" s="26">
        <v>0</v>
      </c>
      <c r="F2449" s="29" t="s">
        <v>232</v>
      </c>
    </row>
    <row r="2450" spans="1:6" ht="43.5" x14ac:dyDescent="0.35">
      <c r="A2450" s="26" t="s">
        <v>216</v>
      </c>
      <c r="B2450" s="26" t="s">
        <v>5116</v>
      </c>
      <c r="C2450" s="26" t="s">
        <v>15</v>
      </c>
      <c r="D2450" s="28" t="s">
        <v>218</v>
      </c>
      <c r="E2450" s="26" t="s">
        <v>5117</v>
      </c>
      <c r="F2450" s="29" t="s">
        <v>220</v>
      </c>
    </row>
    <row r="2451" spans="1:6" ht="29" x14ac:dyDescent="0.35">
      <c r="A2451" s="26" t="s">
        <v>216</v>
      </c>
      <c r="B2451" s="26" t="s">
        <v>5118</v>
      </c>
      <c r="C2451" s="26" t="s">
        <v>17</v>
      </c>
      <c r="D2451" s="28" t="s">
        <v>5119</v>
      </c>
      <c r="E2451" s="26">
        <v>13436</v>
      </c>
      <c r="F2451" s="29" t="s">
        <v>247</v>
      </c>
    </row>
    <row r="2452" spans="1:6" ht="29" x14ac:dyDescent="0.35">
      <c r="A2452" s="26" t="s">
        <v>216</v>
      </c>
      <c r="B2452" s="26" t="s">
        <v>5120</v>
      </c>
      <c r="C2452" s="26" t="s">
        <v>20</v>
      </c>
      <c r="D2452" s="28" t="s">
        <v>5121</v>
      </c>
      <c r="E2452" s="26">
        <v>13436</v>
      </c>
      <c r="F2452" s="29" t="s">
        <v>223</v>
      </c>
    </row>
    <row r="2453" spans="1:6" ht="58" x14ac:dyDescent="0.35">
      <c r="A2453" s="26" t="s">
        <v>216</v>
      </c>
      <c r="B2453" s="26" t="s">
        <v>5122</v>
      </c>
      <c r="C2453" s="26" t="s">
        <v>25</v>
      </c>
      <c r="D2453" s="28" t="s">
        <v>5123</v>
      </c>
      <c r="E2453" s="26">
        <v>0</v>
      </c>
      <c r="F2453" s="29" t="s">
        <v>226</v>
      </c>
    </row>
    <row r="2454" spans="1:6" ht="43.5" x14ac:dyDescent="0.35">
      <c r="A2454" s="26" t="s">
        <v>216</v>
      </c>
      <c r="B2454" s="26" t="s">
        <v>5124</v>
      </c>
      <c r="C2454" s="26" t="s">
        <v>27</v>
      </c>
      <c r="D2454" s="28" t="s">
        <v>5125</v>
      </c>
      <c r="E2454" s="26">
        <v>0</v>
      </c>
      <c r="F2454" s="29" t="s">
        <v>229</v>
      </c>
    </row>
    <row r="2455" spans="1:6" ht="29" x14ac:dyDescent="0.35">
      <c r="A2455" s="26" t="s">
        <v>216</v>
      </c>
      <c r="B2455" s="26" t="s">
        <v>5126</v>
      </c>
      <c r="C2455" s="26" t="s">
        <v>24</v>
      </c>
      <c r="D2455" s="28" t="s">
        <v>5127</v>
      </c>
      <c r="E2455" s="26">
        <v>0</v>
      </c>
      <c r="F2455" s="29" t="s">
        <v>232</v>
      </c>
    </row>
    <row r="2456" spans="1:6" ht="43.5" x14ac:dyDescent="0.35">
      <c r="A2456" s="26" t="s">
        <v>216</v>
      </c>
      <c r="B2456" s="26" t="s">
        <v>5128</v>
      </c>
      <c r="C2456" s="26" t="s">
        <v>15</v>
      </c>
      <c r="D2456" s="28" t="s">
        <v>218</v>
      </c>
      <c r="E2456" s="26" t="s">
        <v>5129</v>
      </c>
      <c r="F2456" s="29" t="s">
        <v>220</v>
      </c>
    </row>
    <row r="2457" spans="1:6" ht="29" x14ac:dyDescent="0.35">
      <c r="A2457" s="26" t="s">
        <v>216</v>
      </c>
      <c r="B2457" s="26" t="s">
        <v>5130</v>
      </c>
      <c r="C2457" s="26" t="s">
        <v>17</v>
      </c>
      <c r="D2457" s="28" t="s">
        <v>5131</v>
      </c>
      <c r="E2457" s="26">
        <v>13436</v>
      </c>
      <c r="F2457" s="29" t="s">
        <v>247</v>
      </c>
    </row>
    <row r="2458" spans="1:6" ht="29" x14ac:dyDescent="0.35">
      <c r="A2458" s="26" t="s">
        <v>216</v>
      </c>
      <c r="B2458" s="26" t="s">
        <v>5132</v>
      </c>
      <c r="C2458" s="26" t="s">
        <v>20</v>
      </c>
      <c r="D2458" s="28" t="s">
        <v>5133</v>
      </c>
      <c r="E2458" s="26">
        <v>13436</v>
      </c>
      <c r="F2458" s="29" t="s">
        <v>223</v>
      </c>
    </row>
    <row r="2459" spans="1:6" ht="58" x14ac:dyDescent="0.35">
      <c r="A2459" s="26" t="s">
        <v>216</v>
      </c>
      <c r="B2459" s="26" t="s">
        <v>5134</v>
      </c>
      <c r="C2459" s="26" t="s">
        <v>25</v>
      </c>
      <c r="D2459" s="28" t="s">
        <v>5135</v>
      </c>
      <c r="E2459" s="26">
        <v>0</v>
      </c>
      <c r="F2459" s="29" t="s">
        <v>226</v>
      </c>
    </row>
    <row r="2460" spans="1:6" ht="43.5" x14ac:dyDescent="0.35">
      <c r="A2460" s="26" t="s">
        <v>216</v>
      </c>
      <c r="B2460" s="26" t="s">
        <v>5136</v>
      </c>
      <c r="C2460" s="26" t="s">
        <v>27</v>
      </c>
      <c r="D2460" s="28" t="s">
        <v>5137</v>
      </c>
      <c r="E2460" s="26">
        <v>0</v>
      </c>
      <c r="F2460" s="29" t="s">
        <v>229</v>
      </c>
    </row>
    <row r="2461" spans="1:6" ht="29" x14ac:dyDescent="0.35">
      <c r="A2461" s="26" t="s">
        <v>216</v>
      </c>
      <c r="B2461" s="26" t="s">
        <v>5138</v>
      </c>
      <c r="C2461" s="26" t="s">
        <v>24</v>
      </c>
      <c r="D2461" s="28" t="s">
        <v>5139</v>
      </c>
      <c r="E2461" s="26">
        <v>0</v>
      </c>
      <c r="F2461" s="29" t="s">
        <v>232</v>
      </c>
    </row>
    <row r="2462" spans="1:6" ht="43.5" x14ac:dyDescent="0.35">
      <c r="A2462" s="26" t="s">
        <v>216</v>
      </c>
      <c r="B2462" s="26" t="s">
        <v>5140</v>
      </c>
      <c r="C2462" s="26" t="s">
        <v>15</v>
      </c>
      <c r="D2462" s="28" t="s">
        <v>218</v>
      </c>
      <c r="E2462" s="26" t="s">
        <v>5141</v>
      </c>
      <c r="F2462" s="29" t="s">
        <v>220</v>
      </c>
    </row>
    <row r="2463" spans="1:6" ht="29" x14ac:dyDescent="0.35">
      <c r="A2463" s="26" t="s">
        <v>216</v>
      </c>
      <c r="B2463" s="26" t="s">
        <v>5142</v>
      </c>
      <c r="C2463" s="26" t="s">
        <v>17</v>
      </c>
      <c r="D2463" s="28" t="s">
        <v>5143</v>
      </c>
      <c r="E2463" s="26">
        <v>13436</v>
      </c>
      <c r="F2463" s="29" t="s">
        <v>247</v>
      </c>
    </row>
    <row r="2464" spans="1:6" ht="29" x14ac:dyDescent="0.35">
      <c r="A2464" s="26" t="s">
        <v>216</v>
      </c>
      <c r="B2464" s="26" t="s">
        <v>5144</v>
      </c>
      <c r="C2464" s="26" t="s">
        <v>20</v>
      </c>
      <c r="D2464" s="28" t="s">
        <v>5145</v>
      </c>
      <c r="E2464" s="26">
        <v>13436</v>
      </c>
      <c r="F2464" s="29" t="s">
        <v>223</v>
      </c>
    </row>
    <row r="2465" spans="1:6" ht="58" x14ac:dyDescent="0.35">
      <c r="A2465" s="26" t="s">
        <v>216</v>
      </c>
      <c r="B2465" s="26" t="s">
        <v>5146</v>
      </c>
      <c r="C2465" s="26" t="s">
        <v>25</v>
      </c>
      <c r="D2465" s="28" t="s">
        <v>5147</v>
      </c>
      <c r="E2465" s="26">
        <v>0</v>
      </c>
      <c r="F2465" s="29" t="s">
        <v>226</v>
      </c>
    </row>
    <row r="2466" spans="1:6" ht="43.5" x14ac:dyDescent="0.35">
      <c r="A2466" s="26" t="s">
        <v>216</v>
      </c>
      <c r="B2466" s="26" t="s">
        <v>5148</v>
      </c>
      <c r="C2466" s="26" t="s">
        <v>27</v>
      </c>
      <c r="D2466" s="28" t="s">
        <v>5149</v>
      </c>
      <c r="E2466" s="26">
        <v>0</v>
      </c>
      <c r="F2466" s="29" t="s">
        <v>229</v>
      </c>
    </row>
    <row r="2467" spans="1:6" ht="29" x14ac:dyDescent="0.35">
      <c r="A2467" s="26" t="s">
        <v>216</v>
      </c>
      <c r="B2467" s="26" t="s">
        <v>5150</v>
      </c>
      <c r="C2467" s="26" t="s">
        <v>24</v>
      </c>
      <c r="D2467" s="28" t="s">
        <v>5151</v>
      </c>
      <c r="E2467" s="26">
        <v>0</v>
      </c>
      <c r="F2467" s="29" t="s">
        <v>232</v>
      </c>
    </row>
    <row r="2468" spans="1:6" ht="43.5" x14ac:dyDescent="0.35">
      <c r="A2468" s="26" t="s">
        <v>216</v>
      </c>
      <c r="B2468" s="26" t="s">
        <v>5152</v>
      </c>
      <c r="C2468" s="26" t="s">
        <v>15</v>
      </c>
      <c r="D2468" s="28" t="s">
        <v>218</v>
      </c>
      <c r="E2468" s="26" t="s">
        <v>5153</v>
      </c>
      <c r="F2468" s="29" t="s">
        <v>220</v>
      </c>
    </row>
    <row r="2469" spans="1:6" ht="29" x14ac:dyDescent="0.35">
      <c r="A2469" s="26" t="s">
        <v>216</v>
      </c>
      <c r="B2469" s="26" t="s">
        <v>5154</v>
      </c>
      <c r="C2469" s="26" t="s">
        <v>17</v>
      </c>
      <c r="D2469" s="28" t="s">
        <v>5155</v>
      </c>
      <c r="E2469" s="26">
        <v>13436</v>
      </c>
      <c r="F2469" s="29" t="s">
        <v>247</v>
      </c>
    </row>
    <row r="2470" spans="1:6" ht="29" x14ac:dyDescent="0.35">
      <c r="A2470" s="26" t="s">
        <v>216</v>
      </c>
      <c r="B2470" s="26" t="s">
        <v>5156</v>
      </c>
      <c r="C2470" s="26" t="s">
        <v>20</v>
      </c>
      <c r="D2470" s="28" t="s">
        <v>5157</v>
      </c>
      <c r="E2470" s="26">
        <v>13436</v>
      </c>
      <c r="F2470" s="29" t="s">
        <v>223</v>
      </c>
    </row>
    <row r="2471" spans="1:6" ht="58" x14ac:dyDescent="0.35">
      <c r="A2471" s="26" t="s">
        <v>216</v>
      </c>
      <c r="B2471" s="26" t="s">
        <v>5158</v>
      </c>
      <c r="C2471" s="26" t="s">
        <v>25</v>
      </c>
      <c r="D2471" s="28" t="s">
        <v>5159</v>
      </c>
      <c r="E2471" s="26">
        <v>0</v>
      </c>
      <c r="F2471" s="29" t="s">
        <v>226</v>
      </c>
    </row>
    <row r="2472" spans="1:6" ht="43.5" x14ac:dyDescent="0.35">
      <c r="A2472" s="26" t="s">
        <v>216</v>
      </c>
      <c r="B2472" s="26" t="s">
        <v>5160</v>
      </c>
      <c r="C2472" s="26" t="s">
        <v>27</v>
      </c>
      <c r="D2472" s="28" t="s">
        <v>5161</v>
      </c>
      <c r="E2472" s="26">
        <v>0</v>
      </c>
      <c r="F2472" s="29" t="s">
        <v>229</v>
      </c>
    </row>
    <row r="2473" spans="1:6" ht="29" x14ac:dyDescent="0.35">
      <c r="A2473" s="26" t="s">
        <v>216</v>
      </c>
      <c r="B2473" s="26" t="s">
        <v>5162</v>
      </c>
      <c r="C2473" s="26" t="s">
        <v>24</v>
      </c>
      <c r="D2473" s="28" t="s">
        <v>5163</v>
      </c>
      <c r="E2473" s="26">
        <v>0</v>
      </c>
      <c r="F2473" s="29" t="s">
        <v>232</v>
      </c>
    </row>
    <row r="2474" spans="1:6" ht="43.5" x14ac:dyDescent="0.35">
      <c r="A2474" s="26" t="s">
        <v>216</v>
      </c>
      <c r="B2474" s="26" t="s">
        <v>5164</v>
      </c>
      <c r="C2474" s="26" t="s">
        <v>15</v>
      </c>
      <c r="D2474" s="28" t="s">
        <v>218</v>
      </c>
      <c r="E2474" s="26" t="s">
        <v>5165</v>
      </c>
      <c r="F2474" s="29" t="s">
        <v>220</v>
      </c>
    </row>
    <row r="2475" spans="1:6" ht="29" x14ac:dyDescent="0.35">
      <c r="A2475" s="26" t="s">
        <v>216</v>
      </c>
      <c r="B2475" s="26" t="s">
        <v>5166</v>
      </c>
      <c r="C2475" s="26" t="s">
        <v>17</v>
      </c>
      <c r="D2475" s="28" t="s">
        <v>5167</v>
      </c>
      <c r="E2475" s="26">
        <v>13436</v>
      </c>
      <c r="F2475" s="29" t="s">
        <v>247</v>
      </c>
    </row>
    <row r="2476" spans="1:6" ht="29" x14ac:dyDescent="0.35">
      <c r="A2476" s="26" t="s">
        <v>216</v>
      </c>
      <c r="B2476" s="26" t="s">
        <v>5168</v>
      </c>
      <c r="C2476" s="26" t="s">
        <v>20</v>
      </c>
      <c r="D2476" s="28" t="s">
        <v>5169</v>
      </c>
      <c r="E2476" s="26">
        <v>13436</v>
      </c>
      <c r="F2476" s="29" t="s">
        <v>223</v>
      </c>
    </row>
    <row r="2477" spans="1:6" ht="58" x14ac:dyDescent="0.35">
      <c r="A2477" s="26" t="s">
        <v>216</v>
      </c>
      <c r="B2477" s="26" t="s">
        <v>5170</v>
      </c>
      <c r="C2477" s="26" t="s">
        <v>25</v>
      </c>
      <c r="D2477" s="28" t="s">
        <v>5171</v>
      </c>
      <c r="E2477" s="26">
        <v>0</v>
      </c>
      <c r="F2477" s="29" t="s">
        <v>226</v>
      </c>
    </row>
    <row r="2478" spans="1:6" ht="43.5" x14ac:dyDescent="0.35">
      <c r="A2478" s="26" t="s">
        <v>216</v>
      </c>
      <c r="B2478" s="26" t="s">
        <v>5172</v>
      </c>
      <c r="C2478" s="26" t="s">
        <v>27</v>
      </c>
      <c r="D2478" s="28" t="s">
        <v>5173</v>
      </c>
      <c r="E2478" s="26">
        <v>0</v>
      </c>
      <c r="F2478" s="29" t="s">
        <v>229</v>
      </c>
    </row>
    <row r="2479" spans="1:6" ht="29" x14ac:dyDescent="0.35">
      <c r="A2479" s="26" t="s">
        <v>216</v>
      </c>
      <c r="B2479" s="26" t="s">
        <v>5174</v>
      </c>
      <c r="C2479" s="26" t="s">
        <v>24</v>
      </c>
      <c r="D2479" s="28" t="s">
        <v>5175</v>
      </c>
      <c r="E2479" s="26">
        <v>0</v>
      </c>
      <c r="F2479" s="29" t="s">
        <v>232</v>
      </c>
    </row>
    <row r="2480" spans="1:6" ht="43.5" x14ac:dyDescent="0.35">
      <c r="A2480" s="26" t="s">
        <v>216</v>
      </c>
      <c r="B2480" s="26" t="s">
        <v>5176</v>
      </c>
      <c r="C2480" s="26" t="s">
        <v>15</v>
      </c>
      <c r="D2480" s="28" t="s">
        <v>218</v>
      </c>
      <c r="E2480" s="26" t="s">
        <v>5177</v>
      </c>
      <c r="F2480" s="29" t="s">
        <v>220</v>
      </c>
    </row>
    <row r="2481" spans="1:6" ht="29" x14ac:dyDescent="0.35">
      <c r="A2481" s="26" t="s">
        <v>216</v>
      </c>
      <c r="B2481" s="26" t="s">
        <v>5178</v>
      </c>
      <c r="C2481" s="26" t="s">
        <v>17</v>
      </c>
      <c r="D2481" s="28" t="s">
        <v>5179</v>
      </c>
      <c r="E2481" s="26">
        <v>13436</v>
      </c>
      <c r="F2481" s="29" t="s">
        <v>247</v>
      </c>
    </row>
    <row r="2482" spans="1:6" ht="29" x14ac:dyDescent="0.35">
      <c r="A2482" s="26" t="s">
        <v>216</v>
      </c>
      <c r="B2482" s="26" t="s">
        <v>5180</v>
      </c>
      <c r="C2482" s="26" t="s">
        <v>20</v>
      </c>
      <c r="D2482" s="28" t="s">
        <v>5181</v>
      </c>
      <c r="E2482" s="26">
        <v>13436</v>
      </c>
      <c r="F2482" s="29" t="s">
        <v>223</v>
      </c>
    </row>
    <row r="2483" spans="1:6" ht="58" x14ac:dyDescent="0.35">
      <c r="A2483" s="26" t="s">
        <v>216</v>
      </c>
      <c r="B2483" s="26" t="s">
        <v>5182</v>
      </c>
      <c r="C2483" s="26" t="s">
        <v>25</v>
      </c>
      <c r="D2483" s="28" t="s">
        <v>5183</v>
      </c>
      <c r="E2483" s="26">
        <v>0</v>
      </c>
      <c r="F2483" s="29" t="s">
        <v>226</v>
      </c>
    </row>
    <row r="2484" spans="1:6" ht="43.5" x14ac:dyDescent="0.35">
      <c r="A2484" s="26" t="s">
        <v>216</v>
      </c>
      <c r="B2484" s="26" t="s">
        <v>5184</v>
      </c>
      <c r="C2484" s="26" t="s">
        <v>27</v>
      </c>
      <c r="D2484" s="28" t="s">
        <v>5185</v>
      </c>
      <c r="E2484" s="26">
        <v>0</v>
      </c>
      <c r="F2484" s="29" t="s">
        <v>229</v>
      </c>
    </row>
    <row r="2485" spans="1:6" ht="29" x14ac:dyDescent="0.35">
      <c r="A2485" s="26" t="s">
        <v>216</v>
      </c>
      <c r="B2485" s="26" t="s">
        <v>5186</v>
      </c>
      <c r="C2485" s="26" t="s">
        <v>24</v>
      </c>
      <c r="D2485" s="28" t="s">
        <v>5187</v>
      </c>
      <c r="E2485" s="26">
        <v>0</v>
      </c>
      <c r="F2485" s="29" t="s">
        <v>232</v>
      </c>
    </row>
    <row r="2486" spans="1:6" ht="43.5" x14ac:dyDescent="0.35">
      <c r="A2486" s="26" t="s">
        <v>216</v>
      </c>
      <c r="B2486" s="26" t="s">
        <v>5188</v>
      </c>
      <c r="C2486" s="26" t="s">
        <v>15</v>
      </c>
      <c r="D2486" s="28" t="s">
        <v>218</v>
      </c>
      <c r="E2486" s="26" t="s">
        <v>5189</v>
      </c>
      <c r="F2486" s="29" t="s">
        <v>220</v>
      </c>
    </row>
    <row r="2487" spans="1:6" ht="29" x14ac:dyDescent="0.35">
      <c r="A2487" s="26" t="s">
        <v>216</v>
      </c>
      <c r="B2487" s="26" t="s">
        <v>5190</v>
      </c>
      <c r="C2487" s="26" t="s">
        <v>17</v>
      </c>
      <c r="D2487" s="28" t="s">
        <v>5191</v>
      </c>
      <c r="E2487" s="26">
        <v>13436</v>
      </c>
      <c r="F2487" s="29" t="s">
        <v>247</v>
      </c>
    </row>
    <row r="2488" spans="1:6" ht="29" x14ac:dyDescent="0.35">
      <c r="A2488" s="26" t="s">
        <v>216</v>
      </c>
      <c r="B2488" s="26" t="s">
        <v>5192</v>
      </c>
      <c r="C2488" s="26" t="s">
        <v>20</v>
      </c>
      <c r="D2488" s="28" t="s">
        <v>5193</v>
      </c>
      <c r="E2488" s="26">
        <v>13436</v>
      </c>
      <c r="F2488" s="29" t="s">
        <v>223</v>
      </c>
    </row>
    <row r="2489" spans="1:6" ht="58" x14ac:dyDescent="0.35">
      <c r="A2489" s="26" t="s">
        <v>216</v>
      </c>
      <c r="B2489" s="26" t="s">
        <v>5194</v>
      </c>
      <c r="C2489" s="26" t="s">
        <v>25</v>
      </c>
      <c r="D2489" s="28" t="s">
        <v>5195</v>
      </c>
      <c r="E2489" s="26">
        <v>0</v>
      </c>
      <c r="F2489" s="29" t="s">
        <v>226</v>
      </c>
    </row>
    <row r="2490" spans="1:6" ht="43.5" x14ac:dyDescent="0.35">
      <c r="A2490" s="26" t="s">
        <v>216</v>
      </c>
      <c r="B2490" s="26" t="s">
        <v>5196</v>
      </c>
      <c r="C2490" s="26" t="s">
        <v>27</v>
      </c>
      <c r="D2490" s="28" t="s">
        <v>5197</v>
      </c>
      <c r="E2490" s="26">
        <v>0</v>
      </c>
      <c r="F2490" s="29" t="s">
        <v>229</v>
      </c>
    </row>
    <row r="2491" spans="1:6" ht="29" x14ac:dyDescent="0.35">
      <c r="A2491" s="26" t="s">
        <v>216</v>
      </c>
      <c r="B2491" s="26" t="s">
        <v>5198</v>
      </c>
      <c r="C2491" s="26" t="s">
        <v>24</v>
      </c>
      <c r="D2491" s="28" t="s">
        <v>5199</v>
      </c>
      <c r="E2491" s="26">
        <v>0</v>
      </c>
      <c r="F2491" s="29" t="s">
        <v>232</v>
      </c>
    </row>
    <row r="2492" spans="1:6" ht="43.5" x14ac:dyDescent="0.35">
      <c r="A2492" s="26" t="s">
        <v>216</v>
      </c>
      <c r="B2492" s="26" t="s">
        <v>5200</v>
      </c>
      <c r="C2492" s="26" t="s">
        <v>15</v>
      </c>
      <c r="D2492" s="28" t="s">
        <v>218</v>
      </c>
      <c r="E2492" s="26" t="s">
        <v>5201</v>
      </c>
      <c r="F2492" s="29" t="s">
        <v>220</v>
      </c>
    </row>
    <row r="2493" spans="1:6" ht="29" x14ac:dyDescent="0.35">
      <c r="A2493" s="26" t="s">
        <v>216</v>
      </c>
      <c r="B2493" s="26" t="s">
        <v>5202</v>
      </c>
      <c r="C2493" s="26" t="s">
        <v>17</v>
      </c>
      <c r="D2493" s="28" t="s">
        <v>5203</v>
      </c>
      <c r="E2493" s="26">
        <v>13436</v>
      </c>
      <c r="F2493" s="29" t="s">
        <v>247</v>
      </c>
    </row>
    <row r="2494" spans="1:6" ht="29" x14ac:dyDescent="0.35">
      <c r="A2494" s="26" t="s">
        <v>216</v>
      </c>
      <c r="B2494" s="26" t="s">
        <v>5204</v>
      </c>
      <c r="C2494" s="26" t="s">
        <v>20</v>
      </c>
      <c r="D2494" s="28" t="s">
        <v>5205</v>
      </c>
      <c r="E2494" s="26">
        <v>13436</v>
      </c>
      <c r="F2494" s="29" t="s">
        <v>223</v>
      </c>
    </row>
    <row r="2495" spans="1:6" ht="58" x14ac:dyDescent="0.35">
      <c r="A2495" s="26" t="s">
        <v>216</v>
      </c>
      <c r="B2495" s="26" t="s">
        <v>5206</v>
      </c>
      <c r="C2495" s="26" t="s">
        <v>25</v>
      </c>
      <c r="D2495" s="28" t="s">
        <v>5207</v>
      </c>
      <c r="E2495" s="26">
        <v>0</v>
      </c>
      <c r="F2495" s="29" t="s">
        <v>226</v>
      </c>
    </row>
    <row r="2496" spans="1:6" ht="43.5" x14ac:dyDescent="0.35">
      <c r="A2496" s="26" t="s">
        <v>216</v>
      </c>
      <c r="B2496" s="26" t="s">
        <v>5208</v>
      </c>
      <c r="C2496" s="26" t="s">
        <v>27</v>
      </c>
      <c r="D2496" s="28" t="s">
        <v>5209</v>
      </c>
      <c r="E2496" s="26">
        <v>0</v>
      </c>
      <c r="F2496" s="29" t="s">
        <v>229</v>
      </c>
    </row>
    <row r="2497" spans="1:6" ht="29" x14ac:dyDescent="0.35">
      <c r="A2497" s="26" t="s">
        <v>216</v>
      </c>
      <c r="B2497" s="26" t="s">
        <v>5210</v>
      </c>
      <c r="C2497" s="26" t="s">
        <v>24</v>
      </c>
      <c r="D2497" s="28" t="s">
        <v>5211</v>
      </c>
      <c r="E2497" s="26">
        <v>0</v>
      </c>
      <c r="F2497" s="29" t="s">
        <v>232</v>
      </c>
    </row>
    <row r="2498" spans="1:6" ht="43.5" x14ac:dyDescent="0.35">
      <c r="A2498" s="26" t="s">
        <v>216</v>
      </c>
      <c r="B2498" s="26" t="s">
        <v>5212</v>
      </c>
      <c r="C2498" s="26" t="s">
        <v>15</v>
      </c>
      <c r="D2498" s="28" t="s">
        <v>218</v>
      </c>
      <c r="E2498" s="26" t="s">
        <v>5213</v>
      </c>
      <c r="F2498" s="29" t="s">
        <v>220</v>
      </c>
    </row>
    <row r="2499" spans="1:6" ht="29" x14ac:dyDescent="0.35">
      <c r="A2499" s="26" t="s">
        <v>216</v>
      </c>
      <c r="B2499" s="26" t="s">
        <v>5214</v>
      </c>
      <c r="C2499" s="26" t="s">
        <v>17</v>
      </c>
      <c r="D2499" s="28" t="s">
        <v>5215</v>
      </c>
      <c r="E2499" s="26">
        <v>13436</v>
      </c>
      <c r="F2499" s="29" t="s">
        <v>247</v>
      </c>
    </row>
    <row r="2500" spans="1:6" ht="29" x14ac:dyDescent="0.35">
      <c r="A2500" s="26" t="s">
        <v>216</v>
      </c>
      <c r="B2500" s="26" t="s">
        <v>5216</v>
      </c>
      <c r="C2500" s="26" t="s">
        <v>20</v>
      </c>
      <c r="D2500" s="28" t="s">
        <v>5217</v>
      </c>
      <c r="E2500" s="26">
        <v>13436</v>
      </c>
      <c r="F2500" s="29" t="s">
        <v>223</v>
      </c>
    </row>
    <row r="2501" spans="1:6" ht="58" x14ac:dyDescent="0.35">
      <c r="A2501" s="26" t="s">
        <v>216</v>
      </c>
      <c r="B2501" s="26" t="s">
        <v>5218</v>
      </c>
      <c r="C2501" s="26" t="s">
        <v>25</v>
      </c>
      <c r="D2501" s="28" t="s">
        <v>5219</v>
      </c>
      <c r="E2501" s="26">
        <v>0</v>
      </c>
      <c r="F2501" s="29" t="s">
        <v>226</v>
      </c>
    </row>
    <row r="2502" spans="1:6" ht="43.5" x14ac:dyDescent="0.35">
      <c r="A2502" s="26" t="s">
        <v>216</v>
      </c>
      <c r="B2502" s="26" t="s">
        <v>5220</v>
      </c>
      <c r="C2502" s="26" t="s">
        <v>27</v>
      </c>
      <c r="D2502" s="28" t="s">
        <v>5221</v>
      </c>
      <c r="E2502" s="26">
        <v>0</v>
      </c>
      <c r="F2502" s="29" t="s">
        <v>229</v>
      </c>
    </row>
    <row r="2503" spans="1:6" ht="29" x14ac:dyDescent="0.35">
      <c r="A2503" s="26" t="s">
        <v>216</v>
      </c>
      <c r="B2503" s="26" t="s">
        <v>5222</v>
      </c>
      <c r="C2503" s="26" t="s">
        <v>24</v>
      </c>
      <c r="D2503" s="28" t="s">
        <v>5223</v>
      </c>
      <c r="E2503" s="26">
        <v>0</v>
      </c>
      <c r="F2503" s="29" t="s">
        <v>232</v>
      </c>
    </row>
    <row r="2504" spans="1:6" ht="43.5" x14ac:dyDescent="0.35">
      <c r="A2504" s="26" t="s">
        <v>216</v>
      </c>
      <c r="B2504" s="26" t="s">
        <v>5224</v>
      </c>
      <c r="C2504" s="26" t="s">
        <v>15</v>
      </c>
      <c r="D2504" s="28" t="s">
        <v>218</v>
      </c>
      <c r="E2504" s="26" t="s">
        <v>5225</v>
      </c>
      <c r="F2504" s="29" t="s">
        <v>220</v>
      </c>
    </row>
    <row r="2505" spans="1:6" ht="29" x14ac:dyDescent="0.35">
      <c r="A2505" s="26" t="s">
        <v>216</v>
      </c>
      <c r="B2505" s="26" t="s">
        <v>5226</v>
      </c>
      <c r="C2505" s="26" t="s">
        <v>17</v>
      </c>
      <c r="D2505" s="28" t="s">
        <v>5227</v>
      </c>
      <c r="E2505" s="26">
        <v>13436</v>
      </c>
      <c r="F2505" s="29" t="s">
        <v>247</v>
      </c>
    </row>
    <row r="2506" spans="1:6" ht="29" x14ac:dyDescent="0.35">
      <c r="A2506" s="26" t="s">
        <v>216</v>
      </c>
      <c r="B2506" s="26" t="s">
        <v>5228</v>
      </c>
      <c r="C2506" s="26" t="s">
        <v>20</v>
      </c>
      <c r="D2506" s="28" t="s">
        <v>5229</v>
      </c>
      <c r="E2506" s="26">
        <v>13436</v>
      </c>
      <c r="F2506" s="29" t="s">
        <v>223</v>
      </c>
    </row>
    <row r="2507" spans="1:6" ht="58" x14ac:dyDescent="0.35">
      <c r="A2507" s="26" t="s">
        <v>216</v>
      </c>
      <c r="B2507" s="26" t="s">
        <v>5230</v>
      </c>
      <c r="C2507" s="26" t="s">
        <v>25</v>
      </c>
      <c r="D2507" s="28" t="s">
        <v>5231</v>
      </c>
      <c r="E2507" s="26">
        <v>0</v>
      </c>
      <c r="F2507" s="29" t="s">
        <v>226</v>
      </c>
    </row>
    <row r="2508" spans="1:6" ht="43.5" x14ac:dyDescent="0.35">
      <c r="A2508" s="26" t="s">
        <v>216</v>
      </c>
      <c r="B2508" s="26" t="s">
        <v>5232</v>
      </c>
      <c r="C2508" s="26" t="s">
        <v>27</v>
      </c>
      <c r="D2508" s="28" t="s">
        <v>5233</v>
      </c>
      <c r="E2508" s="26">
        <v>0</v>
      </c>
      <c r="F2508" s="29" t="s">
        <v>229</v>
      </c>
    </row>
    <row r="2509" spans="1:6" ht="29" x14ac:dyDescent="0.35">
      <c r="A2509" s="26" t="s">
        <v>216</v>
      </c>
      <c r="B2509" s="26" t="s">
        <v>5234</v>
      </c>
      <c r="C2509" s="26" t="s">
        <v>24</v>
      </c>
      <c r="D2509" s="28" t="s">
        <v>5235</v>
      </c>
      <c r="E2509" s="26">
        <v>0</v>
      </c>
      <c r="F2509" s="29" t="s">
        <v>232</v>
      </c>
    </row>
    <row r="2510" spans="1:6" ht="43.5" x14ac:dyDescent="0.35">
      <c r="A2510" s="26" t="s">
        <v>216</v>
      </c>
      <c r="B2510" s="26" t="s">
        <v>5236</v>
      </c>
      <c r="C2510" s="26" t="s">
        <v>15</v>
      </c>
      <c r="D2510" s="28" t="s">
        <v>218</v>
      </c>
      <c r="E2510" s="26" t="s">
        <v>5237</v>
      </c>
      <c r="F2510" s="29" t="s">
        <v>220</v>
      </c>
    </row>
    <row r="2511" spans="1:6" ht="29" x14ac:dyDescent="0.35">
      <c r="A2511" s="26" t="s">
        <v>216</v>
      </c>
      <c r="B2511" s="26" t="s">
        <v>5238</v>
      </c>
      <c r="C2511" s="26" t="s">
        <v>17</v>
      </c>
      <c r="D2511" s="28" t="s">
        <v>5239</v>
      </c>
      <c r="E2511" s="26">
        <v>13436</v>
      </c>
      <c r="F2511" s="29" t="s">
        <v>247</v>
      </c>
    </row>
    <row r="2512" spans="1:6" ht="29" x14ac:dyDescent="0.35">
      <c r="A2512" s="26" t="s">
        <v>216</v>
      </c>
      <c r="B2512" s="26" t="s">
        <v>5240</v>
      </c>
      <c r="C2512" s="26" t="s">
        <v>20</v>
      </c>
      <c r="D2512" s="28" t="s">
        <v>5241</v>
      </c>
      <c r="E2512" s="26">
        <v>13436</v>
      </c>
      <c r="F2512" s="29" t="s">
        <v>223</v>
      </c>
    </row>
    <row r="2513" spans="1:6" ht="58" x14ac:dyDescent="0.35">
      <c r="A2513" s="26" t="s">
        <v>216</v>
      </c>
      <c r="B2513" s="26" t="s">
        <v>5242</v>
      </c>
      <c r="C2513" s="26" t="s">
        <v>25</v>
      </c>
      <c r="D2513" s="28" t="s">
        <v>5243</v>
      </c>
      <c r="E2513" s="26">
        <v>0</v>
      </c>
      <c r="F2513" s="29" t="s">
        <v>226</v>
      </c>
    </row>
    <row r="2514" spans="1:6" ht="43.5" x14ac:dyDescent="0.35">
      <c r="A2514" s="26" t="s">
        <v>216</v>
      </c>
      <c r="B2514" s="26" t="s">
        <v>5244</v>
      </c>
      <c r="C2514" s="26" t="s">
        <v>27</v>
      </c>
      <c r="D2514" s="28" t="s">
        <v>5245</v>
      </c>
      <c r="E2514" s="26">
        <v>0</v>
      </c>
      <c r="F2514" s="29" t="s">
        <v>229</v>
      </c>
    </row>
    <row r="2515" spans="1:6" ht="29" x14ac:dyDescent="0.35">
      <c r="A2515" s="26" t="s">
        <v>216</v>
      </c>
      <c r="B2515" s="26" t="s">
        <v>5246</v>
      </c>
      <c r="C2515" s="26" t="s">
        <v>24</v>
      </c>
      <c r="D2515" s="28" t="s">
        <v>5247</v>
      </c>
      <c r="E2515" s="26">
        <v>0</v>
      </c>
      <c r="F2515" s="29" t="s">
        <v>232</v>
      </c>
    </row>
    <row r="2516" spans="1:6" ht="43.5" x14ac:dyDescent="0.35">
      <c r="A2516" s="26" t="s">
        <v>216</v>
      </c>
      <c r="B2516" s="26" t="s">
        <v>5248</v>
      </c>
      <c r="C2516" s="26" t="s">
        <v>15</v>
      </c>
      <c r="D2516" s="28" t="s">
        <v>218</v>
      </c>
      <c r="E2516" s="26" t="s">
        <v>5249</v>
      </c>
      <c r="F2516" s="29" t="s">
        <v>220</v>
      </c>
    </row>
    <row r="2517" spans="1:6" ht="29" x14ac:dyDescent="0.35">
      <c r="A2517" s="26" t="s">
        <v>216</v>
      </c>
      <c r="B2517" s="26" t="s">
        <v>5250</v>
      </c>
      <c r="C2517" s="26" t="s">
        <v>17</v>
      </c>
      <c r="D2517" s="28" t="s">
        <v>5251</v>
      </c>
      <c r="E2517" s="26">
        <v>13436</v>
      </c>
      <c r="F2517" s="29" t="s">
        <v>247</v>
      </c>
    </row>
    <row r="2518" spans="1:6" ht="29" x14ac:dyDescent="0.35">
      <c r="A2518" s="26" t="s">
        <v>216</v>
      </c>
      <c r="B2518" s="26" t="s">
        <v>5252</v>
      </c>
      <c r="C2518" s="26" t="s">
        <v>20</v>
      </c>
      <c r="D2518" s="28" t="s">
        <v>5253</v>
      </c>
      <c r="E2518" s="26">
        <v>13436</v>
      </c>
      <c r="F2518" s="29" t="s">
        <v>223</v>
      </c>
    </row>
    <row r="2519" spans="1:6" ht="58" x14ac:dyDescent="0.35">
      <c r="A2519" s="26" t="s">
        <v>216</v>
      </c>
      <c r="B2519" s="26" t="s">
        <v>5254</v>
      </c>
      <c r="C2519" s="26" t="s">
        <v>25</v>
      </c>
      <c r="D2519" s="28" t="s">
        <v>5255</v>
      </c>
      <c r="E2519" s="26">
        <v>0</v>
      </c>
      <c r="F2519" s="29" t="s">
        <v>226</v>
      </c>
    </row>
    <row r="2520" spans="1:6" ht="43.5" x14ac:dyDescent="0.35">
      <c r="A2520" s="26" t="s">
        <v>216</v>
      </c>
      <c r="B2520" s="26" t="s">
        <v>5256</v>
      </c>
      <c r="C2520" s="26" t="s">
        <v>27</v>
      </c>
      <c r="D2520" s="28" t="s">
        <v>5257</v>
      </c>
      <c r="E2520" s="26">
        <v>0</v>
      </c>
      <c r="F2520" s="29" t="s">
        <v>229</v>
      </c>
    </row>
    <row r="2521" spans="1:6" ht="29" x14ac:dyDescent="0.35">
      <c r="A2521" s="26" t="s">
        <v>216</v>
      </c>
      <c r="B2521" s="26" t="s">
        <v>5258</v>
      </c>
      <c r="C2521" s="26" t="s">
        <v>24</v>
      </c>
      <c r="D2521" s="28" t="s">
        <v>5259</v>
      </c>
      <c r="E2521" s="26">
        <v>0</v>
      </c>
      <c r="F2521" s="29" t="s">
        <v>232</v>
      </c>
    </row>
    <row r="2522" spans="1:6" ht="43.5" x14ac:dyDescent="0.35">
      <c r="A2522" s="26" t="s">
        <v>216</v>
      </c>
      <c r="B2522" s="26" t="s">
        <v>5260</v>
      </c>
      <c r="C2522" s="26" t="s">
        <v>15</v>
      </c>
      <c r="D2522" s="28" t="s">
        <v>218</v>
      </c>
      <c r="E2522" s="26" t="s">
        <v>5261</v>
      </c>
      <c r="F2522" s="29" t="s">
        <v>220</v>
      </c>
    </row>
    <row r="2523" spans="1:6" ht="29" x14ac:dyDescent="0.35">
      <c r="A2523" s="26" t="s">
        <v>216</v>
      </c>
      <c r="B2523" s="26" t="s">
        <v>5262</v>
      </c>
      <c r="C2523" s="26" t="s">
        <v>17</v>
      </c>
      <c r="D2523" s="28" t="s">
        <v>5263</v>
      </c>
      <c r="E2523" s="26">
        <v>13436</v>
      </c>
      <c r="F2523" s="29" t="s">
        <v>247</v>
      </c>
    </row>
    <row r="2524" spans="1:6" ht="29" x14ac:dyDescent="0.35">
      <c r="A2524" s="26" t="s">
        <v>216</v>
      </c>
      <c r="B2524" s="26" t="s">
        <v>5264</v>
      </c>
      <c r="C2524" s="26" t="s">
        <v>20</v>
      </c>
      <c r="D2524" s="28" t="s">
        <v>5265</v>
      </c>
      <c r="E2524" s="26">
        <v>13436</v>
      </c>
      <c r="F2524" s="29" t="s">
        <v>223</v>
      </c>
    </row>
    <row r="2525" spans="1:6" ht="58" x14ac:dyDescent="0.35">
      <c r="A2525" s="26" t="s">
        <v>216</v>
      </c>
      <c r="B2525" s="26" t="s">
        <v>5266</v>
      </c>
      <c r="C2525" s="26" t="s">
        <v>25</v>
      </c>
      <c r="D2525" s="28" t="s">
        <v>5267</v>
      </c>
      <c r="E2525" s="26">
        <v>0</v>
      </c>
      <c r="F2525" s="29" t="s">
        <v>226</v>
      </c>
    </row>
    <row r="2526" spans="1:6" ht="43.5" x14ac:dyDescent="0.35">
      <c r="A2526" s="26" t="s">
        <v>216</v>
      </c>
      <c r="B2526" s="26" t="s">
        <v>5268</v>
      </c>
      <c r="C2526" s="26" t="s">
        <v>27</v>
      </c>
      <c r="D2526" s="28" t="s">
        <v>5269</v>
      </c>
      <c r="E2526" s="26">
        <v>0</v>
      </c>
      <c r="F2526" s="29" t="s">
        <v>229</v>
      </c>
    </row>
    <row r="2527" spans="1:6" ht="29" x14ac:dyDescent="0.35">
      <c r="A2527" s="26" t="s">
        <v>216</v>
      </c>
      <c r="B2527" s="26" t="s">
        <v>5270</v>
      </c>
      <c r="C2527" s="26" t="s">
        <v>24</v>
      </c>
      <c r="D2527" s="28" t="s">
        <v>5271</v>
      </c>
      <c r="E2527" s="26">
        <v>0</v>
      </c>
      <c r="F2527" s="29" t="s">
        <v>232</v>
      </c>
    </row>
    <row r="2528" spans="1:6" ht="43.5" x14ac:dyDescent="0.35">
      <c r="A2528" s="26" t="s">
        <v>216</v>
      </c>
      <c r="B2528" s="26" t="s">
        <v>5272</v>
      </c>
      <c r="C2528" s="26" t="s">
        <v>15</v>
      </c>
      <c r="D2528" s="28" t="s">
        <v>218</v>
      </c>
      <c r="E2528" s="26" t="s">
        <v>5273</v>
      </c>
      <c r="F2528" s="29" t="s">
        <v>220</v>
      </c>
    </row>
    <row r="2529" spans="1:6" ht="29" x14ac:dyDescent="0.35">
      <c r="A2529" s="26" t="s">
        <v>216</v>
      </c>
      <c r="B2529" s="26" t="s">
        <v>5274</v>
      </c>
      <c r="C2529" s="26" t="s">
        <v>17</v>
      </c>
      <c r="D2529" s="28" t="s">
        <v>5275</v>
      </c>
      <c r="E2529" s="26">
        <v>13436</v>
      </c>
      <c r="F2529" s="29" t="s">
        <v>247</v>
      </c>
    </row>
    <row r="2530" spans="1:6" ht="29" x14ac:dyDescent="0.35">
      <c r="A2530" s="26" t="s">
        <v>216</v>
      </c>
      <c r="B2530" s="26" t="s">
        <v>5276</v>
      </c>
      <c r="C2530" s="26" t="s">
        <v>20</v>
      </c>
      <c r="D2530" s="28" t="s">
        <v>5277</v>
      </c>
      <c r="E2530" s="26">
        <v>13436</v>
      </c>
      <c r="F2530" s="29" t="s">
        <v>223</v>
      </c>
    </row>
    <row r="2531" spans="1:6" ht="58" x14ac:dyDescent="0.35">
      <c r="A2531" s="26" t="s">
        <v>216</v>
      </c>
      <c r="B2531" s="26" t="s">
        <v>5278</v>
      </c>
      <c r="C2531" s="26" t="s">
        <v>25</v>
      </c>
      <c r="D2531" s="28" t="s">
        <v>5279</v>
      </c>
      <c r="E2531" s="26">
        <v>0</v>
      </c>
      <c r="F2531" s="29" t="s">
        <v>226</v>
      </c>
    </row>
    <row r="2532" spans="1:6" ht="43.5" x14ac:dyDescent="0.35">
      <c r="A2532" s="26" t="s">
        <v>216</v>
      </c>
      <c r="B2532" s="26" t="s">
        <v>5280</v>
      </c>
      <c r="C2532" s="26" t="s">
        <v>27</v>
      </c>
      <c r="D2532" s="28" t="s">
        <v>5281</v>
      </c>
      <c r="E2532" s="26">
        <v>0</v>
      </c>
      <c r="F2532" s="29" t="s">
        <v>229</v>
      </c>
    </row>
    <row r="2533" spans="1:6" ht="29" x14ac:dyDescent="0.35">
      <c r="A2533" s="26" t="s">
        <v>216</v>
      </c>
      <c r="B2533" s="26" t="s">
        <v>5282</v>
      </c>
      <c r="C2533" s="26" t="s">
        <v>24</v>
      </c>
      <c r="D2533" s="28" t="s">
        <v>5283</v>
      </c>
      <c r="E2533" s="26">
        <v>0</v>
      </c>
      <c r="F2533" s="29" t="s">
        <v>232</v>
      </c>
    </row>
    <row r="2534" spans="1:6" ht="43.5" x14ac:dyDescent="0.35">
      <c r="A2534" s="26" t="s">
        <v>216</v>
      </c>
      <c r="B2534" s="26" t="s">
        <v>5284</v>
      </c>
      <c r="C2534" s="26" t="s">
        <v>15</v>
      </c>
      <c r="D2534" s="28" t="s">
        <v>218</v>
      </c>
      <c r="E2534" s="26" t="s">
        <v>5285</v>
      </c>
      <c r="F2534" s="29" t="s">
        <v>220</v>
      </c>
    </row>
    <row r="2535" spans="1:6" ht="29" x14ac:dyDescent="0.35">
      <c r="A2535" s="26" t="s">
        <v>216</v>
      </c>
      <c r="B2535" s="26" t="s">
        <v>5286</v>
      </c>
      <c r="C2535" s="26" t="s">
        <v>17</v>
      </c>
      <c r="D2535" s="28" t="s">
        <v>5287</v>
      </c>
      <c r="E2535" s="26">
        <v>13436</v>
      </c>
      <c r="F2535" s="29" t="s">
        <v>247</v>
      </c>
    </row>
    <row r="2536" spans="1:6" ht="29" x14ac:dyDescent="0.35">
      <c r="A2536" s="26" t="s">
        <v>216</v>
      </c>
      <c r="B2536" s="26" t="s">
        <v>5288</v>
      </c>
      <c r="C2536" s="26" t="s">
        <v>20</v>
      </c>
      <c r="D2536" s="28" t="s">
        <v>5289</v>
      </c>
      <c r="E2536" s="26">
        <v>13436</v>
      </c>
      <c r="F2536" s="29" t="s">
        <v>223</v>
      </c>
    </row>
    <row r="2537" spans="1:6" ht="58" x14ac:dyDescent="0.35">
      <c r="A2537" s="26" t="s">
        <v>216</v>
      </c>
      <c r="B2537" s="26" t="s">
        <v>5290</v>
      </c>
      <c r="C2537" s="26" t="s">
        <v>25</v>
      </c>
      <c r="D2537" s="28" t="s">
        <v>5291</v>
      </c>
      <c r="E2537" s="26">
        <v>0</v>
      </c>
      <c r="F2537" s="29" t="s">
        <v>226</v>
      </c>
    </row>
    <row r="2538" spans="1:6" ht="43.5" x14ac:dyDescent="0.35">
      <c r="A2538" s="26" t="s">
        <v>216</v>
      </c>
      <c r="B2538" s="26" t="s">
        <v>5292</v>
      </c>
      <c r="C2538" s="26" t="s">
        <v>27</v>
      </c>
      <c r="D2538" s="28" t="s">
        <v>5293</v>
      </c>
      <c r="E2538" s="26">
        <v>0</v>
      </c>
      <c r="F2538" s="29" t="s">
        <v>229</v>
      </c>
    </row>
    <row r="2539" spans="1:6" ht="29" x14ac:dyDescent="0.35">
      <c r="A2539" s="26" t="s">
        <v>216</v>
      </c>
      <c r="B2539" s="26" t="s">
        <v>5294</v>
      </c>
      <c r="C2539" s="26" t="s">
        <v>24</v>
      </c>
      <c r="D2539" s="28" t="s">
        <v>5295</v>
      </c>
      <c r="E2539" s="26">
        <v>0</v>
      </c>
      <c r="F2539" s="29" t="s">
        <v>232</v>
      </c>
    </row>
    <row r="2540" spans="1:6" ht="43.5" x14ac:dyDescent="0.35">
      <c r="A2540" s="26" t="s">
        <v>216</v>
      </c>
      <c r="B2540" s="26" t="s">
        <v>5296</v>
      </c>
      <c r="C2540" s="26" t="s">
        <v>15</v>
      </c>
      <c r="D2540" s="28" t="s">
        <v>218</v>
      </c>
      <c r="E2540" s="26" t="s">
        <v>5297</v>
      </c>
      <c r="F2540" s="29" t="s">
        <v>220</v>
      </c>
    </row>
    <row r="2541" spans="1:6" ht="29" x14ac:dyDescent="0.35">
      <c r="A2541" s="26" t="s">
        <v>216</v>
      </c>
      <c r="B2541" s="26" t="s">
        <v>5298</v>
      </c>
      <c r="C2541" s="26" t="s">
        <v>17</v>
      </c>
      <c r="D2541" s="28" t="s">
        <v>5299</v>
      </c>
      <c r="E2541" s="26">
        <v>13436</v>
      </c>
      <c r="F2541" s="29" t="s">
        <v>247</v>
      </c>
    </row>
    <row r="2542" spans="1:6" ht="29" x14ac:dyDescent="0.35">
      <c r="A2542" s="26" t="s">
        <v>216</v>
      </c>
      <c r="B2542" s="26" t="s">
        <v>5300</v>
      </c>
      <c r="C2542" s="26" t="s">
        <v>20</v>
      </c>
      <c r="D2542" s="28" t="s">
        <v>5301</v>
      </c>
      <c r="E2542" s="26">
        <v>13436</v>
      </c>
      <c r="F2542" s="29" t="s">
        <v>223</v>
      </c>
    </row>
    <row r="2543" spans="1:6" ht="58" x14ac:dyDescent="0.35">
      <c r="A2543" s="26" t="s">
        <v>216</v>
      </c>
      <c r="B2543" s="26" t="s">
        <v>5302</v>
      </c>
      <c r="C2543" s="26" t="s">
        <v>25</v>
      </c>
      <c r="D2543" s="28" t="s">
        <v>5303</v>
      </c>
      <c r="E2543" s="26">
        <v>0</v>
      </c>
      <c r="F2543" s="29" t="s">
        <v>226</v>
      </c>
    </row>
    <row r="2544" spans="1:6" ht="43.5" x14ac:dyDescent="0.35">
      <c r="A2544" s="26" t="s">
        <v>216</v>
      </c>
      <c r="B2544" s="26" t="s">
        <v>5304</v>
      </c>
      <c r="C2544" s="26" t="s">
        <v>27</v>
      </c>
      <c r="D2544" s="28" t="s">
        <v>5305</v>
      </c>
      <c r="E2544" s="26">
        <v>0</v>
      </c>
      <c r="F2544" s="29" t="s">
        <v>229</v>
      </c>
    </row>
    <row r="2545" spans="1:6" ht="29" x14ac:dyDescent="0.35">
      <c r="A2545" s="26" t="s">
        <v>216</v>
      </c>
      <c r="B2545" s="26" t="s">
        <v>5306</v>
      </c>
      <c r="C2545" s="26" t="s">
        <v>24</v>
      </c>
      <c r="D2545" s="28" t="s">
        <v>5307</v>
      </c>
      <c r="E2545" s="26">
        <v>0</v>
      </c>
      <c r="F2545" s="29" t="s">
        <v>232</v>
      </c>
    </row>
    <row r="2546" spans="1:6" ht="43.5" x14ac:dyDescent="0.35">
      <c r="A2546" s="26" t="s">
        <v>216</v>
      </c>
      <c r="B2546" s="26" t="s">
        <v>5308</v>
      </c>
      <c r="C2546" s="26" t="s">
        <v>15</v>
      </c>
      <c r="D2546" s="28" t="s">
        <v>218</v>
      </c>
      <c r="E2546" s="26" t="s">
        <v>5309</v>
      </c>
      <c r="F2546" s="29" t="s">
        <v>220</v>
      </c>
    </row>
    <row r="2547" spans="1:6" ht="29" x14ac:dyDescent="0.35">
      <c r="A2547" s="26" t="s">
        <v>216</v>
      </c>
      <c r="B2547" s="26" t="s">
        <v>5310</v>
      </c>
      <c r="C2547" s="26" t="s">
        <v>17</v>
      </c>
      <c r="D2547" s="28" t="s">
        <v>5311</v>
      </c>
      <c r="E2547" s="26">
        <v>13436</v>
      </c>
      <c r="F2547" s="29" t="s">
        <v>247</v>
      </c>
    </row>
    <row r="2548" spans="1:6" ht="29" x14ac:dyDescent="0.35">
      <c r="A2548" s="26" t="s">
        <v>216</v>
      </c>
      <c r="B2548" s="26" t="s">
        <v>5312</v>
      </c>
      <c r="C2548" s="26" t="s">
        <v>20</v>
      </c>
      <c r="D2548" s="28" t="s">
        <v>5313</v>
      </c>
      <c r="E2548" s="26">
        <v>13436</v>
      </c>
      <c r="F2548" s="29" t="s">
        <v>223</v>
      </c>
    </row>
    <row r="2549" spans="1:6" ht="58" x14ac:dyDescent="0.35">
      <c r="A2549" s="26" t="s">
        <v>216</v>
      </c>
      <c r="B2549" s="26" t="s">
        <v>5314</v>
      </c>
      <c r="C2549" s="26" t="s">
        <v>25</v>
      </c>
      <c r="D2549" s="28" t="s">
        <v>5315</v>
      </c>
      <c r="E2549" s="26">
        <v>0</v>
      </c>
      <c r="F2549" s="29" t="s">
        <v>226</v>
      </c>
    </row>
    <row r="2550" spans="1:6" ht="43.5" x14ac:dyDescent="0.35">
      <c r="A2550" s="26" t="s">
        <v>216</v>
      </c>
      <c r="B2550" s="26" t="s">
        <v>5316</v>
      </c>
      <c r="C2550" s="26" t="s">
        <v>27</v>
      </c>
      <c r="D2550" s="28" t="s">
        <v>5317</v>
      </c>
      <c r="E2550" s="26">
        <v>0</v>
      </c>
      <c r="F2550" s="29" t="s">
        <v>229</v>
      </c>
    </row>
    <row r="2551" spans="1:6" ht="29" x14ac:dyDescent="0.35">
      <c r="A2551" s="26" t="s">
        <v>216</v>
      </c>
      <c r="B2551" s="26" t="s">
        <v>5318</v>
      </c>
      <c r="C2551" s="26" t="s">
        <v>24</v>
      </c>
      <c r="D2551" s="28" t="s">
        <v>5319</v>
      </c>
      <c r="E2551" s="26">
        <v>0</v>
      </c>
      <c r="F2551" s="29" t="s">
        <v>232</v>
      </c>
    </row>
    <row r="2552" spans="1:6" ht="43.5" x14ac:dyDescent="0.35">
      <c r="A2552" s="26" t="s">
        <v>216</v>
      </c>
      <c r="B2552" s="26" t="s">
        <v>5320</v>
      </c>
      <c r="C2552" s="26" t="s">
        <v>15</v>
      </c>
      <c r="D2552" s="28" t="s">
        <v>218</v>
      </c>
      <c r="E2552" s="26" t="s">
        <v>5321</v>
      </c>
      <c r="F2552" s="29" t="s">
        <v>220</v>
      </c>
    </row>
    <row r="2553" spans="1:6" ht="29" x14ac:dyDescent="0.35">
      <c r="A2553" s="26" t="s">
        <v>216</v>
      </c>
      <c r="B2553" s="26" t="s">
        <v>5322</v>
      </c>
      <c r="C2553" s="26" t="s">
        <v>17</v>
      </c>
      <c r="D2553" s="28" t="s">
        <v>5323</v>
      </c>
      <c r="E2553" s="26">
        <v>13436</v>
      </c>
      <c r="F2553" s="29" t="s">
        <v>247</v>
      </c>
    </row>
    <row r="2554" spans="1:6" ht="29" x14ac:dyDescent="0.35">
      <c r="A2554" s="26" t="s">
        <v>216</v>
      </c>
      <c r="B2554" s="26" t="s">
        <v>5324</v>
      </c>
      <c r="C2554" s="26" t="s">
        <v>20</v>
      </c>
      <c r="D2554" s="28" t="s">
        <v>5325</v>
      </c>
      <c r="E2554" s="26">
        <v>13436</v>
      </c>
      <c r="F2554" s="29" t="s">
        <v>223</v>
      </c>
    </row>
    <row r="2555" spans="1:6" ht="58" x14ac:dyDescent="0.35">
      <c r="A2555" s="26" t="s">
        <v>216</v>
      </c>
      <c r="B2555" s="26" t="s">
        <v>5326</v>
      </c>
      <c r="C2555" s="26" t="s">
        <v>25</v>
      </c>
      <c r="D2555" s="28" t="s">
        <v>5327</v>
      </c>
      <c r="E2555" s="26">
        <v>0</v>
      </c>
      <c r="F2555" s="29" t="s">
        <v>226</v>
      </c>
    </row>
    <row r="2556" spans="1:6" ht="43.5" x14ac:dyDescent="0.35">
      <c r="A2556" s="26" t="s">
        <v>216</v>
      </c>
      <c r="B2556" s="26" t="s">
        <v>5328</v>
      </c>
      <c r="C2556" s="26" t="s">
        <v>27</v>
      </c>
      <c r="D2556" s="28" t="s">
        <v>5329</v>
      </c>
      <c r="E2556" s="26">
        <v>0</v>
      </c>
      <c r="F2556" s="29" t="s">
        <v>229</v>
      </c>
    </row>
    <row r="2557" spans="1:6" ht="29" x14ac:dyDescent="0.35">
      <c r="A2557" s="26" t="s">
        <v>216</v>
      </c>
      <c r="B2557" s="26" t="s">
        <v>5330</v>
      </c>
      <c r="C2557" s="26" t="s">
        <v>24</v>
      </c>
      <c r="D2557" s="28" t="s">
        <v>5331</v>
      </c>
      <c r="E2557" s="26">
        <v>0</v>
      </c>
      <c r="F2557" s="29" t="s">
        <v>232</v>
      </c>
    </row>
    <row r="2558" spans="1:6" ht="43.5" x14ac:dyDescent="0.35">
      <c r="A2558" s="26" t="s">
        <v>216</v>
      </c>
      <c r="B2558" s="26" t="s">
        <v>5332</v>
      </c>
      <c r="C2558" s="26" t="s">
        <v>15</v>
      </c>
      <c r="D2558" s="28" t="s">
        <v>218</v>
      </c>
      <c r="E2558" s="26" t="s">
        <v>5333</v>
      </c>
      <c r="F2558" s="29" t="s">
        <v>220</v>
      </c>
    </row>
    <row r="2559" spans="1:6" ht="29" x14ac:dyDescent="0.35">
      <c r="A2559" s="26" t="s">
        <v>216</v>
      </c>
      <c r="B2559" s="26" t="s">
        <v>5334</v>
      </c>
      <c r="C2559" s="26" t="s">
        <v>17</v>
      </c>
      <c r="D2559" s="28" t="s">
        <v>5335</v>
      </c>
      <c r="E2559" s="26">
        <v>13436</v>
      </c>
      <c r="F2559" s="29" t="s">
        <v>247</v>
      </c>
    </row>
    <row r="2560" spans="1:6" ht="29" x14ac:dyDescent="0.35">
      <c r="A2560" s="26" t="s">
        <v>216</v>
      </c>
      <c r="B2560" s="26" t="s">
        <v>5336</v>
      </c>
      <c r="C2560" s="26" t="s">
        <v>20</v>
      </c>
      <c r="D2560" s="28" t="s">
        <v>5337</v>
      </c>
      <c r="E2560" s="26">
        <v>13436</v>
      </c>
      <c r="F2560" s="29" t="s">
        <v>223</v>
      </c>
    </row>
    <row r="2561" spans="1:6" ht="58" x14ac:dyDescent="0.35">
      <c r="A2561" s="26" t="s">
        <v>216</v>
      </c>
      <c r="B2561" s="26" t="s">
        <v>5338</v>
      </c>
      <c r="C2561" s="26" t="s">
        <v>25</v>
      </c>
      <c r="D2561" s="28" t="s">
        <v>5339</v>
      </c>
      <c r="E2561" s="26">
        <v>0</v>
      </c>
      <c r="F2561" s="29" t="s">
        <v>226</v>
      </c>
    </row>
    <row r="2562" spans="1:6" ht="43.5" x14ac:dyDescent="0.35">
      <c r="A2562" s="26" t="s">
        <v>216</v>
      </c>
      <c r="B2562" s="26" t="s">
        <v>5340</v>
      </c>
      <c r="C2562" s="26" t="s">
        <v>27</v>
      </c>
      <c r="D2562" s="28" t="s">
        <v>5341</v>
      </c>
      <c r="E2562" s="26">
        <v>0</v>
      </c>
      <c r="F2562" s="29" t="s">
        <v>229</v>
      </c>
    </row>
    <row r="2563" spans="1:6" ht="29" x14ac:dyDescent="0.35">
      <c r="A2563" s="26" t="s">
        <v>216</v>
      </c>
      <c r="B2563" s="26" t="s">
        <v>5342</v>
      </c>
      <c r="C2563" s="26" t="s">
        <v>24</v>
      </c>
      <c r="D2563" s="28" t="s">
        <v>5343</v>
      </c>
      <c r="E2563" s="26">
        <v>0</v>
      </c>
      <c r="F2563" s="29" t="s">
        <v>232</v>
      </c>
    </row>
    <row r="2564" spans="1:6" ht="43.5" x14ac:dyDescent="0.35">
      <c r="A2564" s="26" t="s">
        <v>216</v>
      </c>
      <c r="B2564" s="26" t="s">
        <v>5344</v>
      </c>
      <c r="C2564" s="26" t="s">
        <v>15</v>
      </c>
      <c r="D2564" s="28" t="s">
        <v>218</v>
      </c>
      <c r="E2564" s="26" t="s">
        <v>5345</v>
      </c>
      <c r="F2564" s="29" t="s">
        <v>220</v>
      </c>
    </row>
    <row r="2565" spans="1:6" ht="29" x14ac:dyDescent="0.35">
      <c r="A2565" s="26" t="s">
        <v>216</v>
      </c>
      <c r="B2565" s="26" t="s">
        <v>5346</v>
      </c>
      <c r="C2565" s="26" t="s">
        <v>17</v>
      </c>
      <c r="D2565" s="28" t="s">
        <v>5347</v>
      </c>
      <c r="E2565" s="26">
        <v>13436</v>
      </c>
      <c r="F2565" s="29" t="s">
        <v>247</v>
      </c>
    </row>
    <row r="2566" spans="1:6" ht="29" x14ac:dyDescent="0.35">
      <c r="A2566" s="26" t="s">
        <v>216</v>
      </c>
      <c r="B2566" s="26" t="s">
        <v>5348</v>
      </c>
      <c r="C2566" s="26" t="s">
        <v>20</v>
      </c>
      <c r="D2566" s="28" t="s">
        <v>5349</v>
      </c>
      <c r="E2566" s="26">
        <v>13436</v>
      </c>
      <c r="F2566" s="29" t="s">
        <v>223</v>
      </c>
    </row>
    <row r="2567" spans="1:6" ht="58" x14ac:dyDescent="0.35">
      <c r="A2567" s="26" t="s">
        <v>216</v>
      </c>
      <c r="B2567" s="26" t="s">
        <v>5350</v>
      </c>
      <c r="C2567" s="26" t="s">
        <v>25</v>
      </c>
      <c r="D2567" s="28" t="s">
        <v>5351</v>
      </c>
      <c r="E2567" s="26">
        <v>0</v>
      </c>
      <c r="F2567" s="29" t="s">
        <v>226</v>
      </c>
    </row>
    <row r="2568" spans="1:6" ht="43.5" x14ac:dyDescent="0.35">
      <c r="A2568" s="26" t="s">
        <v>216</v>
      </c>
      <c r="B2568" s="26" t="s">
        <v>5352</v>
      </c>
      <c r="C2568" s="26" t="s">
        <v>27</v>
      </c>
      <c r="D2568" s="28" t="s">
        <v>5353</v>
      </c>
      <c r="E2568" s="26">
        <v>0</v>
      </c>
      <c r="F2568" s="29" t="s">
        <v>229</v>
      </c>
    </row>
    <row r="2569" spans="1:6" ht="29" x14ac:dyDescent="0.35">
      <c r="A2569" s="26" t="s">
        <v>216</v>
      </c>
      <c r="B2569" s="26" t="s">
        <v>5354</v>
      </c>
      <c r="C2569" s="26" t="s">
        <v>24</v>
      </c>
      <c r="D2569" s="28" t="s">
        <v>5355</v>
      </c>
      <c r="E2569" s="26">
        <v>0</v>
      </c>
      <c r="F2569" s="29" t="s">
        <v>232</v>
      </c>
    </row>
    <row r="2570" spans="1:6" ht="43.5" x14ac:dyDescent="0.35">
      <c r="A2570" s="26" t="s">
        <v>216</v>
      </c>
      <c r="B2570" s="26" t="s">
        <v>5356</v>
      </c>
      <c r="C2570" s="26" t="s">
        <v>15</v>
      </c>
      <c r="D2570" s="28" t="s">
        <v>218</v>
      </c>
      <c r="E2570" s="26" t="s">
        <v>5357</v>
      </c>
      <c r="F2570" s="29" t="s">
        <v>220</v>
      </c>
    </row>
    <row r="2571" spans="1:6" ht="29" x14ac:dyDescent="0.35">
      <c r="A2571" s="26" t="s">
        <v>216</v>
      </c>
      <c r="B2571" s="26" t="s">
        <v>5358</v>
      </c>
      <c r="C2571" s="26" t="s">
        <v>17</v>
      </c>
      <c r="D2571" s="28" t="s">
        <v>5359</v>
      </c>
      <c r="E2571" s="26">
        <v>13436</v>
      </c>
      <c r="F2571" s="29" t="s">
        <v>247</v>
      </c>
    </row>
    <row r="2572" spans="1:6" ht="29" x14ac:dyDescent="0.35">
      <c r="A2572" s="26" t="s">
        <v>216</v>
      </c>
      <c r="B2572" s="26" t="s">
        <v>5360</v>
      </c>
      <c r="C2572" s="26" t="s">
        <v>20</v>
      </c>
      <c r="D2572" s="28" t="s">
        <v>5361</v>
      </c>
      <c r="E2572" s="26">
        <v>13436</v>
      </c>
      <c r="F2572" s="29" t="s">
        <v>223</v>
      </c>
    </row>
    <row r="2573" spans="1:6" ht="58" x14ac:dyDescent="0.35">
      <c r="A2573" s="26" t="s">
        <v>216</v>
      </c>
      <c r="B2573" s="26" t="s">
        <v>5362</v>
      </c>
      <c r="C2573" s="26" t="s">
        <v>25</v>
      </c>
      <c r="D2573" s="28" t="s">
        <v>5363</v>
      </c>
      <c r="E2573" s="26">
        <v>0</v>
      </c>
      <c r="F2573" s="29" t="s">
        <v>226</v>
      </c>
    </row>
    <row r="2574" spans="1:6" ht="43.5" x14ac:dyDescent="0.35">
      <c r="A2574" s="26" t="s">
        <v>216</v>
      </c>
      <c r="B2574" s="26" t="s">
        <v>5364</v>
      </c>
      <c r="C2574" s="26" t="s">
        <v>27</v>
      </c>
      <c r="D2574" s="28" t="s">
        <v>5365</v>
      </c>
      <c r="E2574" s="26">
        <v>0</v>
      </c>
      <c r="F2574" s="29" t="s">
        <v>229</v>
      </c>
    </row>
    <row r="2575" spans="1:6" ht="29" x14ac:dyDescent="0.35">
      <c r="A2575" s="26" t="s">
        <v>216</v>
      </c>
      <c r="B2575" s="26" t="s">
        <v>5366</v>
      </c>
      <c r="C2575" s="26" t="s">
        <v>24</v>
      </c>
      <c r="D2575" s="28" t="s">
        <v>5367</v>
      </c>
      <c r="E2575" s="26">
        <v>0</v>
      </c>
      <c r="F2575" s="29" t="s">
        <v>232</v>
      </c>
    </row>
    <row r="2576" spans="1:6" ht="43.5" x14ac:dyDescent="0.35">
      <c r="A2576" s="26" t="s">
        <v>216</v>
      </c>
      <c r="B2576" s="26" t="s">
        <v>5368</v>
      </c>
      <c r="C2576" s="26" t="s">
        <v>15</v>
      </c>
      <c r="D2576" s="28" t="s">
        <v>218</v>
      </c>
      <c r="E2576" s="26" t="s">
        <v>5369</v>
      </c>
      <c r="F2576" s="29" t="s">
        <v>220</v>
      </c>
    </row>
    <row r="2577" spans="1:6" ht="29" x14ac:dyDescent="0.35">
      <c r="A2577" s="26" t="s">
        <v>216</v>
      </c>
      <c r="B2577" s="26" t="s">
        <v>5370</v>
      </c>
      <c r="C2577" s="26" t="s">
        <v>17</v>
      </c>
      <c r="D2577" s="28" t="s">
        <v>5371</v>
      </c>
      <c r="E2577" s="26">
        <v>13436</v>
      </c>
      <c r="F2577" s="29" t="s">
        <v>247</v>
      </c>
    </row>
    <row r="2578" spans="1:6" ht="29" x14ac:dyDescent="0.35">
      <c r="A2578" s="26" t="s">
        <v>216</v>
      </c>
      <c r="B2578" s="26" t="s">
        <v>5372</v>
      </c>
      <c r="C2578" s="26" t="s">
        <v>20</v>
      </c>
      <c r="D2578" s="28" t="s">
        <v>5373</v>
      </c>
      <c r="E2578" s="26">
        <v>13436</v>
      </c>
      <c r="F2578" s="29" t="s">
        <v>223</v>
      </c>
    </row>
    <row r="2579" spans="1:6" ht="58" x14ac:dyDescent="0.35">
      <c r="A2579" s="26" t="s">
        <v>216</v>
      </c>
      <c r="B2579" s="26" t="s">
        <v>5374</v>
      </c>
      <c r="C2579" s="26" t="s">
        <v>25</v>
      </c>
      <c r="D2579" s="28" t="s">
        <v>5375</v>
      </c>
      <c r="E2579" s="26">
        <v>0</v>
      </c>
      <c r="F2579" s="29" t="s">
        <v>226</v>
      </c>
    </row>
    <row r="2580" spans="1:6" ht="43.5" x14ac:dyDescent="0.35">
      <c r="A2580" s="26" t="s">
        <v>216</v>
      </c>
      <c r="B2580" s="26" t="s">
        <v>5376</v>
      </c>
      <c r="C2580" s="26" t="s">
        <v>27</v>
      </c>
      <c r="D2580" s="28" t="s">
        <v>5377</v>
      </c>
      <c r="E2580" s="26">
        <v>0</v>
      </c>
      <c r="F2580" s="29" t="s">
        <v>229</v>
      </c>
    </row>
    <row r="2581" spans="1:6" ht="29" x14ac:dyDescent="0.35">
      <c r="A2581" s="26" t="s">
        <v>216</v>
      </c>
      <c r="B2581" s="26" t="s">
        <v>5378</v>
      </c>
      <c r="C2581" s="26" t="s">
        <v>24</v>
      </c>
      <c r="D2581" s="28" t="s">
        <v>5379</v>
      </c>
      <c r="E2581" s="26">
        <v>0</v>
      </c>
      <c r="F2581" s="29" t="s">
        <v>232</v>
      </c>
    </row>
    <row r="2582" spans="1:6" ht="43.5" x14ac:dyDescent="0.35">
      <c r="A2582" s="26" t="s">
        <v>216</v>
      </c>
      <c r="B2582" s="26" t="s">
        <v>5380</v>
      </c>
      <c r="C2582" s="26" t="s">
        <v>15</v>
      </c>
      <c r="D2582" s="28" t="s">
        <v>218</v>
      </c>
      <c r="E2582" s="26" t="s">
        <v>5381</v>
      </c>
      <c r="F2582" s="29" t="s">
        <v>220</v>
      </c>
    </row>
    <row r="2583" spans="1:6" ht="29" x14ac:dyDescent="0.35">
      <c r="A2583" s="26" t="s">
        <v>216</v>
      </c>
      <c r="B2583" s="26" t="s">
        <v>5382</v>
      </c>
      <c r="C2583" s="26" t="s">
        <v>17</v>
      </c>
      <c r="D2583" s="28" t="s">
        <v>5383</v>
      </c>
      <c r="E2583" s="26">
        <v>13436</v>
      </c>
      <c r="F2583" s="29" t="s">
        <v>247</v>
      </c>
    </row>
    <row r="2584" spans="1:6" ht="29" x14ac:dyDescent="0.35">
      <c r="A2584" s="26" t="s">
        <v>216</v>
      </c>
      <c r="B2584" s="26" t="s">
        <v>5384</v>
      </c>
      <c r="C2584" s="26" t="s">
        <v>20</v>
      </c>
      <c r="D2584" s="28" t="s">
        <v>5385</v>
      </c>
      <c r="E2584" s="26">
        <v>13436</v>
      </c>
      <c r="F2584" s="29" t="s">
        <v>223</v>
      </c>
    </row>
    <row r="2585" spans="1:6" ht="58" x14ac:dyDescent="0.35">
      <c r="A2585" s="26" t="s">
        <v>216</v>
      </c>
      <c r="B2585" s="26" t="s">
        <v>5386</v>
      </c>
      <c r="C2585" s="26" t="s">
        <v>25</v>
      </c>
      <c r="D2585" s="28" t="s">
        <v>5387</v>
      </c>
      <c r="E2585" s="26">
        <v>0</v>
      </c>
      <c r="F2585" s="29" t="s">
        <v>226</v>
      </c>
    </row>
    <row r="2586" spans="1:6" ht="43.5" x14ac:dyDescent="0.35">
      <c r="A2586" s="26" t="s">
        <v>216</v>
      </c>
      <c r="B2586" s="26" t="s">
        <v>5388</v>
      </c>
      <c r="C2586" s="26" t="s">
        <v>27</v>
      </c>
      <c r="D2586" s="28" t="s">
        <v>5389</v>
      </c>
      <c r="E2586" s="26">
        <v>0</v>
      </c>
      <c r="F2586" s="29" t="s">
        <v>229</v>
      </c>
    </row>
    <row r="2587" spans="1:6" ht="29" x14ac:dyDescent="0.35">
      <c r="A2587" s="26" t="s">
        <v>216</v>
      </c>
      <c r="B2587" s="26" t="s">
        <v>5390</v>
      </c>
      <c r="C2587" s="26" t="s">
        <v>24</v>
      </c>
      <c r="D2587" s="28" t="s">
        <v>5391</v>
      </c>
      <c r="E2587" s="26">
        <v>0</v>
      </c>
      <c r="F2587" s="29" t="s">
        <v>232</v>
      </c>
    </row>
    <row r="2588" spans="1:6" ht="43.5" x14ac:dyDescent="0.35">
      <c r="A2588" s="26" t="s">
        <v>216</v>
      </c>
      <c r="B2588" s="26" t="s">
        <v>5392</v>
      </c>
      <c r="C2588" s="26" t="s">
        <v>15</v>
      </c>
      <c r="D2588" s="28" t="s">
        <v>218</v>
      </c>
      <c r="E2588" s="26" t="s">
        <v>5393</v>
      </c>
      <c r="F2588" s="29" t="s">
        <v>220</v>
      </c>
    </row>
    <row r="2589" spans="1:6" ht="29" x14ac:dyDescent="0.35">
      <c r="A2589" s="26" t="s">
        <v>216</v>
      </c>
      <c r="B2589" s="26" t="s">
        <v>5394</v>
      </c>
      <c r="C2589" s="26" t="s">
        <v>17</v>
      </c>
      <c r="D2589" s="28" t="s">
        <v>5395</v>
      </c>
      <c r="E2589" s="26">
        <v>13436</v>
      </c>
      <c r="F2589" s="29" t="s">
        <v>247</v>
      </c>
    </row>
    <row r="2590" spans="1:6" ht="29" x14ac:dyDescent="0.35">
      <c r="A2590" s="26" t="s">
        <v>216</v>
      </c>
      <c r="B2590" s="26" t="s">
        <v>5396</v>
      </c>
      <c r="C2590" s="26" t="s">
        <v>20</v>
      </c>
      <c r="D2590" s="28" t="s">
        <v>5397</v>
      </c>
      <c r="E2590" s="26">
        <v>13436</v>
      </c>
      <c r="F2590" s="29" t="s">
        <v>223</v>
      </c>
    </row>
    <row r="2591" spans="1:6" ht="58" x14ac:dyDescent="0.35">
      <c r="A2591" s="26" t="s">
        <v>216</v>
      </c>
      <c r="B2591" s="26" t="s">
        <v>5398</v>
      </c>
      <c r="C2591" s="26" t="s">
        <v>25</v>
      </c>
      <c r="D2591" s="28" t="s">
        <v>5399</v>
      </c>
      <c r="E2591" s="26">
        <v>0</v>
      </c>
      <c r="F2591" s="29" t="s">
        <v>226</v>
      </c>
    </row>
    <row r="2592" spans="1:6" ht="43.5" x14ac:dyDescent="0.35">
      <c r="A2592" s="26" t="s">
        <v>216</v>
      </c>
      <c r="B2592" s="26" t="s">
        <v>5400</v>
      </c>
      <c r="C2592" s="26" t="s">
        <v>27</v>
      </c>
      <c r="D2592" s="28" t="s">
        <v>5401</v>
      </c>
      <c r="E2592" s="26">
        <v>0</v>
      </c>
      <c r="F2592" s="29" t="s">
        <v>229</v>
      </c>
    </row>
    <row r="2593" spans="1:6" ht="29" x14ac:dyDescent="0.35">
      <c r="A2593" s="26" t="s">
        <v>216</v>
      </c>
      <c r="B2593" s="26" t="s">
        <v>5402</v>
      </c>
      <c r="C2593" s="26" t="s">
        <v>24</v>
      </c>
      <c r="D2593" s="28" t="s">
        <v>5403</v>
      </c>
      <c r="E2593" s="26">
        <v>0</v>
      </c>
      <c r="F2593" s="29" t="s">
        <v>232</v>
      </c>
    </row>
    <row r="2594" spans="1:6" ht="43.5" x14ac:dyDescent="0.35">
      <c r="A2594" s="26" t="s">
        <v>216</v>
      </c>
      <c r="B2594" s="26" t="s">
        <v>5404</v>
      </c>
      <c r="C2594" s="26" t="s">
        <v>15</v>
      </c>
      <c r="D2594" s="28" t="s">
        <v>218</v>
      </c>
      <c r="E2594" s="26" t="s">
        <v>5405</v>
      </c>
      <c r="F2594" s="29" t="s">
        <v>220</v>
      </c>
    </row>
    <row r="2595" spans="1:6" ht="29" x14ac:dyDescent="0.35">
      <c r="A2595" s="26" t="s">
        <v>216</v>
      </c>
      <c r="B2595" s="26" t="s">
        <v>5406</v>
      </c>
      <c r="C2595" s="26" t="s">
        <v>17</v>
      </c>
      <c r="D2595" s="28" t="s">
        <v>5407</v>
      </c>
      <c r="E2595" s="26">
        <v>13436</v>
      </c>
      <c r="F2595" s="29" t="s">
        <v>247</v>
      </c>
    </row>
    <row r="2596" spans="1:6" ht="29" x14ac:dyDescent="0.35">
      <c r="A2596" s="26" t="s">
        <v>216</v>
      </c>
      <c r="B2596" s="26" t="s">
        <v>5408</v>
      </c>
      <c r="C2596" s="26" t="s">
        <v>20</v>
      </c>
      <c r="D2596" s="28" t="s">
        <v>5409</v>
      </c>
      <c r="E2596" s="26">
        <v>13436</v>
      </c>
      <c r="F2596" s="29" t="s">
        <v>223</v>
      </c>
    </row>
    <row r="2597" spans="1:6" ht="58" x14ac:dyDescent="0.35">
      <c r="A2597" s="26" t="s">
        <v>216</v>
      </c>
      <c r="B2597" s="26" t="s">
        <v>5410</v>
      </c>
      <c r="C2597" s="26" t="s">
        <v>25</v>
      </c>
      <c r="D2597" s="28" t="s">
        <v>5411</v>
      </c>
      <c r="E2597" s="26">
        <v>0</v>
      </c>
      <c r="F2597" s="29" t="s">
        <v>226</v>
      </c>
    </row>
    <row r="2598" spans="1:6" ht="43.5" x14ac:dyDescent="0.35">
      <c r="A2598" s="26" t="s">
        <v>216</v>
      </c>
      <c r="B2598" s="26" t="s">
        <v>5412</v>
      </c>
      <c r="C2598" s="26" t="s">
        <v>27</v>
      </c>
      <c r="D2598" s="28" t="s">
        <v>5413</v>
      </c>
      <c r="E2598" s="26">
        <v>0</v>
      </c>
      <c r="F2598" s="29" t="s">
        <v>229</v>
      </c>
    </row>
    <row r="2599" spans="1:6" ht="29" x14ac:dyDescent="0.35">
      <c r="A2599" s="26" t="s">
        <v>216</v>
      </c>
      <c r="B2599" s="26" t="s">
        <v>5414</v>
      </c>
      <c r="C2599" s="26" t="s">
        <v>24</v>
      </c>
      <c r="D2599" s="28" t="s">
        <v>5415</v>
      </c>
      <c r="E2599" s="26">
        <v>0</v>
      </c>
      <c r="F2599" s="29" t="s">
        <v>232</v>
      </c>
    </row>
    <row r="2600" spans="1:6" ht="43.5" x14ac:dyDescent="0.35">
      <c r="A2600" s="26" t="s">
        <v>216</v>
      </c>
      <c r="B2600" s="26" t="s">
        <v>5416</v>
      </c>
      <c r="C2600" s="26" t="s">
        <v>15</v>
      </c>
      <c r="D2600" s="28" t="s">
        <v>218</v>
      </c>
      <c r="E2600" s="26" t="s">
        <v>5417</v>
      </c>
      <c r="F2600" s="29" t="s">
        <v>220</v>
      </c>
    </row>
    <row r="2601" spans="1:6" ht="29" x14ac:dyDescent="0.35">
      <c r="A2601" s="26" t="s">
        <v>216</v>
      </c>
      <c r="B2601" s="26" t="s">
        <v>5418</v>
      </c>
      <c r="C2601" s="26" t="s">
        <v>17</v>
      </c>
      <c r="D2601" s="28" t="s">
        <v>5419</v>
      </c>
      <c r="E2601" s="26">
        <v>13436</v>
      </c>
      <c r="F2601" s="29" t="s">
        <v>247</v>
      </c>
    </row>
    <row r="2602" spans="1:6" ht="29" x14ac:dyDescent="0.35">
      <c r="A2602" s="26" t="s">
        <v>216</v>
      </c>
      <c r="B2602" s="26" t="s">
        <v>5420</v>
      </c>
      <c r="C2602" s="26" t="s">
        <v>20</v>
      </c>
      <c r="D2602" s="28" t="s">
        <v>5421</v>
      </c>
      <c r="E2602" s="26">
        <v>13436</v>
      </c>
      <c r="F2602" s="29" t="s">
        <v>223</v>
      </c>
    </row>
    <row r="2603" spans="1:6" ht="58" x14ac:dyDescent="0.35">
      <c r="A2603" s="26" t="s">
        <v>216</v>
      </c>
      <c r="B2603" s="26" t="s">
        <v>5422</v>
      </c>
      <c r="C2603" s="26" t="s">
        <v>25</v>
      </c>
      <c r="D2603" s="28" t="s">
        <v>5423</v>
      </c>
      <c r="E2603" s="26">
        <v>0</v>
      </c>
      <c r="F2603" s="29" t="s">
        <v>226</v>
      </c>
    </row>
    <row r="2604" spans="1:6" ht="43.5" x14ac:dyDescent="0.35">
      <c r="A2604" s="26" t="s">
        <v>216</v>
      </c>
      <c r="B2604" s="26" t="s">
        <v>5424</v>
      </c>
      <c r="C2604" s="26" t="s">
        <v>27</v>
      </c>
      <c r="D2604" s="28" t="s">
        <v>5425</v>
      </c>
      <c r="E2604" s="26">
        <v>0</v>
      </c>
      <c r="F2604" s="29" t="s">
        <v>229</v>
      </c>
    </row>
    <row r="2605" spans="1:6" ht="29" x14ac:dyDescent="0.35">
      <c r="A2605" s="26" t="s">
        <v>216</v>
      </c>
      <c r="B2605" s="26" t="s">
        <v>5426</v>
      </c>
      <c r="C2605" s="26" t="s">
        <v>24</v>
      </c>
      <c r="D2605" s="28" t="s">
        <v>5427</v>
      </c>
      <c r="E2605" s="26">
        <v>0</v>
      </c>
      <c r="F2605" s="29" t="s">
        <v>232</v>
      </c>
    </row>
    <row r="2606" spans="1:6" ht="43.5" x14ac:dyDescent="0.35">
      <c r="A2606" s="26" t="s">
        <v>216</v>
      </c>
      <c r="B2606" s="26" t="s">
        <v>5428</v>
      </c>
      <c r="C2606" s="26" t="s">
        <v>15</v>
      </c>
      <c r="D2606" s="28" t="s">
        <v>218</v>
      </c>
      <c r="E2606" s="26" t="s">
        <v>5429</v>
      </c>
      <c r="F2606" s="29" t="s">
        <v>220</v>
      </c>
    </row>
    <row r="2607" spans="1:6" ht="29" x14ac:dyDescent="0.35">
      <c r="A2607" s="26" t="s">
        <v>216</v>
      </c>
      <c r="B2607" s="26" t="s">
        <v>5430</v>
      </c>
      <c r="C2607" s="26" t="s">
        <v>17</v>
      </c>
      <c r="D2607" s="28" t="s">
        <v>5431</v>
      </c>
      <c r="E2607" s="26">
        <v>13436</v>
      </c>
      <c r="F2607" s="29" t="s">
        <v>247</v>
      </c>
    </row>
    <row r="2608" spans="1:6" ht="29" x14ac:dyDescent="0.35">
      <c r="A2608" s="26" t="s">
        <v>216</v>
      </c>
      <c r="B2608" s="26" t="s">
        <v>5432</v>
      </c>
      <c r="C2608" s="26" t="s">
        <v>20</v>
      </c>
      <c r="D2608" s="28" t="s">
        <v>5433</v>
      </c>
      <c r="E2608" s="26">
        <v>13436</v>
      </c>
      <c r="F2608" s="29" t="s">
        <v>223</v>
      </c>
    </row>
    <row r="2609" spans="1:6" ht="58" x14ac:dyDescent="0.35">
      <c r="A2609" s="26" t="s">
        <v>216</v>
      </c>
      <c r="B2609" s="26" t="s">
        <v>5434</v>
      </c>
      <c r="C2609" s="26" t="s">
        <v>25</v>
      </c>
      <c r="D2609" s="28" t="s">
        <v>5435</v>
      </c>
      <c r="E2609" s="26">
        <v>0</v>
      </c>
      <c r="F2609" s="29" t="s">
        <v>226</v>
      </c>
    </row>
    <row r="2610" spans="1:6" ht="43.5" x14ac:dyDescent="0.35">
      <c r="A2610" s="26" t="s">
        <v>216</v>
      </c>
      <c r="B2610" s="26" t="s">
        <v>5436</v>
      </c>
      <c r="C2610" s="26" t="s">
        <v>27</v>
      </c>
      <c r="D2610" s="28" t="s">
        <v>5437</v>
      </c>
      <c r="E2610" s="26">
        <v>0</v>
      </c>
      <c r="F2610" s="29" t="s">
        <v>229</v>
      </c>
    </row>
    <row r="2611" spans="1:6" ht="29" x14ac:dyDescent="0.35">
      <c r="A2611" s="26" t="s">
        <v>216</v>
      </c>
      <c r="B2611" s="26" t="s">
        <v>5438</v>
      </c>
      <c r="C2611" s="26" t="s">
        <v>24</v>
      </c>
      <c r="D2611" s="28" t="s">
        <v>5439</v>
      </c>
      <c r="E2611" s="26">
        <v>0</v>
      </c>
      <c r="F2611" s="29" t="s">
        <v>232</v>
      </c>
    </row>
    <row r="2612" spans="1:6" ht="43.5" x14ac:dyDescent="0.35">
      <c r="A2612" s="26" t="s">
        <v>216</v>
      </c>
      <c r="B2612" s="26" t="s">
        <v>5440</v>
      </c>
      <c r="C2612" s="26" t="s">
        <v>15</v>
      </c>
      <c r="D2612" s="28" t="s">
        <v>218</v>
      </c>
      <c r="E2612" s="26" t="s">
        <v>5441</v>
      </c>
      <c r="F2612" s="29" t="s">
        <v>220</v>
      </c>
    </row>
    <row r="2613" spans="1:6" ht="29" x14ac:dyDescent="0.35">
      <c r="A2613" s="26" t="s">
        <v>216</v>
      </c>
      <c r="B2613" s="26" t="s">
        <v>5442</v>
      </c>
      <c r="C2613" s="26" t="s">
        <v>17</v>
      </c>
      <c r="D2613" s="28" t="s">
        <v>5443</v>
      </c>
      <c r="E2613" s="26">
        <v>13436</v>
      </c>
      <c r="F2613" s="29" t="s">
        <v>247</v>
      </c>
    </row>
    <row r="2614" spans="1:6" ht="29" x14ac:dyDescent="0.35">
      <c r="A2614" s="26" t="s">
        <v>216</v>
      </c>
      <c r="B2614" s="26" t="s">
        <v>5444</v>
      </c>
      <c r="C2614" s="26" t="s">
        <v>20</v>
      </c>
      <c r="D2614" s="28" t="s">
        <v>5445</v>
      </c>
      <c r="E2614" s="26">
        <v>13436</v>
      </c>
      <c r="F2614" s="29" t="s">
        <v>223</v>
      </c>
    </row>
    <row r="2615" spans="1:6" ht="58" x14ac:dyDescent="0.35">
      <c r="A2615" s="26" t="s">
        <v>216</v>
      </c>
      <c r="B2615" s="26" t="s">
        <v>5446</v>
      </c>
      <c r="C2615" s="26" t="s">
        <v>25</v>
      </c>
      <c r="D2615" s="28" t="s">
        <v>5447</v>
      </c>
      <c r="E2615" s="26">
        <v>0</v>
      </c>
      <c r="F2615" s="29" t="s">
        <v>226</v>
      </c>
    </row>
    <row r="2616" spans="1:6" ht="43.5" x14ac:dyDescent="0.35">
      <c r="A2616" s="26" t="s">
        <v>216</v>
      </c>
      <c r="B2616" s="26" t="s">
        <v>5448</v>
      </c>
      <c r="C2616" s="26" t="s">
        <v>27</v>
      </c>
      <c r="D2616" s="28" t="s">
        <v>5449</v>
      </c>
      <c r="E2616" s="26">
        <v>0</v>
      </c>
      <c r="F2616" s="29" t="s">
        <v>229</v>
      </c>
    </row>
    <row r="2617" spans="1:6" ht="29" x14ac:dyDescent="0.35">
      <c r="A2617" s="26" t="s">
        <v>216</v>
      </c>
      <c r="B2617" s="26" t="s">
        <v>5450</v>
      </c>
      <c r="C2617" s="26" t="s">
        <v>24</v>
      </c>
      <c r="D2617" s="28" t="s">
        <v>5451</v>
      </c>
      <c r="E2617" s="26">
        <v>0</v>
      </c>
      <c r="F2617" s="29" t="s">
        <v>232</v>
      </c>
    </row>
    <row r="2618" spans="1:6" ht="43.5" x14ac:dyDescent="0.35">
      <c r="A2618" s="26" t="s">
        <v>216</v>
      </c>
      <c r="B2618" s="26" t="s">
        <v>5452</v>
      </c>
      <c r="C2618" s="26" t="s">
        <v>15</v>
      </c>
      <c r="D2618" s="28" t="s">
        <v>218</v>
      </c>
      <c r="E2618" s="26" t="s">
        <v>5453</v>
      </c>
      <c r="F2618" s="29" t="s">
        <v>220</v>
      </c>
    </row>
    <row r="2619" spans="1:6" ht="29" x14ac:dyDescent="0.35">
      <c r="A2619" s="26" t="s">
        <v>216</v>
      </c>
      <c r="B2619" s="26" t="s">
        <v>5454</v>
      </c>
      <c r="C2619" s="26" t="s">
        <v>17</v>
      </c>
      <c r="D2619" s="28" t="s">
        <v>5455</v>
      </c>
      <c r="E2619" s="26">
        <v>13436</v>
      </c>
      <c r="F2619" s="29" t="s">
        <v>247</v>
      </c>
    </row>
    <row r="2620" spans="1:6" ht="29" x14ac:dyDescent="0.35">
      <c r="A2620" s="26" t="s">
        <v>216</v>
      </c>
      <c r="B2620" s="26" t="s">
        <v>5456</v>
      </c>
      <c r="C2620" s="26" t="s">
        <v>20</v>
      </c>
      <c r="D2620" s="28" t="s">
        <v>5457</v>
      </c>
      <c r="E2620" s="26">
        <v>13436</v>
      </c>
      <c r="F2620" s="29" t="s">
        <v>223</v>
      </c>
    </row>
    <row r="2621" spans="1:6" ht="58" x14ac:dyDescent="0.35">
      <c r="A2621" s="26" t="s">
        <v>216</v>
      </c>
      <c r="B2621" s="26" t="s">
        <v>5458</v>
      </c>
      <c r="C2621" s="26" t="s">
        <v>25</v>
      </c>
      <c r="D2621" s="28" t="s">
        <v>5459</v>
      </c>
      <c r="E2621" s="26">
        <v>0</v>
      </c>
      <c r="F2621" s="29" t="s">
        <v>226</v>
      </c>
    </row>
    <row r="2622" spans="1:6" ht="43.5" x14ac:dyDescent="0.35">
      <c r="A2622" s="26" t="s">
        <v>216</v>
      </c>
      <c r="B2622" s="26" t="s">
        <v>5460</v>
      </c>
      <c r="C2622" s="26" t="s">
        <v>27</v>
      </c>
      <c r="D2622" s="28" t="s">
        <v>5461</v>
      </c>
      <c r="E2622" s="26">
        <v>0</v>
      </c>
      <c r="F2622" s="29" t="s">
        <v>229</v>
      </c>
    </row>
    <row r="2623" spans="1:6" ht="29" x14ac:dyDescent="0.35">
      <c r="A2623" s="26" t="s">
        <v>216</v>
      </c>
      <c r="B2623" s="26" t="s">
        <v>5462</v>
      </c>
      <c r="C2623" s="26" t="s">
        <v>24</v>
      </c>
      <c r="D2623" s="28" t="s">
        <v>5463</v>
      </c>
      <c r="E2623" s="26">
        <v>0</v>
      </c>
      <c r="F2623" s="29" t="s">
        <v>232</v>
      </c>
    </row>
    <row r="2624" spans="1:6" ht="43.5" x14ac:dyDescent="0.35">
      <c r="A2624" s="26" t="s">
        <v>216</v>
      </c>
      <c r="B2624" s="26" t="s">
        <v>5464</v>
      </c>
      <c r="C2624" s="26" t="s">
        <v>15</v>
      </c>
      <c r="D2624" s="28" t="s">
        <v>218</v>
      </c>
      <c r="E2624" s="26" t="s">
        <v>5465</v>
      </c>
      <c r="F2624" s="29" t="s">
        <v>220</v>
      </c>
    </row>
    <row r="2625" spans="1:6" ht="29" x14ac:dyDescent="0.35">
      <c r="A2625" s="26" t="s">
        <v>216</v>
      </c>
      <c r="B2625" s="26" t="s">
        <v>5466</v>
      </c>
      <c r="C2625" s="26" t="s">
        <v>17</v>
      </c>
      <c r="D2625" s="28" t="s">
        <v>5467</v>
      </c>
      <c r="E2625" s="26">
        <v>13436</v>
      </c>
      <c r="F2625" s="29" t="s">
        <v>247</v>
      </c>
    </row>
    <row r="2626" spans="1:6" ht="29" x14ac:dyDescent="0.35">
      <c r="A2626" s="26" t="s">
        <v>216</v>
      </c>
      <c r="B2626" s="26" t="s">
        <v>5468</v>
      </c>
      <c r="C2626" s="26" t="s">
        <v>20</v>
      </c>
      <c r="D2626" s="28" t="s">
        <v>5469</v>
      </c>
      <c r="E2626" s="26">
        <v>13436</v>
      </c>
      <c r="F2626" s="29" t="s">
        <v>223</v>
      </c>
    </row>
    <row r="2627" spans="1:6" ht="58" x14ac:dyDescent="0.35">
      <c r="A2627" s="26" t="s">
        <v>216</v>
      </c>
      <c r="B2627" s="26" t="s">
        <v>5470</v>
      </c>
      <c r="C2627" s="26" t="s">
        <v>25</v>
      </c>
      <c r="D2627" s="28" t="s">
        <v>5471</v>
      </c>
      <c r="E2627" s="26">
        <v>0</v>
      </c>
      <c r="F2627" s="29" t="s">
        <v>226</v>
      </c>
    </row>
    <row r="2628" spans="1:6" ht="43.5" x14ac:dyDescent="0.35">
      <c r="A2628" s="26" t="s">
        <v>216</v>
      </c>
      <c r="B2628" s="26" t="s">
        <v>5472</v>
      </c>
      <c r="C2628" s="26" t="s">
        <v>27</v>
      </c>
      <c r="D2628" s="28" t="s">
        <v>5473</v>
      </c>
      <c r="E2628" s="26">
        <v>0</v>
      </c>
      <c r="F2628" s="29" t="s">
        <v>229</v>
      </c>
    </row>
    <row r="2629" spans="1:6" ht="29" x14ac:dyDescent="0.35">
      <c r="A2629" s="26" t="s">
        <v>216</v>
      </c>
      <c r="B2629" s="26" t="s">
        <v>5474</v>
      </c>
      <c r="C2629" s="26" t="s">
        <v>24</v>
      </c>
      <c r="D2629" s="28" t="s">
        <v>5475</v>
      </c>
      <c r="E2629" s="26">
        <v>0</v>
      </c>
      <c r="F2629" s="29" t="s">
        <v>232</v>
      </c>
    </row>
    <row r="2630" spans="1:6" ht="43.5" x14ac:dyDescent="0.35">
      <c r="A2630" s="26" t="s">
        <v>216</v>
      </c>
      <c r="B2630" s="26" t="s">
        <v>5476</v>
      </c>
      <c r="C2630" s="26" t="s">
        <v>15</v>
      </c>
      <c r="D2630" s="28" t="s">
        <v>218</v>
      </c>
      <c r="E2630" s="26" t="s">
        <v>5477</v>
      </c>
      <c r="F2630" s="29" t="s">
        <v>220</v>
      </c>
    </row>
    <row r="2631" spans="1:6" ht="29" x14ac:dyDescent="0.35">
      <c r="A2631" s="26" t="s">
        <v>216</v>
      </c>
      <c r="B2631" s="26" t="s">
        <v>5478</v>
      </c>
      <c r="C2631" s="26" t="s">
        <v>17</v>
      </c>
      <c r="D2631" s="28" t="s">
        <v>5479</v>
      </c>
      <c r="E2631" s="26">
        <v>13436</v>
      </c>
      <c r="F2631" s="29" t="s">
        <v>247</v>
      </c>
    </row>
    <row r="2632" spans="1:6" ht="29" x14ac:dyDescent="0.35">
      <c r="A2632" s="26" t="s">
        <v>216</v>
      </c>
      <c r="B2632" s="26" t="s">
        <v>5480</v>
      </c>
      <c r="C2632" s="26" t="s">
        <v>20</v>
      </c>
      <c r="D2632" s="28" t="s">
        <v>5481</v>
      </c>
      <c r="E2632" s="26">
        <v>13436</v>
      </c>
      <c r="F2632" s="29" t="s">
        <v>223</v>
      </c>
    </row>
    <row r="2633" spans="1:6" ht="58" x14ac:dyDescent="0.35">
      <c r="A2633" s="26" t="s">
        <v>216</v>
      </c>
      <c r="B2633" s="26" t="s">
        <v>5482</v>
      </c>
      <c r="C2633" s="26" t="s">
        <v>25</v>
      </c>
      <c r="D2633" s="28" t="s">
        <v>5483</v>
      </c>
      <c r="E2633" s="26">
        <v>0</v>
      </c>
      <c r="F2633" s="29" t="s">
        <v>226</v>
      </c>
    </row>
    <row r="2634" spans="1:6" ht="43.5" x14ac:dyDescent="0.35">
      <c r="A2634" s="26" t="s">
        <v>216</v>
      </c>
      <c r="B2634" s="26" t="s">
        <v>5484</v>
      </c>
      <c r="C2634" s="26" t="s">
        <v>27</v>
      </c>
      <c r="D2634" s="28" t="s">
        <v>5485</v>
      </c>
      <c r="E2634" s="26">
        <v>0</v>
      </c>
      <c r="F2634" s="29" t="s">
        <v>229</v>
      </c>
    </row>
    <row r="2635" spans="1:6" ht="29" x14ac:dyDescent="0.35">
      <c r="A2635" s="26" t="s">
        <v>216</v>
      </c>
      <c r="B2635" s="26" t="s">
        <v>5486</v>
      </c>
      <c r="C2635" s="26" t="s">
        <v>24</v>
      </c>
      <c r="D2635" s="28" t="s">
        <v>5487</v>
      </c>
      <c r="E2635" s="26">
        <v>0</v>
      </c>
      <c r="F2635" s="29" t="s">
        <v>232</v>
      </c>
    </row>
    <row r="2636" spans="1:6" ht="43.5" x14ac:dyDescent="0.35">
      <c r="A2636" s="26" t="s">
        <v>216</v>
      </c>
      <c r="B2636" s="26" t="s">
        <v>5488</v>
      </c>
      <c r="C2636" s="26" t="s">
        <v>15</v>
      </c>
      <c r="D2636" s="28" t="s">
        <v>218</v>
      </c>
      <c r="E2636" s="26" t="s">
        <v>5489</v>
      </c>
      <c r="F2636" s="29" t="s">
        <v>220</v>
      </c>
    </row>
    <row r="2637" spans="1:6" ht="29" x14ac:dyDescent="0.35">
      <c r="A2637" s="26" t="s">
        <v>216</v>
      </c>
      <c r="B2637" s="26" t="s">
        <v>5490</v>
      </c>
      <c r="C2637" s="26" t="s">
        <v>17</v>
      </c>
      <c r="D2637" s="28" t="s">
        <v>5491</v>
      </c>
      <c r="E2637" s="26">
        <v>13436</v>
      </c>
      <c r="F2637" s="29" t="s">
        <v>247</v>
      </c>
    </row>
    <row r="2638" spans="1:6" ht="29" x14ac:dyDescent="0.35">
      <c r="A2638" s="26" t="s">
        <v>216</v>
      </c>
      <c r="B2638" s="26" t="s">
        <v>5492</v>
      </c>
      <c r="C2638" s="26" t="s">
        <v>20</v>
      </c>
      <c r="D2638" s="28" t="s">
        <v>5493</v>
      </c>
      <c r="E2638" s="26">
        <v>13436</v>
      </c>
      <c r="F2638" s="29" t="s">
        <v>223</v>
      </c>
    </row>
    <row r="2639" spans="1:6" ht="58" x14ac:dyDescent="0.35">
      <c r="A2639" s="26" t="s">
        <v>216</v>
      </c>
      <c r="B2639" s="26" t="s">
        <v>5494</v>
      </c>
      <c r="C2639" s="26" t="s">
        <v>25</v>
      </c>
      <c r="D2639" s="28" t="s">
        <v>5495</v>
      </c>
      <c r="E2639" s="26">
        <v>0</v>
      </c>
      <c r="F2639" s="29" t="s">
        <v>226</v>
      </c>
    </row>
    <row r="2640" spans="1:6" ht="43.5" x14ac:dyDescent="0.35">
      <c r="A2640" s="26" t="s">
        <v>216</v>
      </c>
      <c r="B2640" s="26" t="s">
        <v>5496</v>
      </c>
      <c r="C2640" s="26" t="s">
        <v>27</v>
      </c>
      <c r="D2640" s="28" t="s">
        <v>5497</v>
      </c>
      <c r="E2640" s="26">
        <v>0</v>
      </c>
      <c r="F2640" s="29" t="s">
        <v>229</v>
      </c>
    </row>
    <row r="2641" spans="1:6" ht="29" x14ac:dyDescent="0.35">
      <c r="A2641" s="26" t="s">
        <v>216</v>
      </c>
      <c r="B2641" s="26" t="s">
        <v>5498</v>
      </c>
      <c r="C2641" s="26" t="s">
        <v>24</v>
      </c>
      <c r="D2641" s="28" t="s">
        <v>5499</v>
      </c>
      <c r="E2641" s="26">
        <v>0</v>
      </c>
      <c r="F2641" s="29" t="s">
        <v>232</v>
      </c>
    </row>
    <row r="2642" spans="1:6" ht="43.5" x14ac:dyDescent="0.35">
      <c r="A2642" s="26" t="s">
        <v>216</v>
      </c>
      <c r="B2642" s="26" t="s">
        <v>5500</v>
      </c>
      <c r="C2642" s="26" t="s">
        <v>15</v>
      </c>
      <c r="D2642" s="28" t="s">
        <v>218</v>
      </c>
      <c r="E2642" s="26" t="s">
        <v>5501</v>
      </c>
      <c r="F2642" s="29" t="s">
        <v>220</v>
      </c>
    </row>
    <row r="2643" spans="1:6" ht="29" x14ac:dyDescent="0.35">
      <c r="A2643" s="26" t="s">
        <v>216</v>
      </c>
      <c r="B2643" s="26" t="s">
        <v>5502</v>
      </c>
      <c r="C2643" s="26" t="s">
        <v>17</v>
      </c>
      <c r="D2643" s="28" t="s">
        <v>5503</v>
      </c>
      <c r="E2643" s="26">
        <v>13436</v>
      </c>
      <c r="F2643" s="29" t="s">
        <v>247</v>
      </c>
    </row>
    <row r="2644" spans="1:6" ht="29" x14ac:dyDescent="0.35">
      <c r="A2644" s="26" t="s">
        <v>216</v>
      </c>
      <c r="B2644" s="26" t="s">
        <v>5504</v>
      </c>
      <c r="C2644" s="26" t="s">
        <v>20</v>
      </c>
      <c r="D2644" s="28" t="s">
        <v>5505</v>
      </c>
      <c r="E2644" s="26">
        <v>13436</v>
      </c>
      <c r="F2644" s="29" t="s">
        <v>223</v>
      </c>
    </row>
    <row r="2645" spans="1:6" ht="58" x14ac:dyDescent="0.35">
      <c r="A2645" s="26" t="s">
        <v>216</v>
      </c>
      <c r="B2645" s="26" t="s">
        <v>5506</v>
      </c>
      <c r="C2645" s="26" t="s">
        <v>25</v>
      </c>
      <c r="D2645" s="28" t="s">
        <v>5507</v>
      </c>
      <c r="E2645" s="26">
        <v>0</v>
      </c>
      <c r="F2645" s="29" t="s">
        <v>226</v>
      </c>
    </row>
    <row r="2646" spans="1:6" ht="43.5" x14ac:dyDescent="0.35">
      <c r="A2646" s="26" t="s">
        <v>216</v>
      </c>
      <c r="B2646" s="26" t="s">
        <v>5508</v>
      </c>
      <c r="C2646" s="26" t="s">
        <v>27</v>
      </c>
      <c r="D2646" s="28" t="s">
        <v>5509</v>
      </c>
      <c r="E2646" s="26">
        <v>0</v>
      </c>
      <c r="F2646" s="29" t="s">
        <v>229</v>
      </c>
    </row>
    <row r="2647" spans="1:6" ht="29" x14ac:dyDescent="0.35">
      <c r="A2647" s="26" t="s">
        <v>216</v>
      </c>
      <c r="B2647" s="26" t="s">
        <v>5510</v>
      </c>
      <c r="C2647" s="26" t="s">
        <v>24</v>
      </c>
      <c r="D2647" s="28" t="s">
        <v>5511</v>
      </c>
      <c r="E2647" s="26">
        <v>0</v>
      </c>
      <c r="F2647" s="29" t="s">
        <v>232</v>
      </c>
    </row>
    <row r="2648" spans="1:6" ht="43.5" x14ac:dyDescent="0.35">
      <c r="A2648" s="26" t="s">
        <v>216</v>
      </c>
      <c r="B2648" s="26" t="s">
        <v>5512</v>
      </c>
      <c r="C2648" s="26" t="s">
        <v>15</v>
      </c>
      <c r="D2648" s="28" t="s">
        <v>218</v>
      </c>
      <c r="E2648" s="26" t="s">
        <v>5513</v>
      </c>
      <c r="F2648" s="29" t="s">
        <v>220</v>
      </c>
    </row>
    <row r="2649" spans="1:6" ht="29" x14ac:dyDescent="0.35">
      <c r="A2649" s="26" t="s">
        <v>216</v>
      </c>
      <c r="B2649" s="26" t="s">
        <v>5514</v>
      </c>
      <c r="C2649" s="26" t="s">
        <v>17</v>
      </c>
      <c r="D2649" s="28" t="s">
        <v>5515</v>
      </c>
      <c r="E2649" s="26">
        <v>13436</v>
      </c>
      <c r="F2649" s="29" t="s">
        <v>247</v>
      </c>
    </row>
    <row r="2650" spans="1:6" ht="29" x14ac:dyDescent="0.35">
      <c r="A2650" s="26" t="s">
        <v>216</v>
      </c>
      <c r="B2650" s="26" t="s">
        <v>5516</v>
      </c>
      <c r="C2650" s="26" t="s">
        <v>20</v>
      </c>
      <c r="D2650" s="28" t="s">
        <v>5517</v>
      </c>
      <c r="E2650" s="26">
        <v>13436</v>
      </c>
      <c r="F2650" s="29" t="s">
        <v>223</v>
      </c>
    </row>
    <row r="2651" spans="1:6" ht="58" x14ac:dyDescent="0.35">
      <c r="A2651" s="26" t="s">
        <v>216</v>
      </c>
      <c r="B2651" s="26" t="s">
        <v>5518</v>
      </c>
      <c r="C2651" s="26" t="s">
        <v>25</v>
      </c>
      <c r="D2651" s="28" t="s">
        <v>5519</v>
      </c>
      <c r="E2651" s="26">
        <v>0</v>
      </c>
      <c r="F2651" s="29" t="s">
        <v>226</v>
      </c>
    </row>
    <row r="2652" spans="1:6" ht="43.5" x14ac:dyDescent="0.35">
      <c r="A2652" s="26" t="s">
        <v>216</v>
      </c>
      <c r="B2652" s="26" t="s">
        <v>5520</v>
      </c>
      <c r="C2652" s="26" t="s">
        <v>27</v>
      </c>
      <c r="D2652" s="28" t="s">
        <v>5521</v>
      </c>
      <c r="E2652" s="26">
        <v>0</v>
      </c>
      <c r="F2652" s="29" t="s">
        <v>229</v>
      </c>
    </row>
    <row r="2653" spans="1:6" ht="29" x14ac:dyDescent="0.35">
      <c r="A2653" s="26" t="s">
        <v>216</v>
      </c>
      <c r="B2653" s="26" t="s">
        <v>5522</v>
      </c>
      <c r="C2653" s="26" t="s">
        <v>24</v>
      </c>
      <c r="D2653" s="28" t="s">
        <v>5523</v>
      </c>
      <c r="E2653" s="26">
        <v>0</v>
      </c>
      <c r="F2653" s="29" t="s">
        <v>232</v>
      </c>
    </row>
    <row r="2654" spans="1:6" ht="43.5" x14ac:dyDescent="0.35">
      <c r="A2654" s="26" t="s">
        <v>216</v>
      </c>
      <c r="B2654" s="26" t="s">
        <v>5524</v>
      </c>
      <c r="C2654" s="26" t="s">
        <v>15</v>
      </c>
      <c r="D2654" s="28" t="s">
        <v>218</v>
      </c>
      <c r="E2654" s="26" t="s">
        <v>5525</v>
      </c>
      <c r="F2654" s="29" t="s">
        <v>220</v>
      </c>
    </row>
    <row r="2655" spans="1:6" ht="29" x14ac:dyDescent="0.35">
      <c r="A2655" s="26" t="s">
        <v>216</v>
      </c>
      <c r="B2655" s="26" t="s">
        <v>5526</v>
      </c>
      <c r="C2655" s="26" t="s">
        <v>17</v>
      </c>
      <c r="D2655" s="28" t="s">
        <v>5527</v>
      </c>
      <c r="E2655" s="26">
        <v>13436</v>
      </c>
      <c r="F2655" s="29" t="s">
        <v>247</v>
      </c>
    </row>
    <row r="2656" spans="1:6" ht="29" x14ac:dyDescent="0.35">
      <c r="A2656" s="26" t="s">
        <v>216</v>
      </c>
      <c r="B2656" s="26" t="s">
        <v>5528</v>
      </c>
      <c r="C2656" s="26" t="s">
        <v>20</v>
      </c>
      <c r="D2656" s="28" t="s">
        <v>5529</v>
      </c>
      <c r="E2656" s="26">
        <v>13436</v>
      </c>
      <c r="F2656" s="29" t="s">
        <v>223</v>
      </c>
    </row>
    <row r="2657" spans="1:6" ht="58" x14ac:dyDescent="0.35">
      <c r="A2657" s="26" t="s">
        <v>216</v>
      </c>
      <c r="B2657" s="26" t="s">
        <v>5530</v>
      </c>
      <c r="C2657" s="26" t="s">
        <v>25</v>
      </c>
      <c r="D2657" s="28" t="s">
        <v>5531</v>
      </c>
      <c r="E2657" s="26">
        <v>0</v>
      </c>
      <c r="F2657" s="29" t="s">
        <v>226</v>
      </c>
    </row>
    <row r="2658" spans="1:6" ht="43.5" x14ac:dyDescent="0.35">
      <c r="A2658" s="26" t="s">
        <v>216</v>
      </c>
      <c r="B2658" s="26" t="s">
        <v>5532</v>
      </c>
      <c r="C2658" s="26" t="s">
        <v>27</v>
      </c>
      <c r="D2658" s="28" t="s">
        <v>5533</v>
      </c>
      <c r="E2658" s="26">
        <v>0</v>
      </c>
      <c r="F2658" s="29" t="s">
        <v>229</v>
      </c>
    </row>
    <row r="2659" spans="1:6" ht="29" x14ac:dyDescent="0.35">
      <c r="A2659" s="26" t="s">
        <v>216</v>
      </c>
      <c r="B2659" s="26" t="s">
        <v>5534</v>
      </c>
      <c r="C2659" s="26" t="s">
        <v>24</v>
      </c>
      <c r="D2659" s="28" t="s">
        <v>5535</v>
      </c>
      <c r="E2659" s="26">
        <v>0</v>
      </c>
      <c r="F2659" s="29" t="s">
        <v>232</v>
      </c>
    </row>
    <row r="2660" spans="1:6" ht="43.5" x14ac:dyDescent="0.35">
      <c r="A2660" s="26" t="s">
        <v>216</v>
      </c>
      <c r="B2660" s="26" t="s">
        <v>5536</v>
      </c>
      <c r="C2660" s="26" t="s">
        <v>15</v>
      </c>
      <c r="D2660" s="28" t="s">
        <v>218</v>
      </c>
      <c r="E2660" s="26" t="s">
        <v>5537</v>
      </c>
      <c r="F2660" s="29" t="s">
        <v>220</v>
      </c>
    </row>
    <row r="2661" spans="1:6" ht="29" x14ac:dyDescent="0.35">
      <c r="A2661" s="26" t="s">
        <v>216</v>
      </c>
      <c r="B2661" s="26" t="s">
        <v>5538</v>
      </c>
      <c r="C2661" s="26" t="s">
        <v>17</v>
      </c>
      <c r="D2661" s="28" t="s">
        <v>5539</v>
      </c>
      <c r="E2661" s="26">
        <v>13436</v>
      </c>
      <c r="F2661" s="29" t="s">
        <v>247</v>
      </c>
    </row>
    <row r="2662" spans="1:6" ht="29" x14ac:dyDescent="0.35">
      <c r="A2662" s="26" t="s">
        <v>216</v>
      </c>
      <c r="B2662" s="26" t="s">
        <v>5540</v>
      </c>
      <c r="C2662" s="26" t="s">
        <v>20</v>
      </c>
      <c r="D2662" s="28" t="s">
        <v>5541</v>
      </c>
      <c r="E2662" s="26">
        <v>13436</v>
      </c>
      <c r="F2662" s="29" t="s">
        <v>223</v>
      </c>
    </row>
    <row r="2663" spans="1:6" ht="58" x14ac:dyDescent="0.35">
      <c r="A2663" s="26" t="s">
        <v>216</v>
      </c>
      <c r="B2663" s="26" t="s">
        <v>5542</v>
      </c>
      <c r="C2663" s="26" t="s">
        <v>25</v>
      </c>
      <c r="D2663" s="28" t="s">
        <v>5543</v>
      </c>
      <c r="E2663" s="26">
        <v>0</v>
      </c>
      <c r="F2663" s="29" t="s">
        <v>226</v>
      </c>
    </row>
    <row r="2664" spans="1:6" ht="43.5" x14ac:dyDescent="0.35">
      <c r="A2664" s="26" t="s">
        <v>216</v>
      </c>
      <c r="B2664" s="26" t="s">
        <v>5544</v>
      </c>
      <c r="C2664" s="26" t="s">
        <v>27</v>
      </c>
      <c r="D2664" s="28" t="s">
        <v>5545</v>
      </c>
      <c r="E2664" s="26">
        <v>0</v>
      </c>
      <c r="F2664" s="29" t="s">
        <v>229</v>
      </c>
    </row>
    <row r="2665" spans="1:6" ht="29" x14ac:dyDescent="0.35">
      <c r="A2665" s="26" t="s">
        <v>216</v>
      </c>
      <c r="B2665" s="26" t="s">
        <v>5546</v>
      </c>
      <c r="C2665" s="26" t="s">
        <v>24</v>
      </c>
      <c r="D2665" s="28" t="s">
        <v>5547</v>
      </c>
      <c r="E2665" s="26">
        <v>0</v>
      </c>
      <c r="F2665" s="29" t="s">
        <v>232</v>
      </c>
    </row>
    <row r="2666" spans="1:6" ht="43.5" x14ac:dyDescent="0.35">
      <c r="A2666" s="26" t="s">
        <v>216</v>
      </c>
      <c r="B2666" s="26" t="s">
        <v>5548</v>
      </c>
      <c r="C2666" s="26" t="s">
        <v>15</v>
      </c>
      <c r="D2666" s="28" t="s">
        <v>218</v>
      </c>
      <c r="E2666" s="26" t="s">
        <v>5549</v>
      </c>
      <c r="F2666" s="29" t="s">
        <v>220</v>
      </c>
    </row>
    <row r="2667" spans="1:6" ht="29" x14ac:dyDescent="0.35">
      <c r="A2667" s="26" t="s">
        <v>216</v>
      </c>
      <c r="B2667" s="26" t="s">
        <v>5550</v>
      </c>
      <c r="C2667" s="26" t="s">
        <v>17</v>
      </c>
      <c r="D2667" s="28" t="s">
        <v>5551</v>
      </c>
      <c r="E2667" s="26">
        <v>13436</v>
      </c>
      <c r="F2667" s="29" t="s">
        <v>247</v>
      </c>
    </row>
    <row r="2668" spans="1:6" ht="29" x14ac:dyDescent="0.35">
      <c r="A2668" s="26" t="s">
        <v>216</v>
      </c>
      <c r="B2668" s="26" t="s">
        <v>5552</v>
      </c>
      <c r="C2668" s="26" t="s">
        <v>20</v>
      </c>
      <c r="D2668" s="28" t="s">
        <v>5553</v>
      </c>
      <c r="E2668" s="26">
        <v>13436</v>
      </c>
      <c r="F2668" s="29" t="s">
        <v>223</v>
      </c>
    </row>
    <row r="2669" spans="1:6" ht="58" x14ac:dyDescent="0.35">
      <c r="A2669" s="26" t="s">
        <v>216</v>
      </c>
      <c r="B2669" s="26" t="s">
        <v>5554</v>
      </c>
      <c r="C2669" s="26" t="s">
        <v>25</v>
      </c>
      <c r="D2669" s="28" t="s">
        <v>5555</v>
      </c>
      <c r="E2669" s="26">
        <v>0</v>
      </c>
      <c r="F2669" s="29" t="s">
        <v>226</v>
      </c>
    </row>
    <row r="2670" spans="1:6" ht="43.5" x14ac:dyDescent="0.35">
      <c r="A2670" s="26" t="s">
        <v>216</v>
      </c>
      <c r="B2670" s="26" t="s">
        <v>5556</v>
      </c>
      <c r="C2670" s="26" t="s">
        <v>27</v>
      </c>
      <c r="D2670" s="28" t="s">
        <v>5557</v>
      </c>
      <c r="E2670" s="26">
        <v>0</v>
      </c>
      <c r="F2670" s="29" t="s">
        <v>229</v>
      </c>
    </row>
    <row r="2671" spans="1:6" ht="29" x14ac:dyDescent="0.35">
      <c r="A2671" s="26" t="s">
        <v>216</v>
      </c>
      <c r="B2671" s="26" t="s">
        <v>5558</v>
      </c>
      <c r="C2671" s="26" t="s">
        <v>24</v>
      </c>
      <c r="D2671" s="28" t="s">
        <v>5559</v>
      </c>
      <c r="E2671" s="26">
        <v>0</v>
      </c>
      <c r="F2671" s="29" t="s">
        <v>232</v>
      </c>
    </row>
    <row r="2672" spans="1:6" ht="43.5" x14ac:dyDescent="0.35">
      <c r="A2672" s="26" t="s">
        <v>216</v>
      </c>
      <c r="B2672" s="26" t="s">
        <v>5560</v>
      </c>
      <c r="C2672" s="26" t="s">
        <v>15</v>
      </c>
      <c r="D2672" s="28" t="s">
        <v>218</v>
      </c>
      <c r="E2672" s="26" t="s">
        <v>5561</v>
      </c>
      <c r="F2672" s="29" t="s">
        <v>220</v>
      </c>
    </row>
    <row r="2673" spans="1:6" ht="29" x14ac:dyDescent="0.35">
      <c r="A2673" s="26" t="s">
        <v>216</v>
      </c>
      <c r="B2673" s="26" t="s">
        <v>5562</v>
      </c>
      <c r="C2673" s="26" t="s">
        <v>17</v>
      </c>
      <c r="D2673" s="28" t="s">
        <v>5563</v>
      </c>
      <c r="E2673" s="26">
        <v>13436</v>
      </c>
      <c r="F2673" s="29" t="s">
        <v>247</v>
      </c>
    </row>
    <row r="2674" spans="1:6" ht="29" x14ac:dyDescent="0.35">
      <c r="A2674" s="26" t="s">
        <v>216</v>
      </c>
      <c r="B2674" s="26" t="s">
        <v>5564</v>
      </c>
      <c r="C2674" s="26" t="s">
        <v>20</v>
      </c>
      <c r="D2674" s="28" t="s">
        <v>5565</v>
      </c>
      <c r="E2674" s="26">
        <v>13436</v>
      </c>
      <c r="F2674" s="29" t="s">
        <v>223</v>
      </c>
    </row>
    <row r="2675" spans="1:6" ht="58" x14ac:dyDescent="0.35">
      <c r="A2675" s="26" t="s">
        <v>216</v>
      </c>
      <c r="B2675" s="26" t="s">
        <v>5566</v>
      </c>
      <c r="C2675" s="26" t="s">
        <v>25</v>
      </c>
      <c r="D2675" s="28" t="s">
        <v>5567</v>
      </c>
      <c r="E2675" s="26">
        <v>0</v>
      </c>
      <c r="F2675" s="29" t="s">
        <v>226</v>
      </c>
    </row>
    <row r="2676" spans="1:6" ht="43.5" x14ac:dyDescent="0.35">
      <c r="A2676" s="26" t="s">
        <v>216</v>
      </c>
      <c r="B2676" s="26" t="s">
        <v>5568</v>
      </c>
      <c r="C2676" s="26" t="s">
        <v>27</v>
      </c>
      <c r="D2676" s="28" t="s">
        <v>5569</v>
      </c>
      <c r="E2676" s="26">
        <v>0</v>
      </c>
      <c r="F2676" s="29" t="s">
        <v>229</v>
      </c>
    </row>
    <row r="2677" spans="1:6" ht="29" x14ac:dyDescent="0.35">
      <c r="A2677" s="26" t="s">
        <v>216</v>
      </c>
      <c r="B2677" s="26" t="s">
        <v>5570</v>
      </c>
      <c r="C2677" s="26" t="s">
        <v>24</v>
      </c>
      <c r="D2677" s="28" t="s">
        <v>5571</v>
      </c>
      <c r="E2677" s="26">
        <v>0</v>
      </c>
      <c r="F2677" s="29" t="s">
        <v>232</v>
      </c>
    </row>
    <row r="2678" spans="1:6" ht="43.5" x14ac:dyDescent="0.35">
      <c r="A2678" s="26" t="s">
        <v>216</v>
      </c>
      <c r="B2678" s="26" t="s">
        <v>5572</v>
      </c>
      <c r="C2678" s="26" t="s">
        <v>15</v>
      </c>
      <c r="D2678" s="28" t="s">
        <v>218</v>
      </c>
      <c r="E2678" s="26" t="s">
        <v>5573</v>
      </c>
      <c r="F2678" s="29" t="s">
        <v>220</v>
      </c>
    </row>
    <row r="2679" spans="1:6" ht="29" x14ac:dyDescent="0.35">
      <c r="A2679" s="26" t="s">
        <v>216</v>
      </c>
      <c r="B2679" s="26" t="s">
        <v>5574</v>
      </c>
      <c r="C2679" s="26" t="s">
        <v>17</v>
      </c>
      <c r="D2679" s="28" t="s">
        <v>5575</v>
      </c>
      <c r="E2679" s="26">
        <v>13436</v>
      </c>
      <c r="F2679" s="29" t="s">
        <v>247</v>
      </c>
    </row>
    <row r="2680" spans="1:6" ht="29" x14ac:dyDescent="0.35">
      <c r="A2680" s="26" t="s">
        <v>216</v>
      </c>
      <c r="B2680" s="26" t="s">
        <v>5576</v>
      </c>
      <c r="C2680" s="26" t="s">
        <v>20</v>
      </c>
      <c r="D2680" s="28" t="s">
        <v>5577</v>
      </c>
      <c r="E2680" s="26">
        <v>13436</v>
      </c>
      <c r="F2680" s="29" t="s">
        <v>223</v>
      </c>
    </row>
    <row r="2681" spans="1:6" ht="58" x14ac:dyDescent="0.35">
      <c r="A2681" s="26" t="s">
        <v>216</v>
      </c>
      <c r="B2681" s="26" t="s">
        <v>5578</v>
      </c>
      <c r="C2681" s="26" t="s">
        <v>25</v>
      </c>
      <c r="D2681" s="28" t="s">
        <v>5579</v>
      </c>
      <c r="E2681" s="26">
        <v>0</v>
      </c>
      <c r="F2681" s="29" t="s">
        <v>226</v>
      </c>
    </row>
    <row r="2682" spans="1:6" ht="43.5" x14ac:dyDescent="0.35">
      <c r="A2682" s="26" t="s">
        <v>216</v>
      </c>
      <c r="B2682" s="26" t="s">
        <v>5580</v>
      </c>
      <c r="C2682" s="26" t="s">
        <v>27</v>
      </c>
      <c r="D2682" s="28" t="s">
        <v>5581</v>
      </c>
      <c r="E2682" s="26">
        <v>0</v>
      </c>
      <c r="F2682" s="29" t="s">
        <v>229</v>
      </c>
    </row>
    <row r="2683" spans="1:6" ht="29" x14ac:dyDescent="0.35">
      <c r="A2683" s="26" t="s">
        <v>216</v>
      </c>
      <c r="B2683" s="26" t="s">
        <v>5582</v>
      </c>
      <c r="C2683" s="26" t="s">
        <v>24</v>
      </c>
      <c r="D2683" s="28" t="s">
        <v>5583</v>
      </c>
      <c r="E2683" s="26">
        <v>0</v>
      </c>
      <c r="F2683" s="29" t="s">
        <v>232</v>
      </c>
    </row>
    <row r="2684" spans="1:6" ht="43.5" x14ac:dyDescent="0.35">
      <c r="A2684" s="26" t="s">
        <v>216</v>
      </c>
      <c r="B2684" s="26" t="s">
        <v>5584</v>
      </c>
      <c r="C2684" s="26" t="s">
        <v>15</v>
      </c>
      <c r="D2684" s="28" t="s">
        <v>218</v>
      </c>
      <c r="E2684" s="26" t="s">
        <v>5585</v>
      </c>
      <c r="F2684" s="29" t="s">
        <v>220</v>
      </c>
    </row>
    <row r="2685" spans="1:6" ht="29" x14ac:dyDescent="0.35">
      <c r="A2685" s="26" t="s">
        <v>216</v>
      </c>
      <c r="B2685" s="26" t="s">
        <v>5586</v>
      </c>
      <c r="C2685" s="26" t="s">
        <v>17</v>
      </c>
      <c r="D2685" s="28" t="s">
        <v>5587</v>
      </c>
      <c r="E2685" s="26">
        <v>13436</v>
      </c>
      <c r="F2685" s="29" t="s">
        <v>247</v>
      </c>
    </row>
    <row r="2686" spans="1:6" ht="29" x14ac:dyDescent="0.35">
      <c r="A2686" s="26" t="s">
        <v>216</v>
      </c>
      <c r="B2686" s="26" t="s">
        <v>5588</v>
      </c>
      <c r="C2686" s="26" t="s">
        <v>20</v>
      </c>
      <c r="D2686" s="28" t="s">
        <v>5589</v>
      </c>
      <c r="E2686" s="26">
        <v>13436</v>
      </c>
      <c r="F2686" s="29" t="s">
        <v>223</v>
      </c>
    </row>
    <row r="2687" spans="1:6" ht="58" x14ac:dyDescent="0.35">
      <c r="A2687" s="26" t="s">
        <v>216</v>
      </c>
      <c r="B2687" s="26" t="s">
        <v>5590</v>
      </c>
      <c r="C2687" s="26" t="s">
        <v>25</v>
      </c>
      <c r="D2687" s="28" t="s">
        <v>5591</v>
      </c>
      <c r="E2687" s="26">
        <v>0</v>
      </c>
      <c r="F2687" s="29" t="s">
        <v>226</v>
      </c>
    </row>
    <row r="2688" spans="1:6" ht="43.5" x14ac:dyDescent="0.35">
      <c r="A2688" s="26" t="s">
        <v>216</v>
      </c>
      <c r="B2688" s="26" t="s">
        <v>5592</v>
      </c>
      <c r="C2688" s="26" t="s">
        <v>27</v>
      </c>
      <c r="D2688" s="28" t="s">
        <v>5593</v>
      </c>
      <c r="E2688" s="26">
        <v>0</v>
      </c>
      <c r="F2688" s="29" t="s">
        <v>229</v>
      </c>
    </row>
    <row r="2689" spans="1:6" ht="29" x14ac:dyDescent="0.35">
      <c r="A2689" s="26" t="s">
        <v>216</v>
      </c>
      <c r="B2689" s="26" t="s">
        <v>5594</v>
      </c>
      <c r="C2689" s="26" t="s">
        <v>24</v>
      </c>
      <c r="D2689" s="28" t="s">
        <v>5595</v>
      </c>
      <c r="E2689" s="26">
        <v>0</v>
      </c>
      <c r="F2689" s="29" t="s">
        <v>232</v>
      </c>
    </row>
    <row r="2690" spans="1:6" ht="43.5" x14ac:dyDescent="0.35">
      <c r="A2690" s="26" t="s">
        <v>216</v>
      </c>
      <c r="B2690" s="26" t="s">
        <v>5596</v>
      </c>
      <c r="C2690" s="26" t="s">
        <v>15</v>
      </c>
      <c r="D2690" s="28" t="s">
        <v>218</v>
      </c>
      <c r="E2690" s="26" t="s">
        <v>5597</v>
      </c>
      <c r="F2690" s="29" t="s">
        <v>220</v>
      </c>
    </row>
    <row r="2691" spans="1:6" ht="29" x14ac:dyDescent="0.35">
      <c r="A2691" s="26" t="s">
        <v>216</v>
      </c>
      <c r="B2691" s="26" t="s">
        <v>5598</v>
      </c>
      <c r="C2691" s="26" t="s">
        <v>17</v>
      </c>
      <c r="D2691" s="28" t="s">
        <v>5599</v>
      </c>
      <c r="E2691" s="26">
        <v>13436</v>
      </c>
      <c r="F2691" s="29" t="s">
        <v>247</v>
      </c>
    </row>
    <row r="2692" spans="1:6" ht="29" x14ac:dyDescent="0.35">
      <c r="A2692" s="26" t="s">
        <v>216</v>
      </c>
      <c r="B2692" s="26" t="s">
        <v>5600</v>
      </c>
      <c r="C2692" s="26" t="s">
        <v>20</v>
      </c>
      <c r="D2692" s="28" t="s">
        <v>5601</v>
      </c>
      <c r="E2692" s="26">
        <v>13436</v>
      </c>
      <c r="F2692" s="29" t="s">
        <v>223</v>
      </c>
    </row>
    <row r="2693" spans="1:6" ht="58" x14ac:dyDescent="0.35">
      <c r="A2693" s="26" t="s">
        <v>216</v>
      </c>
      <c r="B2693" s="26" t="s">
        <v>5602</v>
      </c>
      <c r="C2693" s="26" t="s">
        <v>25</v>
      </c>
      <c r="D2693" s="28" t="s">
        <v>5603</v>
      </c>
      <c r="E2693" s="26">
        <v>0</v>
      </c>
      <c r="F2693" s="29" t="s">
        <v>226</v>
      </c>
    </row>
    <row r="2694" spans="1:6" ht="43.5" x14ac:dyDescent="0.35">
      <c r="A2694" s="26" t="s">
        <v>216</v>
      </c>
      <c r="B2694" s="26" t="s">
        <v>5604</v>
      </c>
      <c r="C2694" s="26" t="s">
        <v>27</v>
      </c>
      <c r="D2694" s="28" t="s">
        <v>5605</v>
      </c>
      <c r="E2694" s="26">
        <v>0</v>
      </c>
      <c r="F2694" s="29" t="s">
        <v>229</v>
      </c>
    </row>
    <row r="2695" spans="1:6" ht="29" x14ac:dyDescent="0.35">
      <c r="A2695" s="26" t="s">
        <v>216</v>
      </c>
      <c r="B2695" s="26" t="s">
        <v>5606</v>
      </c>
      <c r="C2695" s="26" t="s">
        <v>24</v>
      </c>
      <c r="D2695" s="28" t="s">
        <v>5607</v>
      </c>
      <c r="E2695" s="26">
        <v>0</v>
      </c>
      <c r="F2695" s="29" t="s">
        <v>232</v>
      </c>
    </row>
    <row r="2696" spans="1:6" ht="43.5" x14ac:dyDescent="0.35">
      <c r="A2696" s="26" t="s">
        <v>216</v>
      </c>
      <c r="B2696" s="26" t="s">
        <v>5608</v>
      </c>
      <c r="C2696" s="26" t="s">
        <v>15</v>
      </c>
      <c r="D2696" s="28" t="s">
        <v>218</v>
      </c>
      <c r="E2696" s="26" t="s">
        <v>5609</v>
      </c>
      <c r="F2696" s="29" t="s">
        <v>220</v>
      </c>
    </row>
    <row r="2697" spans="1:6" ht="29" x14ac:dyDescent="0.35">
      <c r="A2697" s="26" t="s">
        <v>216</v>
      </c>
      <c r="B2697" s="26" t="s">
        <v>5610</v>
      </c>
      <c r="C2697" s="26" t="s">
        <v>17</v>
      </c>
      <c r="D2697" s="28" t="s">
        <v>5611</v>
      </c>
      <c r="E2697" s="26">
        <v>13436</v>
      </c>
      <c r="F2697" s="29" t="s">
        <v>247</v>
      </c>
    </row>
    <row r="2698" spans="1:6" ht="29" x14ac:dyDescent="0.35">
      <c r="A2698" s="26" t="s">
        <v>216</v>
      </c>
      <c r="B2698" s="26" t="s">
        <v>5612</v>
      </c>
      <c r="C2698" s="26" t="s">
        <v>20</v>
      </c>
      <c r="D2698" s="28" t="s">
        <v>5613</v>
      </c>
      <c r="E2698" s="26">
        <v>13436</v>
      </c>
      <c r="F2698" s="29" t="s">
        <v>223</v>
      </c>
    </row>
    <row r="2699" spans="1:6" ht="58" x14ac:dyDescent="0.35">
      <c r="A2699" s="26" t="s">
        <v>216</v>
      </c>
      <c r="B2699" s="26" t="s">
        <v>5614</v>
      </c>
      <c r="C2699" s="26" t="s">
        <v>25</v>
      </c>
      <c r="D2699" s="28" t="s">
        <v>5615</v>
      </c>
      <c r="E2699" s="26">
        <v>0</v>
      </c>
      <c r="F2699" s="29" t="s">
        <v>226</v>
      </c>
    </row>
    <row r="2700" spans="1:6" ht="43.5" x14ac:dyDescent="0.35">
      <c r="A2700" s="26" t="s">
        <v>216</v>
      </c>
      <c r="B2700" s="26" t="s">
        <v>5616</v>
      </c>
      <c r="C2700" s="26" t="s">
        <v>27</v>
      </c>
      <c r="D2700" s="28" t="s">
        <v>5617</v>
      </c>
      <c r="E2700" s="26">
        <v>0</v>
      </c>
      <c r="F2700" s="29" t="s">
        <v>229</v>
      </c>
    </row>
    <row r="2701" spans="1:6" ht="29" x14ac:dyDescent="0.35">
      <c r="A2701" s="26" t="s">
        <v>216</v>
      </c>
      <c r="B2701" s="26" t="s">
        <v>5618</v>
      </c>
      <c r="C2701" s="26" t="s">
        <v>24</v>
      </c>
      <c r="D2701" s="28" t="s">
        <v>5619</v>
      </c>
      <c r="E2701" s="26">
        <v>0</v>
      </c>
      <c r="F2701" s="29" t="s">
        <v>232</v>
      </c>
    </row>
    <row r="2702" spans="1:6" ht="43.5" x14ac:dyDescent="0.35">
      <c r="A2702" s="26" t="s">
        <v>216</v>
      </c>
      <c r="B2702" s="26" t="s">
        <v>5620</v>
      </c>
      <c r="C2702" s="26" t="s">
        <v>15</v>
      </c>
      <c r="D2702" s="28" t="s">
        <v>218</v>
      </c>
      <c r="E2702" s="26" t="s">
        <v>5621</v>
      </c>
      <c r="F2702" s="29" t="s">
        <v>220</v>
      </c>
    </row>
    <row r="2703" spans="1:6" ht="29" x14ac:dyDescent="0.35">
      <c r="A2703" s="26" t="s">
        <v>216</v>
      </c>
      <c r="B2703" s="26" t="s">
        <v>5622</v>
      </c>
      <c r="C2703" s="26" t="s">
        <v>17</v>
      </c>
      <c r="D2703" s="28" t="s">
        <v>5623</v>
      </c>
      <c r="E2703" s="26">
        <v>13436</v>
      </c>
      <c r="F2703" s="29" t="s">
        <v>247</v>
      </c>
    </row>
    <row r="2704" spans="1:6" ht="29" x14ac:dyDescent="0.35">
      <c r="A2704" s="26" t="s">
        <v>216</v>
      </c>
      <c r="B2704" s="26" t="s">
        <v>5624</v>
      </c>
      <c r="C2704" s="26" t="s">
        <v>20</v>
      </c>
      <c r="D2704" s="28" t="s">
        <v>5625</v>
      </c>
      <c r="E2704" s="26">
        <v>13436</v>
      </c>
      <c r="F2704" s="29" t="s">
        <v>223</v>
      </c>
    </row>
    <row r="2705" spans="1:6" ht="58" x14ac:dyDescent="0.35">
      <c r="A2705" s="26" t="s">
        <v>216</v>
      </c>
      <c r="B2705" s="26" t="s">
        <v>5626</v>
      </c>
      <c r="C2705" s="26" t="s">
        <v>25</v>
      </c>
      <c r="D2705" s="28" t="s">
        <v>5627</v>
      </c>
      <c r="E2705" s="26">
        <v>0</v>
      </c>
      <c r="F2705" s="29" t="s">
        <v>226</v>
      </c>
    </row>
    <row r="2706" spans="1:6" ht="43.5" x14ac:dyDescent="0.35">
      <c r="A2706" s="26" t="s">
        <v>216</v>
      </c>
      <c r="B2706" s="26" t="s">
        <v>5628</v>
      </c>
      <c r="C2706" s="26" t="s">
        <v>27</v>
      </c>
      <c r="D2706" s="28" t="s">
        <v>5629</v>
      </c>
      <c r="E2706" s="26">
        <v>0</v>
      </c>
      <c r="F2706" s="29" t="s">
        <v>229</v>
      </c>
    </row>
    <row r="2707" spans="1:6" ht="29" x14ac:dyDescent="0.35">
      <c r="A2707" s="26" t="s">
        <v>216</v>
      </c>
      <c r="B2707" s="26" t="s">
        <v>5630</v>
      </c>
      <c r="C2707" s="26" t="s">
        <v>24</v>
      </c>
      <c r="D2707" s="28" t="s">
        <v>5631</v>
      </c>
      <c r="E2707" s="26">
        <v>0</v>
      </c>
      <c r="F2707" s="29" t="s">
        <v>232</v>
      </c>
    </row>
    <row r="2708" spans="1:6" ht="43.5" x14ac:dyDescent="0.35">
      <c r="A2708" s="26" t="s">
        <v>216</v>
      </c>
      <c r="B2708" s="26" t="s">
        <v>5632</v>
      </c>
      <c r="C2708" s="26" t="s">
        <v>15</v>
      </c>
      <c r="D2708" s="28" t="s">
        <v>218</v>
      </c>
      <c r="E2708" s="26" t="s">
        <v>5633</v>
      </c>
      <c r="F2708" s="29" t="s">
        <v>220</v>
      </c>
    </row>
    <row r="2709" spans="1:6" ht="29" x14ac:dyDescent="0.35">
      <c r="A2709" s="26" t="s">
        <v>216</v>
      </c>
      <c r="B2709" s="26" t="s">
        <v>5634</v>
      </c>
      <c r="C2709" s="26" t="s">
        <v>17</v>
      </c>
      <c r="D2709" s="28" t="s">
        <v>5635</v>
      </c>
      <c r="E2709" s="26">
        <v>13436</v>
      </c>
      <c r="F2709" s="29" t="s">
        <v>247</v>
      </c>
    </row>
    <row r="2710" spans="1:6" ht="29" x14ac:dyDescent="0.35">
      <c r="A2710" s="26" t="s">
        <v>216</v>
      </c>
      <c r="B2710" s="26" t="s">
        <v>5636</v>
      </c>
      <c r="C2710" s="26" t="s">
        <v>20</v>
      </c>
      <c r="D2710" s="28" t="s">
        <v>5637</v>
      </c>
      <c r="E2710" s="26">
        <v>13436</v>
      </c>
      <c r="F2710" s="29" t="s">
        <v>223</v>
      </c>
    </row>
    <row r="2711" spans="1:6" ht="58" x14ac:dyDescent="0.35">
      <c r="A2711" s="26" t="s">
        <v>216</v>
      </c>
      <c r="B2711" s="26" t="s">
        <v>5638</v>
      </c>
      <c r="C2711" s="26" t="s">
        <v>25</v>
      </c>
      <c r="D2711" s="28" t="s">
        <v>5639</v>
      </c>
      <c r="E2711" s="26">
        <v>0</v>
      </c>
      <c r="F2711" s="29" t="s">
        <v>226</v>
      </c>
    </row>
    <row r="2712" spans="1:6" ht="43.5" x14ac:dyDescent="0.35">
      <c r="A2712" s="26" t="s">
        <v>216</v>
      </c>
      <c r="B2712" s="26" t="s">
        <v>5640</v>
      </c>
      <c r="C2712" s="26" t="s">
        <v>27</v>
      </c>
      <c r="D2712" s="28" t="s">
        <v>5641</v>
      </c>
      <c r="E2712" s="26">
        <v>0</v>
      </c>
      <c r="F2712" s="29" t="s">
        <v>229</v>
      </c>
    </row>
    <row r="2713" spans="1:6" ht="29" x14ac:dyDescent="0.35">
      <c r="A2713" s="26" t="s">
        <v>216</v>
      </c>
      <c r="B2713" s="26" t="s">
        <v>5642</v>
      </c>
      <c r="C2713" s="26" t="s">
        <v>24</v>
      </c>
      <c r="D2713" s="28" t="s">
        <v>5643</v>
      </c>
      <c r="E2713" s="26">
        <v>0</v>
      </c>
      <c r="F2713" s="29" t="s">
        <v>232</v>
      </c>
    </row>
    <row r="2714" spans="1:6" ht="43.5" x14ac:dyDescent="0.35">
      <c r="A2714" s="26" t="s">
        <v>216</v>
      </c>
      <c r="B2714" s="26" t="s">
        <v>5644</v>
      </c>
      <c r="C2714" s="26" t="s">
        <v>15</v>
      </c>
      <c r="D2714" s="28" t="s">
        <v>218</v>
      </c>
      <c r="E2714" s="26" t="s">
        <v>5645</v>
      </c>
      <c r="F2714" s="29" t="s">
        <v>220</v>
      </c>
    </row>
    <row r="2715" spans="1:6" ht="29" x14ac:dyDescent="0.35">
      <c r="A2715" s="26" t="s">
        <v>216</v>
      </c>
      <c r="B2715" s="26" t="s">
        <v>5646</v>
      </c>
      <c r="C2715" s="26" t="s">
        <v>17</v>
      </c>
      <c r="D2715" s="28" t="s">
        <v>5647</v>
      </c>
      <c r="E2715" s="26">
        <v>13436</v>
      </c>
      <c r="F2715" s="29" t="s">
        <v>247</v>
      </c>
    </row>
    <row r="2716" spans="1:6" ht="29" x14ac:dyDescent="0.35">
      <c r="A2716" s="26" t="s">
        <v>216</v>
      </c>
      <c r="B2716" s="26" t="s">
        <v>5648</v>
      </c>
      <c r="C2716" s="26" t="s">
        <v>20</v>
      </c>
      <c r="D2716" s="28" t="s">
        <v>5649</v>
      </c>
      <c r="E2716" s="26">
        <v>13436</v>
      </c>
      <c r="F2716" s="29" t="s">
        <v>223</v>
      </c>
    </row>
    <row r="2717" spans="1:6" ht="58" x14ac:dyDescent="0.35">
      <c r="A2717" s="26" t="s">
        <v>216</v>
      </c>
      <c r="B2717" s="26" t="s">
        <v>5650</v>
      </c>
      <c r="C2717" s="26" t="s">
        <v>25</v>
      </c>
      <c r="D2717" s="28" t="s">
        <v>5651</v>
      </c>
      <c r="E2717" s="26">
        <v>0</v>
      </c>
      <c r="F2717" s="29" t="s">
        <v>226</v>
      </c>
    </row>
    <row r="2718" spans="1:6" ht="43.5" x14ac:dyDescent="0.35">
      <c r="A2718" s="26" t="s">
        <v>216</v>
      </c>
      <c r="B2718" s="26" t="s">
        <v>5652</v>
      </c>
      <c r="C2718" s="26" t="s">
        <v>27</v>
      </c>
      <c r="D2718" s="28" t="s">
        <v>5653</v>
      </c>
      <c r="E2718" s="26">
        <v>0</v>
      </c>
      <c r="F2718" s="29" t="s">
        <v>229</v>
      </c>
    </row>
    <row r="2719" spans="1:6" ht="29" x14ac:dyDescent="0.35">
      <c r="A2719" s="26" t="s">
        <v>216</v>
      </c>
      <c r="B2719" s="26" t="s">
        <v>5654</v>
      </c>
      <c r="C2719" s="26" t="s">
        <v>24</v>
      </c>
      <c r="D2719" s="28" t="s">
        <v>5655</v>
      </c>
      <c r="E2719" s="26">
        <v>0</v>
      </c>
      <c r="F2719" s="29" t="s">
        <v>232</v>
      </c>
    </row>
    <row r="2720" spans="1:6" ht="43.5" x14ac:dyDescent="0.35">
      <c r="A2720" s="26" t="s">
        <v>216</v>
      </c>
      <c r="B2720" s="26" t="s">
        <v>5656</v>
      </c>
      <c r="C2720" s="26" t="s">
        <v>15</v>
      </c>
      <c r="D2720" s="28" t="s">
        <v>218</v>
      </c>
      <c r="E2720" s="26" t="s">
        <v>5657</v>
      </c>
      <c r="F2720" s="29" t="s">
        <v>220</v>
      </c>
    </row>
    <row r="2721" spans="1:6" ht="29" x14ac:dyDescent="0.35">
      <c r="A2721" s="26" t="s">
        <v>216</v>
      </c>
      <c r="B2721" s="26" t="s">
        <v>5658</v>
      </c>
      <c r="C2721" s="26" t="s">
        <v>17</v>
      </c>
      <c r="D2721" s="28" t="s">
        <v>5659</v>
      </c>
      <c r="E2721" s="26">
        <v>13436</v>
      </c>
      <c r="F2721" s="29" t="s">
        <v>247</v>
      </c>
    </row>
    <row r="2722" spans="1:6" ht="29" x14ac:dyDescent="0.35">
      <c r="A2722" s="26" t="s">
        <v>216</v>
      </c>
      <c r="B2722" s="26" t="s">
        <v>5660</v>
      </c>
      <c r="C2722" s="26" t="s">
        <v>20</v>
      </c>
      <c r="D2722" s="28" t="s">
        <v>5661</v>
      </c>
      <c r="E2722" s="26">
        <v>13436</v>
      </c>
      <c r="F2722" s="29" t="s">
        <v>223</v>
      </c>
    </row>
    <row r="2723" spans="1:6" ht="58" x14ac:dyDescent="0.35">
      <c r="A2723" s="26" t="s">
        <v>216</v>
      </c>
      <c r="B2723" s="26" t="s">
        <v>5662</v>
      </c>
      <c r="C2723" s="26" t="s">
        <v>25</v>
      </c>
      <c r="D2723" s="28" t="s">
        <v>5663</v>
      </c>
      <c r="E2723" s="26">
        <v>0</v>
      </c>
      <c r="F2723" s="29" t="s">
        <v>226</v>
      </c>
    </row>
    <row r="2724" spans="1:6" ht="43.5" x14ac:dyDescent="0.35">
      <c r="A2724" s="26" t="s">
        <v>216</v>
      </c>
      <c r="B2724" s="26" t="s">
        <v>5664</v>
      </c>
      <c r="C2724" s="26" t="s">
        <v>27</v>
      </c>
      <c r="D2724" s="28" t="s">
        <v>5665</v>
      </c>
      <c r="E2724" s="26">
        <v>0</v>
      </c>
      <c r="F2724" s="29" t="s">
        <v>229</v>
      </c>
    </row>
    <row r="2725" spans="1:6" ht="29" x14ac:dyDescent="0.35">
      <c r="A2725" s="26" t="s">
        <v>216</v>
      </c>
      <c r="B2725" s="26" t="s">
        <v>5666</v>
      </c>
      <c r="C2725" s="26" t="s">
        <v>24</v>
      </c>
      <c r="D2725" s="28" t="s">
        <v>5667</v>
      </c>
      <c r="E2725" s="26">
        <v>0</v>
      </c>
      <c r="F2725" s="29" t="s">
        <v>232</v>
      </c>
    </row>
    <row r="2726" spans="1:6" ht="43.5" x14ac:dyDescent="0.35">
      <c r="A2726" s="26" t="s">
        <v>216</v>
      </c>
      <c r="B2726" s="26" t="s">
        <v>5668</v>
      </c>
      <c r="C2726" s="26" t="s">
        <v>15</v>
      </c>
      <c r="D2726" s="28" t="s">
        <v>218</v>
      </c>
      <c r="E2726" s="26" t="s">
        <v>5669</v>
      </c>
      <c r="F2726" s="29" t="s">
        <v>220</v>
      </c>
    </row>
    <row r="2727" spans="1:6" ht="29" x14ac:dyDescent="0.35">
      <c r="A2727" s="26" t="s">
        <v>216</v>
      </c>
      <c r="B2727" s="26" t="s">
        <v>5670</v>
      </c>
      <c r="C2727" s="26" t="s">
        <v>17</v>
      </c>
      <c r="D2727" s="28" t="s">
        <v>5671</v>
      </c>
      <c r="E2727" s="26">
        <v>13436</v>
      </c>
      <c r="F2727" s="29" t="s">
        <v>247</v>
      </c>
    </row>
    <row r="2728" spans="1:6" ht="29" x14ac:dyDescent="0.35">
      <c r="A2728" s="26" t="s">
        <v>216</v>
      </c>
      <c r="B2728" s="26" t="s">
        <v>5672</v>
      </c>
      <c r="C2728" s="26" t="s">
        <v>20</v>
      </c>
      <c r="D2728" s="28" t="s">
        <v>5673</v>
      </c>
      <c r="E2728" s="26">
        <v>13436</v>
      </c>
      <c r="F2728" s="29" t="s">
        <v>223</v>
      </c>
    </row>
    <row r="2729" spans="1:6" ht="58" x14ac:dyDescent="0.35">
      <c r="A2729" s="26" t="s">
        <v>216</v>
      </c>
      <c r="B2729" s="26" t="s">
        <v>5674</v>
      </c>
      <c r="C2729" s="26" t="s">
        <v>25</v>
      </c>
      <c r="D2729" s="28" t="s">
        <v>5675</v>
      </c>
      <c r="E2729" s="26">
        <v>0</v>
      </c>
      <c r="F2729" s="29" t="s">
        <v>226</v>
      </c>
    </row>
    <row r="2730" spans="1:6" ht="43.5" x14ac:dyDescent="0.35">
      <c r="A2730" s="26" t="s">
        <v>216</v>
      </c>
      <c r="B2730" s="26" t="s">
        <v>5676</v>
      </c>
      <c r="C2730" s="26" t="s">
        <v>27</v>
      </c>
      <c r="D2730" s="28" t="s">
        <v>5677</v>
      </c>
      <c r="E2730" s="26">
        <v>0</v>
      </c>
      <c r="F2730" s="29" t="s">
        <v>229</v>
      </c>
    </row>
    <row r="2731" spans="1:6" ht="29" x14ac:dyDescent="0.35">
      <c r="A2731" s="26" t="s">
        <v>216</v>
      </c>
      <c r="B2731" s="26" t="s">
        <v>5678</v>
      </c>
      <c r="C2731" s="26" t="s">
        <v>24</v>
      </c>
      <c r="D2731" s="28" t="s">
        <v>5679</v>
      </c>
      <c r="E2731" s="26">
        <v>0</v>
      </c>
      <c r="F2731" s="29" t="s">
        <v>232</v>
      </c>
    </row>
    <row r="2732" spans="1:6" ht="43.5" x14ac:dyDescent="0.35">
      <c r="A2732" s="26" t="s">
        <v>216</v>
      </c>
      <c r="B2732" s="26" t="s">
        <v>5680</v>
      </c>
      <c r="C2732" s="26" t="s">
        <v>15</v>
      </c>
      <c r="D2732" s="28" t="s">
        <v>218</v>
      </c>
      <c r="E2732" s="26" t="s">
        <v>5681</v>
      </c>
      <c r="F2732" s="29" t="s">
        <v>220</v>
      </c>
    </row>
    <row r="2733" spans="1:6" ht="29" x14ac:dyDescent="0.35">
      <c r="A2733" s="26" t="s">
        <v>216</v>
      </c>
      <c r="B2733" s="26" t="s">
        <v>5682</v>
      </c>
      <c r="C2733" s="26" t="s">
        <v>17</v>
      </c>
      <c r="D2733" s="28" t="s">
        <v>5683</v>
      </c>
      <c r="E2733" s="26">
        <v>13436</v>
      </c>
      <c r="F2733" s="29" t="s">
        <v>247</v>
      </c>
    </row>
    <row r="2734" spans="1:6" ht="29" x14ac:dyDescent="0.35">
      <c r="A2734" s="26" t="s">
        <v>216</v>
      </c>
      <c r="B2734" s="26" t="s">
        <v>5684</v>
      </c>
      <c r="C2734" s="26" t="s">
        <v>20</v>
      </c>
      <c r="D2734" s="28" t="s">
        <v>5685</v>
      </c>
      <c r="E2734" s="26">
        <v>13436</v>
      </c>
      <c r="F2734" s="29" t="s">
        <v>223</v>
      </c>
    </row>
    <row r="2735" spans="1:6" ht="58" x14ac:dyDescent="0.35">
      <c r="A2735" s="26" t="s">
        <v>216</v>
      </c>
      <c r="B2735" s="26" t="s">
        <v>5686</v>
      </c>
      <c r="C2735" s="26" t="s">
        <v>25</v>
      </c>
      <c r="D2735" s="28" t="s">
        <v>5687</v>
      </c>
      <c r="E2735" s="26">
        <v>0</v>
      </c>
      <c r="F2735" s="29" t="s">
        <v>226</v>
      </c>
    </row>
    <row r="2736" spans="1:6" ht="43.5" x14ac:dyDescent="0.35">
      <c r="A2736" s="26" t="s">
        <v>216</v>
      </c>
      <c r="B2736" s="26" t="s">
        <v>5688</v>
      </c>
      <c r="C2736" s="26" t="s">
        <v>27</v>
      </c>
      <c r="D2736" s="28" t="s">
        <v>5689</v>
      </c>
      <c r="E2736" s="26">
        <v>0</v>
      </c>
      <c r="F2736" s="29" t="s">
        <v>229</v>
      </c>
    </row>
    <row r="2737" spans="1:6" ht="29" x14ac:dyDescent="0.35">
      <c r="A2737" s="26" t="s">
        <v>216</v>
      </c>
      <c r="B2737" s="26" t="s">
        <v>5690</v>
      </c>
      <c r="C2737" s="26" t="s">
        <v>24</v>
      </c>
      <c r="D2737" s="28" t="s">
        <v>5691</v>
      </c>
      <c r="E2737" s="26">
        <v>0</v>
      </c>
      <c r="F2737" s="29" t="s">
        <v>232</v>
      </c>
    </row>
    <row r="2738" spans="1:6" ht="43.5" x14ac:dyDescent="0.35">
      <c r="A2738" s="26" t="s">
        <v>216</v>
      </c>
      <c r="B2738" s="26" t="s">
        <v>5692</v>
      </c>
      <c r="C2738" s="26" t="s">
        <v>15</v>
      </c>
      <c r="D2738" s="28" t="s">
        <v>218</v>
      </c>
      <c r="E2738" s="26" t="s">
        <v>5693</v>
      </c>
      <c r="F2738" s="29" t="s">
        <v>220</v>
      </c>
    </row>
    <row r="2739" spans="1:6" ht="29" x14ac:dyDescent="0.35">
      <c r="A2739" s="26" t="s">
        <v>216</v>
      </c>
      <c r="B2739" s="26" t="s">
        <v>5694</v>
      </c>
      <c r="C2739" s="26" t="s">
        <v>17</v>
      </c>
      <c r="D2739" s="28" t="s">
        <v>5695</v>
      </c>
      <c r="E2739" s="26">
        <v>13436</v>
      </c>
      <c r="F2739" s="29" t="s">
        <v>247</v>
      </c>
    </row>
    <row r="2740" spans="1:6" ht="29" x14ac:dyDescent="0.35">
      <c r="A2740" s="26" t="s">
        <v>216</v>
      </c>
      <c r="B2740" s="26" t="s">
        <v>5696</v>
      </c>
      <c r="C2740" s="26" t="s">
        <v>20</v>
      </c>
      <c r="D2740" s="28" t="s">
        <v>5697</v>
      </c>
      <c r="E2740" s="26">
        <v>13436</v>
      </c>
      <c r="F2740" s="29" t="s">
        <v>223</v>
      </c>
    </row>
    <row r="2741" spans="1:6" ht="58" x14ac:dyDescent="0.35">
      <c r="A2741" s="26" t="s">
        <v>216</v>
      </c>
      <c r="B2741" s="26" t="s">
        <v>5698</v>
      </c>
      <c r="C2741" s="26" t="s">
        <v>25</v>
      </c>
      <c r="D2741" s="28" t="s">
        <v>5699</v>
      </c>
      <c r="E2741" s="26">
        <v>0</v>
      </c>
      <c r="F2741" s="29" t="s">
        <v>226</v>
      </c>
    </row>
    <row r="2742" spans="1:6" ht="43.5" x14ac:dyDescent="0.35">
      <c r="A2742" s="26" t="s">
        <v>216</v>
      </c>
      <c r="B2742" s="26" t="s">
        <v>5700</v>
      </c>
      <c r="C2742" s="26" t="s">
        <v>27</v>
      </c>
      <c r="D2742" s="28" t="s">
        <v>5701</v>
      </c>
      <c r="E2742" s="26">
        <v>0</v>
      </c>
      <c r="F2742" s="29" t="s">
        <v>229</v>
      </c>
    </row>
    <row r="2743" spans="1:6" ht="29" x14ac:dyDescent="0.35">
      <c r="A2743" s="26" t="s">
        <v>216</v>
      </c>
      <c r="B2743" s="26" t="s">
        <v>5702</v>
      </c>
      <c r="C2743" s="26" t="s">
        <v>24</v>
      </c>
      <c r="D2743" s="28" t="s">
        <v>5703</v>
      </c>
      <c r="E2743" s="26">
        <v>0</v>
      </c>
      <c r="F2743" s="29" t="s">
        <v>232</v>
      </c>
    </row>
    <row r="2744" spans="1:6" ht="43.5" x14ac:dyDescent="0.35">
      <c r="A2744" s="26" t="s">
        <v>216</v>
      </c>
      <c r="B2744" s="26" t="s">
        <v>5704</v>
      </c>
      <c r="C2744" s="26" t="s">
        <v>15</v>
      </c>
      <c r="D2744" s="28" t="s">
        <v>218</v>
      </c>
      <c r="E2744" s="26" t="s">
        <v>5705</v>
      </c>
      <c r="F2744" s="29" t="s">
        <v>220</v>
      </c>
    </row>
    <row r="2745" spans="1:6" ht="29" x14ac:dyDescent="0.35">
      <c r="A2745" s="26" t="s">
        <v>216</v>
      </c>
      <c r="B2745" s="26" t="s">
        <v>5706</v>
      </c>
      <c r="C2745" s="26" t="s">
        <v>17</v>
      </c>
      <c r="D2745" s="28" t="s">
        <v>5707</v>
      </c>
      <c r="E2745" s="26">
        <v>13436</v>
      </c>
      <c r="F2745" s="29" t="s">
        <v>247</v>
      </c>
    </row>
    <row r="2746" spans="1:6" ht="29" x14ac:dyDescent="0.35">
      <c r="A2746" s="26" t="s">
        <v>216</v>
      </c>
      <c r="B2746" s="26" t="s">
        <v>5708</v>
      </c>
      <c r="C2746" s="26" t="s">
        <v>20</v>
      </c>
      <c r="D2746" s="28" t="s">
        <v>5709</v>
      </c>
      <c r="E2746" s="26">
        <v>13436</v>
      </c>
      <c r="F2746" s="29" t="s">
        <v>223</v>
      </c>
    </row>
    <row r="2747" spans="1:6" ht="58" x14ac:dyDescent="0.35">
      <c r="A2747" s="26" t="s">
        <v>216</v>
      </c>
      <c r="B2747" s="26" t="s">
        <v>5710</v>
      </c>
      <c r="C2747" s="26" t="s">
        <v>25</v>
      </c>
      <c r="D2747" s="28" t="s">
        <v>5711</v>
      </c>
      <c r="E2747" s="26">
        <v>0</v>
      </c>
      <c r="F2747" s="29" t="s">
        <v>226</v>
      </c>
    </row>
    <row r="2748" spans="1:6" ht="43.5" x14ac:dyDescent="0.35">
      <c r="A2748" s="26" t="s">
        <v>216</v>
      </c>
      <c r="B2748" s="26" t="s">
        <v>5712</v>
      </c>
      <c r="C2748" s="26" t="s">
        <v>27</v>
      </c>
      <c r="D2748" s="28" t="s">
        <v>5713</v>
      </c>
      <c r="E2748" s="26">
        <v>0</v>
      </c>
      <c r="F2748" s="29" t="s">
        <v>229</v>
      </c>
    </row>
    <row r="2749" spans="1:6" ht="29" x14ac:dyDescent="0.35">
      <c r="A2749" s="26" t="s">
        <v>216</v>
      </c>
      <c r="B2749" s="26" t="s">
        <v>5714</v>
      </c>
      <c r="C2749" s="26" t="s">
        <v>24</v>
      </c>
      <c r="D2749" s="28" t="s">
        <v>5715</v>
      </c>
      <c r="E2749" s="26">
        <v>0</v>
      </c>
      <c r="F2749" s="29" t="s">
        <v>232</v>
      </c>
    </row>
    <row r="2750" spans="1:6" ht="43.5" x14ac:dyDescent="0.35">
      <c r="A2750" s="26" t="s">
        <v>216</v>
      </c>
      <c r="B2750" s="26" t="s">
        <v>5716</v>
      </c>
      <c r="C2750" s="26" t="s">
        <v>15</v>
      </c>
      <c r="D2750" s="28" t="s">
        <v>218</v>
      </c>
      <c r="E2750" s="26" t="s">
        <v>5717</v>
      </c>
      <c r="F2750" s="29" t="s">
        <v>220</v>
      </c>
    </row>
    <row r="2751" spans="1:6" ht="29" x14ac:dyDescent="0.35">
      <c r="A2751" s="26" t="s">
        <v>216</v>
      </c>
      <c r="B2751" s="26" t="s">
        <v>5718</v>
      </c>
      <c r="C2751" s="26" t="s">
        <v>17</v>
      </c>
      <c r="D2751" s="28" t="s">
        <v>5719</v>
      </c>
      <c r="E2751" s="26">
        <v>13436</v>
      </c>
      <c r="F2751" s="29" t="s">
        <v>247</v>
      </c>
    </row>
    <row r="2752" spans="1:6" ht="29" x14ac:dyDescent="0.35">
      <c r="A2752" s="26" t="s">
        <v>216</v>
      </c>
      <c r="B2752" s="26" t="s">
        <v>5720</v>
      </c>
      <c r="C2752" s="26" t="s">
        <v>20</v>
      </c>
      <c r="D2752" s="28" t="s">
        <v>5721</v>
      </c>
      <c r="E2752" s="26">
        <v>13436</v>
      </c>
      <c r="F2752" s="29" t="s">
        <v>223</v>
      </c>
    </row>
    <row r="2753" spans="1:6" ht="58" x14ac:dyDescent="0.35">
      <c r="A2753" s="26" t="s">
        <v>216</v>
      </c>
      <c r="B2753" s="26" t="s">
        <v>5722</v>
      </c>
      <c r="C2753" s="26" t="s">
        <v>25</v>
      </c>
      <c r="D2753" s="28" t="s">
        <v>5723</v>
      </c>
      <c r="E2753" s="26">
        <v>0</v>
      </c>
      <c r="F2753" s="29" t="s">
        <v>226</v>
      </c>
    </row>
    <row r="2754" spans="1:6" ht="43.5" x14ac:dyDescent="0.35">
      <c r="A2754" s="26" t="s">
        <v>216</v>
      </c>
      <c r="B2754" s="26" t="s">
        <v>5724</v>
      </c>
      <c r="C2754" s="26" t="s">
        <v>27</v>
      </c>
      <c r="D2754" s="28" t="s">
        <v>5725</v>
      </c>
      <c r="E2754" s="26">
        <v>0</v>
      </c>
      <c r="F2754" s="29" t="s">
        <v>229</v>
      </c>
    </row>
    <row r="2755" spans="1:6" ht="29" x14ac:dyDescent="0.35">
      <c r="A2755" s="26" t="s">
        <v>216</v>
      </c>
      <c r="B2755" s="26" t="s">
        <v>5726</v>
      </c>
      <c r="C2755" s="26" t="s">
        <v>24</v>
      </c>
      <c r="D2755" s="28" t="s">
        <v>5727</v>
      </c>
      <c r="E2755" s="26">
        <v>0</v>
      </c>
      <c r="F2755" s="29" t="s">
        <v>232</v>
      </c>
    </row>
    <row r="2756" spans="1:6" ht="43.5" x14ac:dyDescent="0.35">
      <c r="A2756" s="26" t="s">
        <v>216</v>
      </c>
      <c r="B2756" s="26" t="s">
        <v>5728</v>
      </c>
      <c r="C2756" s="26" t="s">
        <v>15</v>
      </c>
      <c r="D2756" s="28" t="s">
        <v>218</v>
      </c>
      <c r="E2756" s="26" t="s">
        <v>5729</v>
      </c>
      <c r="F2756" s="29" t="s">
        <v>220</v>
      </c>
    </row>
    <row r="2757" spans="1:6" ht="29" x14ac:dyDescent="0.35">
      <c r="A2757" s="26" t="s">
        <v>216</v>
      </c>
      <c r="B2757" s="26" t="s">
        <v>5730</v>
      </c>
      <c r="C2757" s="26" t="s">
        <v>17</v>
      </c>
      <c r="D2757" s="28" t="s">
        <v>5731</v>
      </c>
      <c r="E2757" s="26">
        <v>13436</v>
      </c>
      <c r="F2757" s="29" t="s">
        <v>247</v>
      </c>
    </row>
    <row r="2758" spans="1:6" ht="29" x14ac:dyDescent="0.35">
      <c r="A2758" s="26" t="s">
        <v>216</v>
      </c>
      <c r="B2758" s="26" t="s">
        <v>5732</v>
      </c>
      <c r="C2758" s="26" t="s">
        <v>20</v>
      </c>
      <c r="D2758" s="28" t="s">
        <v>5733</v>
      </c>
      <c r="E2758" s="26">
        <v>13436</v>
      </c>
      <c r="F2758" s="29" t="s">
        <v>223</v>
      </c>
    </row>
    <row r="2759" spans="1:6" ht="58" x14ac:dyDescent="0.35">
      <c r="A2759" s="26" t="s">
        <v>216</v>
      </c>
      <c r="B2759" s="26" t="s">
        <v>5734</v>
      </c>
      <c r="C2759" s="26" t="s">
        <v>25</v>
      </c>
      <c r="D2759" s="28" t="s">
        <v>5735</v>
      </c>
      <c r="E2759" s="26">
        <v>0</v>
      </c>
      <c r="F2759" s="29" t="s">
        <v>226</v>
      </c>
    </row>
    <row r="2760" spans="1:6" ht="43.5" x14ac:dyDescent="0.35">
      <c r="A2760" s="26" t="s">
        <v>216</v>
      </c>
      <c r="B2760" s="26" t="s">
        <v>5736</v>
      </c>
      <c r="C2760" s="26" t="s">
        <v>27</v>
      </c>
      <c r="D2760" s="28" t="s">
        <v>5737</v>
      </c>
      <c r="E2760" s="26">
        <v>0</v>
      </c>
      <c r="F2760" s="29" t="s">
        <v>229</v>
      </c>
    </row>
    <row r="2761" spans="1:6" ht="29" x14ac:dyDescent="0.35">
      <c r="A2761" s="26" t="s">
        <v>216</v>
      </c>
      <c r="B2761" s="26" t="s">
        <v>5738</v>
      </c>
      <c r="C2761" s="26" t="s">
        <v>24</v>
      </c>
      <c r="D2761" s="28" t="s">
        <v>5739</v>
      </c>
      <c r="E2761" s="26">
        <v>0</v>
      </c>
      <c r="F2761" s="29" t="s">
        <v>232</v>
      </c>
    </row>
    <row r="2762" spans="1:6" ht="43.5" x14ac:dyDescent="0.35">
      <c r="A2762" s="26" t="s">
        <v>216</v>
      </c>
      <c r="B2762" s="26" t="s">
        <v>5740</v>
      </c>
      <c r="C2762" s="26" t="s">
        <v>15</v>
      </c>
      <c r="D2762" s="28" t="s">
        <v>218</v>
      </c>
      <c r="E2762" s="26" t="s">
        <v>5741</v>
      </c>
      <c r="F2762" s="29" t="s">
        <v>220</v>
      </c>
    </row>
    <row r="2763" spans="1:6" ht="29" x14ac:dyDescent="0.35">
      <c r="A2763" s="26" t="s">
        <v>216</v>
      </c>
      <c r="B2763" s="26" t="s">
        <v>5742</v>
      </c>
      <c r="C2763" s="26" t="s">
        <v>17</v>
      </c>
      <c r="D2763" s="28" t="s">
        <v>5743</v>
      </c>
      <c r="E2763" s="26">
        <v>13436</v>
      </c>
      <c r="F2763" s="29" t="s">
        <v>247</v>
      </c>
    </row>
    <row r="2764" spans="1:6" ht="29" x14ac:dyDescent="0.35">
      <c r="A2764" s="26" t="s">
        <v>216</v>
      </c>
      <c r="B2764" s="26" t="s">
        <v>5744</v>
      </c>
      <c r="C2764" s="26" t="s">
        <v>20</v>
      </c>
      <c r="D2764" s="28" t="s">
        <v>5745</v>
      </c>
      <c r="E2764" s="26">
        <v>13436</v>
      </c>
      <c r="F2764" s="29" t="s">
        <v>223</v>
      </c>
    </row>
    <row r="2765" spans="1:6" ht="58" x14ac:dyDescent="0.35">
      <c r="A2765" s="26" t="s">
        <v>216</v>
      </c>
      <c r="B2765" s="26" t="s">
        <v>5746</v>
      </c>
      <c r="C2765" s="26" t="s">
        <v>25</v>
      </c>
      <c r="D2765" s="28" t="s">
        <v>5747</v>
      </c>
      <c r="E2765" s="26">
        <v>0</v>
      </c>
      <c r="F2765" s="29" t="s">
        <v>226</v>
      </c>
    </row>
    <row r="2766" spans="1:6" ht="43.5" x14ac:dyDescent="0.35">
      <c r="A2766" s="26" t="s">
        <v>216</v>
      </c>
      <c r="B2766" s="26" t="s">
        <v>5748</v>
      </c>
      <c r="C2766" s="26" t="s">
        <v>27</v>
      </c>
      <c r="D2766" s="28" t="s">
        <v>5749</v>
      </c>
      <c r="E2766" s="26">
        <v>0</v>
      </c>
      <c r="F2766" s="29" t="s">
        <v>229</v>
      </c>
    </row>
    <row r="2767" spans="1:6" ht="29" x14ac:dyDescent="0.35">
      <c r="A2767" s="26" t="s">
        <v>216</v>
      </c>
      <c r="B2767" s="26" t="s">
        <v>5750</v>
      </c>
      <c r="C2767" s="26" t="s">
        <v>24</v>
      </c>
      <c r="D2767" s="28" t="s">
        <v>5751</v>
      </c>
      <c r="E2767" s="26">
        <v>0</v>
      </c>
      <c r="F2767" s="29" t="s">
        <v>232</v>
      </c>
    </row>
    <row r="2768" spans="1:6" ht="43.5" x14ac:dyDescent="0.35">
      <c r="A2768" s="26" t="s">
        <v>216</v>
      </c>
      <c r="B2768" s="26" t="s">
        <v>5752</v>
      </c>
      <c r="C2768" s="26" t="s">
        <v>15</v>
      </c>
      <c r="D2768" s="28" t="s">
        <v>218</v>
      </c>
      <c r="E2768" s="26" t="s">
        <v>5753</v>
      </c>
      <c r="F2768" s="29" t="s">
        <v>220</v>
      </c>
    </row>
    <row r="2769" spans="1:6" ht="29" x14ac:dyDescent="0.35">
      <c r="A2769" s="26" t="s">
        <v>216</v>
      </c>
      <c r="B2769" s="26" t="s">
        <v>5754</v>
      </c>
      <c r="C2769" s="26" t="s">
        <v>17</v>
      </c>
      <c r="D2769" s="28" t="s">
        <v>5755</v>
      </c>
      <c r="E2769" s="26">
        <v>13436</v>
      </c>
      <c r="F2769" s="29" t="s">
        <v>247</v>
      </c>
    </row>
    <row r="2770" spans="1:6" ht="29" x14ac:dyDescent="0.35">
      <c r="A2770" s="26" t="s">
        <v>216</v>
      </c>
      <c r="B2770" s="26" t="s">
        <v>5756</v>
      </c>
      <c r="C2770" s="26" t="s">
        <v>20</v>
      </c>
      <c r="D2770" s="28" t="s">
        <v>5757</v>
      </c>
      <c r="E2770" s="26">
        <v>13436</v>
      </c>
      <c r="F2770" s="29" t="s">
        <v>223</v>
      </c>
    </row>
    <row r="2771" spans="1:6" ht="58" x14ac:dyDescent="0.35">
      <c r="A2771" s="26" t="s">
        <v>216</v>
      </c>
      <c r="B2771" s="26" t="s">
        <v>5758</v>
      </c>
      <c r="C2771" s="26" t="s">
        <v>25</v>
      </c>
      <c r="D2771" s="28" t="s">
        <v>5759</v>
      </c>
      <c r="E2771" s="26">
        <v>0</v>
      </c>
      <c r="F2771" s="29" t="s">
        <v>226</v>
      </c>
    </row>
    <row r="2772" spans="1:6" ht="43.5" x14ac:dyDescent="0.35">
      <c r="A2772" s="26" t="s">
        <v>216</v>
      </c>
      <c r="B2772" s="26" t="s">
        <v>5760</v>
      </c>
      <c r="C2772" s="26" t="s">
        <v>27</v>
      </c>
      <c r="D2772" s="28" t="s">
        <v>5761</v>
      </c>
      <c r="E2772" s="26">
        <v>0</v>
      </c>
      <c r="F2772" s="29" t="s">
        <v>229</v>
      </c>
    </row>
    <row r="2773" spans="1:6" ht="29" x14ac:dyDescent="0.35">
      <c r="A2773" s="26" t="s">
        <v>216</v>
      </c>
      <c r="B2773" s="26" t="s">
        <v>5762</v>
      </c>
      <c r="C2773" s="26" t="s">
        <v>24</v>
      </c>
      <c r="D2773" s="28" t="s">
        <v>5763</v>
      </c>
      <c r="E2773" s="26">
        <v>0</v>
      </c>
      <c r="F2773" s="29" t="s">
        <v>232</v>
      </c>
    </row>
    <row r="2774" spans="1:6" ht="43.5" x14ac:dyDescent="0.35">
      <c r="A2774" s="26" t="s">
        <v>216</v>
      </c>
      <c r="B2774" s="26" t="s">
        <v>5764</v>
      </c>
      <c r="C2774" s="26" t="s">
        <v>15</v>
      </c>
      <c r="D2774" s="28" t="s">
        <v>218</v>
      </c>
      <c r="E2774" s="26" t="s">
        <v>5765</v>
      </c>
      <c r="F2774" s="29" t="s">
        <v>220</v>
      </c>
    </row>
    <row r="2775" spans="1:6" ht="29" x14ac:dyDescent="0.35">
      <c r="A2775" s="26" t="s">
        <v>216</v>
      </c>
      <c r="B2775" s="26" t="s">
        <v>5766</v>
      </c>
      <c r="C2775" s="26" t="s">
        <v>17</v>
      </c>
      <c r="D2775" s="28" t="s">
        <v>5767</v>
      </c>
      <c r="E2775" s="26">
        <v>13436</v>
      </c>
      <c r="F2775" s="29" t="s">
        <v>247</v>
      </c>
    </row>
    <row r="2776" spans="1:6" ht="29" x14ac:dyDescent="0.35">
      <c r="A2776" s="26" t="s">
        <v>216</v>
      </c>
      <c r="B2776" s="26" t="s">
        <v>5768</v>
      </c>
      <c r="C2776" s="26" t="s">
        <v>20</v>
      </c>
      <c r="D2776" s="28" t="s">
        <v>5769</v>
      </c>
      <c r="E2776" s="26">
        <v>13436</v>
      </c>
      <c r="F2776" s="29" t="s">
        <v>223</v>
      </c>
    </row>
    <row r="2777" spans="1:6" ht="58" x14ac:dyDescent="0.35">
      <c r="A2777" s="26" t="s">
        <v>216</v>
      </c>
      <c r="B2777" s="26" t="s">
        <v>5770</v>
      </c>
      <c r="C2777" s="26" t="s">
        <v>25</v>
      </c>
      <c r="D2777" s="28" t="s">
        <v>5771</v>
      </c>
      <c r="E2777" s="26">
        <v>0</v>
      </c>
      <c r="F2777" s="29" t="s">
        <v>226</v>
      </c>
    </row>
    <row r="2778" spans="1:6" ht="43.5" x14ac:dyDescent="0.35">
      <c r="A2778" s="26" t="s">
        <v>216</v>
      </c>
      <c r="B2778" s="26" t="s">
        <v>5772</v>
      </c>
      <c r="C2778" s="26" t="s">
        <v>27</v>
      </c>
      <c r="D2778" s="28" t="s">
        <v>5773</v>
      </c>
      <c r="E2778" s="26">
        <v>0</v>
      </c>
      <c r="F2778" s="29" t="s">
        <v>229</v>
      </c>
    </row>
    <row r="2779" spans="1:6" ht="29" x14ac:dyDescent="0.35">
      <c r="A2779" s="26" t="s">
        <v>216</v>
      </c>
      <c r="B2779" s="26" t="s">
        <v>5774</v>
      </c>
      <c r="C2779" s="26" t="s">
        <v>24</v>
      </c>
      <c r="D2779" s="28" t="s">
        <v>5775</v>
      </c>
      <c r="E2779" s="26">
        <v>0</v>
      </c>
      <c r="F2779" s="29" t="s">
        <v>232</v>
      </c>
    </row>
    <row r="2780" spans="1:6" ht="43.5" x14ac:dyDescent="0.35">
      <c r="A2780" s="26" t="s">
        <v>216</v>
      </c>
      <c r="B2780" s="26" t="s">
        <v>5776</v>
      </c>
      <c r="C2780" s="26" t="s">
        <v>15</v>
      </c>
      <c r="D2780" s="28" t="s">
        <v>218</v>
      </c>
      <c r="E2780" s="26" t="s">
        <v>5777</v>
      </c>
      <c r="F2780" s="29" t="s">
        <v>220</v>
      </c>
    </row>
    <row r="2781" spans="1:6" ht="29" x14ac:dyDescent="0.35">
      <c r="A2781" s="26" t="s">
        <v>216</v>
      </c>
      <c r="B2781" s="26" t="s">
        <v>5778</v>
      </c>
      <c r="C2781" s="26" t="s">
        <v>17</v>
      </c>
      <c r="D2781" s="28" t="s">
        <v>5779</v>
      </c>
      <c r="E2781" s="26">
        <v>13436</v>
      </c>
      <c r="F2781" s="29" t="s">
        <v>247</v>
      </c>
    </row>
    <row r="2782" spans="1:6" ht="29" x14ac:dyDescent="0.35">
      <c r="A2782" s="26" t="s">
        <v>216</v>
      </c>
      <c r="B2782" s="26" t="s">
        <v>5780</v>
      </c>
      <c r="C2782" s="26" t="s">
        <v>20</v>
      </c>
      <c r="D2782" s="28" t="s">
        <v>5781</v>
      </c>
      <c r="E2782" s="26">
        <v>13436</v>
      </c>
      <c r="F2782" s="29" t="s">
        <v>223</v>
      </c>
    </row>
    <row r="2783" spans="1:6" ht="58" x14ac:dyDescent="0.35">
      <c r="A2783" s="26" t="s">
        <v>216</v>
      </c>
      <c r="B2783" s="26" t="s">
        <v>5782</v>
      </c>
      <c r="C2783" s="26" t="s">
        <v>25</v>
      </c>
      <c r="D2783" s="28" t="s">
        <v>5783</v>
      </c>
      <c r="E2783" s="26">
        <v>0</v>
      </c>
      <c r="F2783" s="29" t="s">
        <v>226</v>
      </c>
    </row>
    <row r="2784" spans="1:6" ht="43.5" x14ac:dyDescent="0.35">
      <c r="A2784" s="26" t="s">
        <v>216</v>
      </c>
      <c r="B2784" s="26" t="s">
        <v>5784</v>
      </c>
      <c r="C2784" s="26" t="s">
        <v>27</v>
      </c>
      <c r="D2784" s="28" t="s">
        <v>5785</v>
      </c>
      <c r="E2784" s="26">
        <v>0</v>
      </c>
      <c r="F2784" s="29" t="s">
        <v>229</v>
      </c>
    </row>
    <row r="2785" spans="1:6" ht="29" x14ac:dyDescent="0.35">
      <c r="A2785" s="26" t="s">
        <v>216</v>
      </c>
      <c r="B2785" s="26" t="s">
        <v>5786</v>
      </c>
      <c r="C2785" s="26" t="s">
        <v>24</v>
      </c>
      <c r="D2785" s="28" t="s">
        <v>5787</v>
      </c>
      <c r="E2785" s="26">
        <v>0</v>
      </c>
      <c r="F2785" s="29" t="s">
        <v>232</v>
      </c>
    </row>
    <row r="2786" spans="1:6" ht="43.5" x14ac:dyDescent="0.35">
      <c r="A2786" s="26" t="s">
        <v>216</v>
      </c>
      <c r="B2786" s="26" t="s">
        <v>5788</v>
      </c>
      <c r="C2786" s="26" t="s">
        <v>15</v>
      </c>
      <c r="D2786" s="28" t="s">
        <v>218</v>
      </c>
      <c r="E2786" s="26" t="s">
        <v>5789</v>
      </c>
      <c r="F2786" s="29" t="s">
        <v>220</v>
      </c>
    </row>
    <row r="2787" spans="1:6" ht="29" x14ac:dyDescent="0.35">
      <c r="A2787" s="26" t="s">
        <v>216</v>
      </c>
      <c r="B2787" s="26" t="s">
        <v>5790</v>
      </c>
      <c r="C2787" s="26" t="s">
        <v>17</v>
      </c>
      <c r="D2787" s="28" t="s">
        <v>5791</v>
      </c>
      <c r="E2787" s="26">
        <v>13436</v>
      </c>
      <c r="F2787" s="29" t="s">
        <v>247</v>
      </c>
    </row>
    <row r="2788" spans="1:6" ht="29" x14ac:dyDescent="0.35">
      <c r="A2788" s="26" t="s">
        <v>216</v>
      </c>
      <c r="B2788" s="26" t="s">
        <v>5792</v>
      </c>
      <c r="C2788" s="26" t="s">
        <v>20</v>
      </c>
      <c r="D2788" s="28" t="s">
        <v>5793</v>
      </c>
      <c r="E2788" s="26">
        <v>13436</v>
      </c>
      <c r="F2788" s="29" t="s">
        <v>223</v>
      </c>
    </row>
    <row r="2789" spans="1:6" ht="58" x14ac:dyDescent="0.35">
      <c r="A2789" s="26" t="s">
        <v>216</v>
      </c>
      <c r="B2789" s="26" t="s">
        <v>5794</v>
      </c>
      <c r="C2789" s="26" t="s">
        <v>25</v>
      </c>
      <c r="D2789" s="28" t="s">
        <v>5795</v>
      </c>
      <c r="E2789" s="26">
        <v>0</v>
      </c>
      <c r="F2789" s="29" t="s">
        <v>226</v>
      </c>
    </row>
    <row r="2790" spans="1:6" ht="43.5" x14ac:dyDescent="0.35">
      <c r="A2790" s="26" t="s">
        <v>216</v>
      </c>
      <c r="B2790" s="26" t="s">
        <v>5796</v>
      </c>
      <c r="C2790" s="26" t="s">
        <v>27</v>
      </c>
      <c r="D2790" s="28" t="s">
        <v>5797</v>
      </c>
      <c r="E2790" s="26">
        <v>0</v>
      </c>
      <c r="F2790" s="29" t="s">
        <v>229</v>
      </c>
    </row>
    <row r="2791" spans="1:6" ht="29" x14ac:dyDescent="0.35">
      <c r="A2791" s="26" t="s">
        <v>216</v>
      </c>
      <c r="B2791" s="26" t="s">
        <v>5798</v>
      </c>
      <c r="C2791" s="26" t="s">
        <v>24</v>
      </c>
      <c r="D2791" s="28" t="s">
        <v>5799</v>
      </c>
      <c r="E2791" s="26">
        <v>0</v>
      </c>
      <c r="F2791" s="29" t="s">
        <v>232</v>
      </c>
    </row>
    <row r="2792" spans="1:6" ht="43.5" x14ac:dyDescent="0.35">
      <c r="A2792" s="26" t="s">
        <v>216</v>
      </c>
      <c r="B2792" s="26" t="s">
        <v>5800</v>
      </c>
      <c r="C2792" s="26" t="s">
        <v>15</v>
      </c>
      <c r="D2792" s="28" t="s">
        <v>218</v>
      </c>
      <c r="E2792" s="26" t="s">
        <v>5801</v>
      </c>
      <c r="F2792" s="29" t="s">
        <v>220</v>
      </c>
    </row>
    <row r="2793" spans="1:6" ht="29" x14ac:dyDescent="0.35">
      <c r="A2793" s="26" t="s">
        <v>216</v>
      </c>
      <c r="B2793" s="26" t="s">
        <v>5802</v>
      </c>
      <c r="C2793" s="26" t="s">
        <v>17</v>
      </c>
      <c r="D2793" s="28" t="s">
        <v>5803</v>
      </c>
      <c r="E2793" s="26">
        <v>13436</v>
      </c>
      <c r="F2793" s="29" t="s">
        <v>247</v>
      </c>
    </row>
    <row r="2794" spans="1:6" ht="29" x14ac:dyDescent="0.35">
      <c r="A2794" s="26" t="s">
        <v>216</v>
      </c>
      <c r="B2794" s="26" t="s">
        <v>5804</v>
      </c>
      <c r="C2794" s="26" t="s">
        <v>20</v>
      </c>
      <c r="D2794" s="28" t="s">
        <v>5805</v>
      </c>
      <c r="E2794" s="26">
        <v>13436</v>
      </c>
      <c r="F2794" s="29" t="s">
        <v>223</v>
      </c>
    </row>
    <row r="2795" spans="1:6" ht="58" x14ac:dyDescent="0.35">
      <c r="A2795" s="26" t="s">
        <v>216</v>
      </c>
      <c r="B2795" s="26" t="s">
        <v>5806</v>
      </c>
      <c r="C2795" s="26" t="s">
        <v>25</v>
      </c>
      <c r="D2795" s="28" t="s">
        <v>5807</v>
      </c>
      <c r="E2795" s="26">
        <v>0</v>
      </c>
      <c r="F2795" s="29" t="s">
        <v>226</v>
      </c>
    </row>
    <row r="2796" spans="1:6" ht="43.5" x14ac:dyDescent="0.35">
      <c r="A2796" s="26" t="s">
        <v>216</v>
      </c>
      <c r="B2796" s="26" t="s">
        <v>5808</v>
      </c>
      <c r="C2796" s="26" t="s">
        <v>27</v>
      </c>
      <c r="D2796" s="28" t="s">
        <v>5809</v>
      </c>
      <c r="E2796" s="26">
        <v>0</v>
      </c>
      <c r="F2796" s="29" t="s">
        <v>229</v>
      </c>
    </row>
    <row r="2797" spans="1:6" ht="29" x14ac:dyDescent="0.35">
      <c r="A2797" s="26" t="s">
        <v>216</v>
      </c>
      <c r="B2797" s="26" t="s">
        <v>5810</v>
      </c>
      <c r="C2797" s="26" t="s">
        <v>24</v>
      </c>
      <c r="D2797" s="28" t="s">
        <v>5811</v>
      </c>
      <c r="E2797" s="26">
        <v>0</v>
      </c>
      <c r="F2797" s="29" t="s">
        <v>232</v>
      </c>
    </row>
    <row r="2798" spans="1:6" ht="43.5" x14ac:dyDescent="0.35">
      <c r="A2798" s="26" t="s">
        <v>216</v>
      </c>
      <c r="B2798" s="26" t="s">
        <v>5812</v>
      </c>
      <c r="C2798" s="26" t="s">
        <v>15</v>
      </c>
      <c r="D2798" s="28" t="s">
        <v>218</v>
      </c>
      <c r="E2798" s="26" t="s">
        <v>5813</v>
      </c>
      <c r="F2798" s="29" t="s">
        <v>220</v>
      </c>
    </row>
    <row r="2799" spans="1:6" ht="29" x14ac:dyDescent="0.35">
      <c r="A2799" s="26" t="s">
        <v>216</v>
      </c>
      <c r="B2799" s="26" t="s">
        <v>5814</v>
      </c>
      <c r="C2799" s="26" t="s">
        <v>17</v>
      </c>
      <c r="D2799" s="28" t="s">
        <v>5815</v>
      </c>
      <c r="E2799" s="26">
        <v>13436</v>
      </c>
      <c r="F2799" s="29" t="s">
        <v>247</v>
      </c>
    </row>
    <row r="2800" spans="1:6" ht="29" x14ac:dyDescent="0.35">
      <c r="A2800" s="26" t="s">
        <v>216</v>
      </c>
      <c r="B2800" s="26" t="s">
        <v>5816</v>
      </c>
      <c r="C2800" s="26" t="s">
        <v>20</v>
      </c>
      <c r="D2800" s="28" t="s">
        <v>5817</v>
      </c>
      <c r="E2800" s="26">
        <v>13436</v>
      </c>
      <c r="F2800" s="29" t="s">
        <v>223</v>
      </c>
    </row>
    <row r="2801" spans="1:6" ht="58" x14ac:dyDescent="0.35">
      <c r="A2801" s="26" t="s">
        <v>216</v>
      </c>
      <c r="B2801" s="26" t="s">
        <v>5818</v>
      </c>
      <c r="C2801" s="26" t="s">
        <v>25</v>
      </c>
      <c r="D2801" s="28" t="s">
        <v>5819</v>
      </c>
      <c r="E2801" s="26">
        <v>0</v>
      </c>
      <c r="F2801" s="29" t="s">
        <v>226</v>
      </c>
    </row>
    <row r="2802" spans="1:6" ht="43.5" x14ac:dyDescent="0.35">
      <c r="A2802" s="26" t="s">
        <v>216</v>
      </c>
      <c r="B2802" s="26" t="s">
        <v>5820</v>
      </c>
      <c r="C2802" s="26" t="s">
        <v>27</v>
      </c>
      <c r="D2802" s="28" t="s">
        <v>5821</v>
      </c>
      <c r="E2802" s="26">
        <v>0</v>
      </c>
      <c r="F2802" s="29" t="s">
        <v>229</v>
      </c>
    </row>
    <row r="2803" spans="1:6" ht="29" x14ac:dyDescent="0.35">
      <c r="A2803" s="26" t="s">
        <v>216</v>
      </c>
      <c r="B2803" s="26" t="s">
        <v>5822</v>
      </c>
      <c r="C2803" s="26" t="s">
        <v>24</v>
      </c>
      <c r="D2803" s="28" t="s">
        <v>5823</v>
      </c>
      <c r="E2803" s="26">
        <v>0</v>
      </c>
      <c r="F2803" s="29" t="s">
        <v>232</v>
      </c>
    </row>
    <row r="2804" spans="1:6" ht="43.5" x14ac:dyDescent="0.35">
      <c r="A2804" s="26" t="s">
        <v>216</v>
      </c>
      <c r="B2804" s="26" t="s">
        <v>5824</v>
      </c>
      <c r="C2804" s="26" t="s">
        <v>15</v>
      </c>
      <c r="D2804" s="28" t="s">
        <v>218</v>
      </c>
      <c r="E2804" s="26" t="s">
        <v>5825</v>
      </c>
      <c r="F2804" s="29" t="s">
        <v>220</v>
      </c>
    </row>
    <row r="2805" spans="1:6" ht="29" x14ac:dyDescent="0.35">
      <c r="A2805" s="26" t="s">
        <v>216</v>
      </c>
      <c r="B2805" s="26" t="s">
        <v>5826</v>
      </c>
      <c r="C2805" s="26" t="s">
        <v>17</v>
      </c>
      <c r="D2805" s="28" t="s">
        <v>5827</v>
      </c>
      <c r="E2805" s="26">
        <v>13436</v>
      </c>
      <c r="F2805" s="29" t="s">
        <v>247</v>
      </c>
    </row>
    <row r="2806" spans="1:6" ht="29" x14ac:dyDescent="0.35">
      <c r="A2806" s="26" t="s">
        <v>216</v>
      </c>
      <c r="B2806" s="26" t="s">
        <v>5828</v>
      </c>
      <c r="C2806" s="26" t="s">
        <v>20</v>
      </c>
      <c r="D2806" s="28" t="s">
        <v>5829</v>
      </c>
      <c r="E2806" s="26">
        <v>13436</v>
      </c>
      <c r="F2806" s="29" t="s">
        <v>223</v>
      </c>
    </row>
    <row r="2807" spans="1:6" ht="58" x14ac:dyDescent="0.35">
      <c r="A2807" s="26" t="s">
        <v>216</v>
      </c>
      <c r="B2807" s="26" t="s">
        <v>5830</v>
      </c>
      <c r="C2807" s="26" t="s">
        <v>25</v>
      </c>
      <c r="D2807" s="28" t="s">
        <v>5831</v>
      </c>
      <c r="E2807" s="26">
        <v>0</v>
      </c>
      <c r="F2807" s="29" t="s">
        <v>226</v>
      </c>
    </row>
    <row r="2808" spans="1:6" ht="43.5" x14ac:dyDescent="0.35">
      <c r="A2808" s="26" t="s">
        <v>216</v>
      </c>
      <c r="B2808" s="26" t="s">
        <v>5832</v>
      </c>
      <c r="C2808" s="26" t="s">
        <v>27</v>
      </c>
      <c r="D2808" s="28" t="s">
        <v>5833</v>
      </c>
      <c r="E2808" s="26">
        <v>0</v>
      </c>
      <c r="F2808" s="29" t="s">
        <v>229</v>
      </c>
    </row>
    <row r="2809" spans="1:6" ht="29" x14ac:dyDescent="0.35">
      <c r="A2809" s="26" t="s">
        <v>216</v>
      </c>
      <c r="B2809" s="26" t="s">
        <v>5834</v>
      </c>
      <c r="C2809" s="26" t="s">
        <v>24</v>
      </c>
      <c r="D2809" s="28" t="s">
        <v>5835</v>
      </c>
      <c r="E2809" s="26">
        <v>0</v>
      </c>
      <c r="F2809" s="29" t="s">
        <v>232</v>
      </c>
    </row>
    <row r="2810" spans="1:6" ht="43.5" x14ac:dyDescent="0.35">
      <c r="A2810" s="26" t="s">
        <v>216</v>
      </c>
      <c r="B2810" s="26" t="s">
        <v>5836</v>
      </c>
      <c r="C2810" s="26" t="s">
        <v>15</v>
      </c>
      <c r="D2810" s="28" t="s">
        <v>218</v>
      </c>
      <c r="E2810" s="26" t="s">
        <v>5837</v>
      </c>
      <c r="F2810" s="29" t="s">
        <v>220</v>
      </c>
    </row>
    <row r="2811" spans="1:6" ht="29" x14ac:dyDescent="0.35">
      <c r="A2811" s="26" t="s">
        <v>216</v>
      </c>
      <c r="B2811" s="26" t="s">
        <v>5838</v>
      </c>
      <c r="C2811" s="26" t="s">
        <v>17</v>
      </c>
      <c r="D2811" s="28" t="s">
        <v>5839</v>
      </c>
      <c r="E2811" s="26">
        <v>13436</v>
      </c>
      <c r="F2811" s="29" t="s">
        <v>247</v>
      </c>
    </row>
    <row r="2812" spans="1:6" ht="29" x14ac:dyDescent="0.35">
      <c r="A2812" s="26" t="s">
        <v>216</v>
      </c>
      <c r="B2812" s="26" t="s">
        <v>5840</v>
      </c>
      <c r="C2812" s="26" t="s">
        <v>20</v>
      </c>
      <c r="D2812" s="28" t="s">
        <v>5841</v>
      </c>
      <c r="E2812" s="26">
        <v>13436</v>
      </c>
      <c r="F2812" s="29" t="s">
        <v>223</v>
      </c>
    </row>
    <row r="2813" spans="1:6" ht="58" x14ac:dyDescent="0.35">
      <c r="A2813" s="26" t="s">
        <v>216</v>
      </c>
      <c r="B2813" s="26" t="s">
        <v>5842</v>
      </c>
      <c r="C2813" s="26" t="s">
        <v>25</v>
      </c>
      <c r="D2813" s="28" t="s">
        <v>5843</v>
      </c>
      <c r="E2813" s="26">
        <v>0</v>
      </c>
      <c r="F2813" s="29" t="s">
        <v>226</v>
      </c>
    </row>
    <row r="2814" spans="1:6" ht="43.5" x14ac:dyDescent="0.35">
      <c r="A2814" s="26" t="s">
        <v>216</v>
      </c>
      <c r="B2814" s="26" t="s">
        <v>5844</v>
      </c>
      <c r="C2814" s="26" t="s">
        <v>27</v>
      </c>
      <c r="D2814" s="28" t="s">
        <v>5845</v>
      </c>
      <c r="E2814" s="26">
        <v>0</v>
      </c>
      <c r="F2814" s="29" t="s">
        <v>229</v>
      </c>
    </row>
    <row r="2815" spans="1:6" ht="29" x14ac:dyDescent="0.35">
      <c r="A2815" s="26" t="s">
        <v>216</v>
      </c>
      <c r="B2815" s="26" t="s">
        <v>5846</v>
      </c>
      <c r="C2815" s="26" t="s">
        <v>24</v>
      </c>
      <c r="D2815" s="28" t="s">
        <v>5847</v>
      </c>
      <c r="E2815" s="26">
        <v>0</v>
      </c>
      <c r="F2815" s="29" t="s">
        <v>232</v>
      </c>
    </row>
    <row r="2816" spans="1:6" ht="43.5" x14ac:dyDescent="0.35">
      <c r="A2816" s="26" t="s">
        <v>216</v>
      </c>
      <c r="B2816" s="26" t="s">
        <v>5848</v>
      </c>
      <c r="C2816" s="26" t="s">
        <v>15</v>
      </c>
      <c r="D2816" s="28" t="s">
        <v>218</v>
      </c>
      <c r="E2816" s="26" t="s">
        <v>5849</v>
      </c>
      <c r="F2816" s="29" t="s">
        <v>220</v>
      </c>
    </row>
    <row r="2817" spans="1:6" ht="29" x14ac:dyDescent="0.35">
      <c r="A2817" s="26" t="s">
        <v>216</v>
      </c>
      <c r="B2817" s="26" t="s">
        <v>5850</v>
      </c>
      <c r="C2817" s="26" t="s">
        <v>17</v>
      </c>
      <c r="D2817" s="28" t="s">
        <v>5851</v>
      </c>
      <c r="E2817" s="26">
        <v>13436</v>
      </c>
      <c r="F2817" s="29" t="s">
        <v>247</v>
      </c>
    </row>
    <row r="2818" spans="1:6" ht="29" x14ac:dyDescent="0.35">
      <c r="A2818" s="26" t="s">
        <v>216</v>
      </c>
      <c r="B2818" s="26" t="s">
        <v>5852</v>
      </c>
      <c r="C2818" s="26" t="s">
        <v>20</v>
      </c>
      <c r="D2818" s="28" t="s">
        <v>5853</v>
      </c>
      <c r="E2818" s="26">
        <v>13436</v>
      </c>
      <c r="F2818" s="29" t="s">
        <v>223</v>
      </c>
    </row>
    <row r="2819" spans="1:6" ht="58" x14ac:dyDescent="0.35">
      <c r="A2819" s="26" t="s">
        <v>216</v>
      </c>
      <c r="B2819" s="26" t="s">
        <v>5854</v>
      </c>
      <c r="C2819" s="26" t="s">
        <v>25</v>
      </c>
      <c r="D2819" s="28" t="s">
        <v>5855</v>
      </c>
      <c r="E2819" s="26">
        <v>0</v>
      </c>
      <c r="F2819" s="29" t="s">
        <v>226</v>
      </c>
    </row>
    <row r="2820" spans="1:6" ht="43.5" x14ac:dyDescent="0.35">
      <c r="A2820" s="26" t="s">
        <v>216</v>
      </c>
      <c r="B2820" s="26" t="s">
        <v>5856</v>
      </c>
      <c r="C2820" s="26" t="s">
        <v>27</v>
      </c>
      <c r="D2820" s="28" t="s">
        <v>5857</v>
      </c>
      <c r="E2820" s="26">
        <v>0</v>
      </c>
      <c r="F2820" s="29" t="s">
        <v>229</v>
      </c>
    </row>
    <row r="2821" spans="1:6" ht="29" x14ac:dyDescent="0.35">
      <c r="A2821" s="26" t="s">
        <v>216</v>
      </c>
      <c r="B2821" s="26" t="s">
        <v>5858</v>
      </c>
      <c r="C2821" s="26" t="s">
        <v>24</v>
      </c>
      <c r="D2821" s="28" t="s">
        <v>5859</v>
      </c>
      <c r="E2821" s="26">
        <v>0</v>
      </c>
      <c r="F2821" s="29" t="s">
        <v>232</v>
      </c>
    </row>
    <row r="2822" spans="1:6" ht="43.5" x14ac:dyDescent="0.35">
      <c r="A2822" s="26" t="s">
        <v>216</v>
      </c>
      <c r="B2822" s="26" t="s">
        <v>5860</v>
      </c>
      <c r="C2822" s="26" t="s">
        <v>15</v>
      </c>
      <c r="D2822" s="28" t="s">
        <v>218</v>
      </c>
      <c r="E2822" s="26" t="s">
        <v>5861</v>
      </c>
      <c r="F2822" s="29" t="s">
        <v>220</v>
      </c>
    </row>
    <row r="2823" spans="1:6" ht="29" x14ac:dyDescent="0.35">
      <c r="A2823" s="26" t="s">
        <v>216</v>
      </c>
      <c r="B2823" s="26" t="s">
        <v>5862</v>
      </c>
      <c r="C2823" s="26" t="s">
        <v>17</v>
      </c>
      <c r="D2823" s="28" t="s">
        <v>5863</v>
      </c>
      <c r="E2823" s="26">
        <v>13436</v>
      </c>
      <c r="F2823" s="29" t="s">
        <v>247</v>
      </c>
    </row>
    <row r="2824" spans="1:6" ht="29" x14ac:dyDescent="0.35">
      <c r="A2824" s="26" t="s">
        <v>216</v>
      </c>
      <c r="B2824" s="26" t="s">
        <v>5864</v>
      </c>
      <c r="C2824" s="26" t="s">
        <v>20</v>
      </c>
      <c r="D2824" s="28" t="s">
        <v>5865</v>
      </c>
      <c r="E2824" s="26">
        <v>13436</v>
      </c>
      <c r="F2824" s="29" t="s">
        <v>223</v>
      </c>
    </row>
    <row r="2825" spans="1:6" ht="58" x14ac:dyDescent="0.35">
      <c r="A2825" s="26" t="s">
        <v>216</v>
      </c>
      <c r="B2825" s="26" t="s">
        <v>5866</v>
      </c>
      <c r="C2825" s="26" t="s">
        <v>25</v>
      </c>
      <c r="D2825" s="28" t="s">
        <v>5867</v>
      </c>
      <c r="E2825" s="26">
        <v>0</v>
      </c>
      <c r="F2825" s="29" t="s">
        <v>226</v>
      </c>
    </row>
    <row r="2826" spans="1:6" ht="43.5" x14ac:dyDescent="0.35">
      <c r="A2826" s="26" t="s">
        <v>216</v>
      </c>
      <c r="B2826" s="26" t="s">
        <v>5868</v>
      </c>
      <c r="C2826" s="26" t="s">
        <v>27</v>
      </c>
      <c r="D2826" s="28" t="s">
        <v>5869</v>
      </c>
      <c r="E2826" s="26">
        <v>0</v>
      </c>
      <c r="F2826" s="29" t="s">
        <v>229</v>
      </c>
    </row>
    <row r="2827" spans="1:6" ht="29" x14ac:dyDescent="0.35">
      <c r="A2827" s="26" t="s">
        <v>216</v>
      </c>
      <c r="B2827" s="26" t="s">
        <v>5870</v>
      </c>
      <c r="C2827" s="26" t="s">
        <v>24</v>
      </c>
      <c r="D2827" s="28" t="s">
        <v>5871</v>
      </c>
      <c r="E2827" s="26">
        <v>0</v>
      </c>
      <c r="F2827" s="29" t="s">
        <v>232</v>
      </c>
    </row>
    <row r="2828" spans="1:6" ht="43.5" x14ac:dyDescent="0.35">
      <c r="A2828" s="26" t="s">
        <v>216</v>
      </c>
      <c r="B2828" s="26" t="s">
        <v>5872</v>
      </c>
      <c r="C2828" s="26" t="s">
        <v>15</v>
      </c>
      <c r="D2828" s="28" t="s">
        <v>218</v>
      </c>
      <c r="E2828" s="26" t="s">
        <v>5873</v>
      </c>
      <c r="F2828" s="29" t="s">
        <v>220</v>
      </c>
    </row>
    <row r="2829" spans="1:6" ht="29" x14ac:dyDescent="0.35">
      <c r="A2829" s="26" t="s">
        <v>216</v>
      </c>
      <c r="B2829" s="26" t="s">
        <v>5874</v>
      </c>
      <c r="C2829" s="26" t="s">
        <v>17</v>
      </c>
      <c r="D2829" s="28" t="s">
        <v>5875</v>
      </c>
      <c r="E2829" s="26">
        <v>13436</v>
      </c>
      <c r="F2829" s="29" t="s">
        <v>247</v>
      </c>
    </row>
    <row r="2830" spans="1:6" ht="29" x14ac:dyDescent="0.35">
      <c r="A2830" s="26" t="s">
        <v>216</v>
      </c>
      <c r="B2830" s="26" t="s">
        <v>5876</v>
      </c>
      <c r="C2830" s="26" t="s">
        <v>20</v>
      </c>
      <c r="D2830" s="28" t="s">
        <v>5877</v>
      </c>
      <c r="E2830" s="26">
        <v>13436</v>
      </c>
      <c r="F2830" s="29" t="s">
        <v>223</v>
      </c>
    </row>
    <row r="2831" spans="1:6" ht="58" x14ac:dyDescent="0.35">
      <c r="A2831" s="26" t="s">
        <v>216</v>
      </c>
      <c r="B2831" s="26" t="s">
        <v>5878</v>
      </c>
      <c r="C2831" s="26" t="s">
        <v>25</v>
      </c>
      <c r="D2831" s="28" t="s">
        <v>5879</v>
      </c>
      <c r="E2831" s="26">
        <v>0</v>
      </c>
      <c r="F2831" s="29" t="s">
        <v>226</v>
      </c>
    </row>
    <row r="2832" spans="1:6" ht="43.5" x14ac:dyDescent="0.35">
      <c r="A2832" s="26" t="s">
        <v>216</v>
      </c>
      <c r="B2832" s="26" t="s">
        <v>5880</v>
      </c>
      <c r="C2832" s="26" t="s">
        <v>27</v>
      </c>
      <c r="D2832" s="28" t="s">
        <v>5881</v>
      </c>
      <c r="E2832" s="26">
        <v>0</v>
      </c>
      <c r="F2832" s="29" t="s">
        <v>229</v>
      </c>
    </row>
    <row r="2833" spans="1:6" ht="29" x14ac:dyDescent="0.35">
      <c r="A2833" s="26" t="s">
        <v>216</v>
      </c>
      <c r="B2833" s="26" t="s">
        <v>5882</v>
      </c>
      <c r="C2833" s="26" t="s">
        <v>24</v>
      </c>
      <c r="D2833" s="28" t="s">
        <v>5883</v>
      </c>
      <c r="E2833" s="26">
        <v>0</v>
      </c>
      <c r="F2833" s="29" t="s">
        <v>232</v>
      </c>
    </row>
    <row r="2834" spans="1:6" ht="43.5" x14ac:dyDescent="0.35">
      <c r="A2834" s="26" t="s">
        <v>216</v>
      </c>
      <c r="B2834" s="26" t="s">
        <v>5884</v>
      </c>
      <c r="C2834" s="26" t="s">
        <v>15</v>
      </c>
      <c r="D2834" s="28" t="s">
        <v>218</v>
      </c>
      <c r="E2834" s="26" t="s">
        <v>5885</v>
      </c>
      <c r="F2834" s="29" t="s">
        <v>220</v>
      </c>
    </row>
    <row r="2835" spans="1:6" ht="29" x14ac:dyDescent="0.35">
      <c r="A2835" s="26" t="s">
        <v>216</v>
      </c>
      <c r="B2835" s="26" t="s">
        <v>5886</v>
      </c>
      <c r="C2835" s="26" t="s">
        <v>17</v>
      </c>
      <c r="D2835" s="28" t="s">
        <v>5887</v>
      </c>
      <c r="E2835" s="26">
        <v>13436</v>
      </c>
      <c r="F2835" s="29" t="s">
        <v>247</v>
      </c>
    </row>
    <row r="2836" spans="1:6" ht="29" x14ac:dyDescent="0.35">
      <c r="A2836" s="26" t="s">
        <v>216</v>
      </c>
      <c r="B2836" s="26" t="s">
        <v>5888</v>
      </c>
      <c r="C2836" s="26" t="s">
        <v>20</v>
      </c>
      <c r="D2836" s="28" t="s">
        <v>5889</v>
      </c>
      <c r="E2836" s="26">
        <v>13436</v>
      </c>
      <c r="F2836" s="29" t="s">
        <v>223</v>
      </c>
    </row>
    <row r="2837" spans="1:6" ht="58" x14ac:dyDescent="0.35">
      <c r="A2837" s="26" t="s">
        <v>216</v>
      </c>
      <c r="B2837" s="26" t="s">
        <v>5890</v>
      </c>
      <c r="C2837" s="26" t="s">
        <v>25</v>
      </c>
      <c r="D2837" s="28" t="s">
        <v>5891</v>
      </c>
      <c r="E2837" s="26">
        <v>0</v>
      </c>
      <c r="F2837" s="29" t="s">
        <v>226</v>
      </c>
    </row>
    <row r="2838" spans="1:6" ht="43.5" x14ac:dyDescent="0.35">
      <c r="A2838" s="26" t="s">
        <v>216</v>
      </c>
      <c r="B2838" s="26" t="s">
        <v>5892</v>
      </c>
      <c r="C2838" s="26" t="s">
        <v>27</v>
      </c>
      <c r="D2838" s="28" t="s">
        <v>5893</v>
      </c>
      <c r="E2838" s="26">
        <v>0</v>
      </c>
      <c r="F2838" s="29" t="s">
        <v>229</v>
      </c>
    </row>
    <row r="2839" spans="1:6" ht="29" x14ac:dyDescent="0.35">
      <c r="A2839" s="26" t="s">
        <v>216</v>
      </c>
      <c r="B2839" s="26" t="s">
        <v>5894</v>
      </c>
      <c r="C2839" s="26" t="s">
        <v>24</v>
      </c>
      <c r="D2839" s="28" t="s">
        <v>5895</v>
      </c>
      <c r="E2839" s="26">
        <v>0</v>
      </c>
      <c r="F2839" s="29" t="s">
        <v>232</v>
      </c>
    </row>
    <row r="2840" spans="1:6" ht="43.5" x14ac:dyDescent="0.35">
      <c r="A2840" s="26" t="s">
        <v>216</v>
      </c>
      <c r="B2840" s="26" t="s">
        <v>5896</v>
      </c>
      <c r="C2840" s="26" t="s">
        <v>15</v>
      </c>
      <c r="D2840" s="28" t="s">
        <v>218</v>
      </c>
      <c r="E2840" s="26" t="s">
        <v>5897</v>
      </c>
      <c r="F2840" s="29" t="s">
        <v>220</v>
      </c>
    </row>
    <row r="2841" spans="1:6" ht="29" x14ac:dyDescent="0.35">
      <c r="A2841" s="26" t="s">
        <v>216</v>
      </c>
      <c r="B2841" s="26" t="s">
        <v>5898</v>
      </c>
      <c r="C2841" s="26" t="s">
        <v>17</v>
      </c>
      <c r="D2841" s="28" t="s">
        <v>5899</v>
      </c>
      <c r="E2841" s="26">
        <v>13436</v>
      </c>
      <c r="F2841" s="29" t="s">
        <v>247</v>
      </c>
    </row>
    <row r="2842" spans="1:6" ht="29" x14ac:dyDescent="0.35">
      <c r="A2842" s="26" t="s">
        <v>216</v>
      </c>
      <c r="B2842" s="26" t="s">
        <v>5900</v>
      </c>
      <c r="C2842" s="26" t="s">
        <v>20</v>
      </c>
      <c r="D2842" s="28" t="s">
        <v>5901</v>
      </c>
      <c r="E2842" s="26">
        <v>13436</v>
      </c>
      <c r="F2842" s="29" t="s">
        <v>223</v>
      </c>
    </row>
    <row r="2843" spans="1:6" ht="58" x14ac:dyDescent="0.35">
      <c r="A2843" s="26" t="s">
        <v>216</v>
      </c>
      <c r="B2843" s="26" t="s">
        <v>5902</v>
      </c>
      <c r="C2843" s="26" t="s">
        <v>25</v>
      </c>
      <c r="D2843" s="28" t="s">
        <v>5903</v>
      </c>
      <c r="E2843" s="26">
        <v>0</v>
      </c>
      <c r="F2843" s="29" t="s">
        <v>226</v>
      </c>
    </row>
    <row r="2844" spans="1:6" ht="43.5" x14ac:dyDescent="0.35">
      <c r="A2844" s="26" t="s">
        <v>216</v>
      </c>
      <c r="B2844" s="26" t="s">
        <v>5904</v>
      </c>
      <c r="C2844" s="26" t="s">
        <v>27</v>
      </c>
      <c r="D2844" s="28" t="s">
        <v>5905</v>
      </c>
      <c r="E2844" s="26">
        <v>0</v>
      </c>
      <c r="F2844" s="29" t="s">
        <v>229</v>
      </c>
    </row>
    <row r="2845" spans="1:6" ht="29" x14ac:dyDescent="0.35">
      <c r="A2845" s="26" t="s">
        <v>216</v>
      </c>
      <c r="B2845" s="26" t="s">
        <v>5906</v>
      </c>
      <c r="C2845" s="26" t="s">
        <v>24</v>
      </c>
      <c r="D2845" s="28" t="s">
        <v>5907</v>
      </c>
      <c r="E2845" s="26">
        <v>0</v>
      </c>
      <c r="F2845" s="29" t="s">
        <v>232</v>
      </c>
    </row>
    <row r="2846" spans="1:6" ht="43.5" x14ac:dyDescent="0.35">
      <c r="A2846" s="26" t="s">
        <v>216</v>
      </c>
      <c r="B2846" s="26" t="s">
        <v>5908</v>
      </c>
      <c r="C2846" s="26" t="s">
        <v>15</v>
      </c>
      <c r="D2846" s="28" t="s">
        <v>218</v>
      </c>
      <c r="E2846" s="26" t="s">
        <v>5909</v>
      </c>
      <c r="F2846" s="29" t="s">
        <v>220</v>
      </c>
    </row>
    <row r="2847" spans="1:6" ht="29" x14ac:dyDescent="0.35">
      <c r="A2847" s="26" t="s">
        <v>216</v>
      </c>
      <c r="B2847" s="26" t="s">
        <v>5910</v>
      </c>
      <c r="C2847" s="26" t="s">
        <v>17</v>
      </c>
      <c r="D2847" s="28" t="s">
        <v>5911</v>
      </c>
      <c r="E2847" s="26">
        <v>13436</v>
      </c>
      <c r="F2847" s="29" t="s">
        <v>247</v>
      </c>
    </row>
    <row r="2848" spans="1:6" ht="29" x14ac:dyDescent="0.35">
      <c r="A2848" s="26" t="s">
        <v>216</v>
      </c>
      <c r="B2848" s="26" t="s">
        <v>5912</v>
      </c>
      <c r="C2848" s="26" t="s">
        <v>20</v>
      </c>
      <c r="D2848" s="28" t="s">
        <v>5913</v>
      </c>
      <c r="E2848" s="26">
        <v>13436</v>
      </c>
      <c r="F2848" s="29" t="s">
        <v>223</v>
      </c>
    </row>
    <row r="2849" spans="1:6" ht="58" x14ac:dyDescent="0.35">
      <c r="A2849" s="26" t="s">
        <v>216</v>
      </c>
      <c r="B2849" s="26" t="s">
        <v>5914</v>
      </c>
      <c r="C2849" s="26" t="s">
        <v>25</v>
      </c>
      <c r="D2849" s="28" t="s">
        <v>5915</v>
      </c>
      <c r="E2849" s="26">
        <v>0</v>
      </c>
      <c r="F2849" s="29" t="s">
        <v>226</v>
      </c>
    </row>
    <row r="2850" spans="1:6" ht="43.5" x14ac:dyDescent="0.35">
      <c r="A2850" s="26" t="s">
        <v>216</v>
      </c>
      <c r="B2850" s="26" t="s">
        <v>5916</v>
      </c>
      <c r="C2850" s="26" t="s">
        <v>27</v>
      </c>
      <c r="D2850" s="28" t="s">
        <v>5917</v>
      </c>
      <c r="E2850" s="26">
        <v>0</v>
      </c>
      <c r="F2850" s="29" t="s">
        <v>229</v>
      </c>
    </row>
    <row r="2851" spans="1:6" ht="29" x14ac:dyDescent="0.35">
      <c r="A2851" s="26" t="s">
        <v>216</v>
      </c>
      <c r="B2851" s="26" t="s">
        <v>5918</v>
      </c>
      <c r="C2851" s="26" t="s">
        <v>24</v>
      </c>
      <c r="D2851" s="28" t="s">
        <v>5919</v>
      </c>
      <c r="E2851" s="26">
        <v>0</v>
      </c>
      <c r="F2851" s="29" t="s">
        <v>232</v>
      </c>
    </row>
    <row r="2852" spans="1:6" ht="43.5" x14ac:dyDescent="0.35">
      <c r="A2852" s="26" t="s">
        <v>216</v>
      </c>
      <c r="B2852" s="26" t="s">
        <v>5920</v>
      </c>
      <c r="C2852" s="26" t="s">
        <v>15</v>
      </c>
      <c r="D2852" s="28" t="s">
        <v>218</v>
      </c>
      <c r="E2852" s="26" t="s">
        <v>5921</v>
      </c>
      <c r="F2852" s="29" t="s">
        <v>220</v>
      </c>
    </row>
    <row r="2853" spans="1:6" ht="29" x14ac:dyDescent="0.35">
      <c r="A2853" s="26" t="s">
        <v>216</v>
      </c>
      <c r="B2853" s="26" t="s">
        <v>5922</v>
      </c>
      <c r="C2853" s="26" t="s">
        <v>17</v>
      </c>
      <c r="D2853" s="28" t="s">
        <v>5923</v>
      </c>
      <c r="E2853" s="26">
        <v>13436</v>
      </c>
      <c r="F2853" s="29" t="s">
        <v>247</v>
      </c>
    </row>
    <row r="2854" spans="1:6" ht="29" x14ac:dyDescent="0.35">
      <c r="A2854" s="26" t="s">
        <v>216</v>
      </c>
      <c r="B2854" s="26" t="s">
        <v>5924</v>
      </c>
      <c r="C2854" s="26" t="s">
        <v>20</v>
      </c>
      <c r="D2854" s="28" t="s">
        <v>5925</v>
      </c>
      <c r="E2854" s="26">
        <v>13436</v>
      </c>
      <c r="F2854" s="29" t="s">
        <v>223</v>
      </c>
    </row>
    <row r="2855" spans="1:6" ht="58" x14ac:dyDescent="0.35">
      <c r="A2855" s="26" t="s">
        <v>216</v>
      </c>
      <c r="B2855" s="26" t="s">
        <v>5926</v>
      </c>
      <c r="C2855" s="26" t="s">
        <v>25</v>
      </c>
      <c r="D2855" s="28" t="s">
        <v>5927</v>
      </c>
      <c r="E2855" s="26">
        <v>0</v>
      </c>
      <c r="F2855" s="29" t="s">
        <v>226</v>
      </c>
    </row>
    <row r="2856" spans="1:6" ht="43.5" x14ac:dyDescent="0.35">
      <c r="A2856" s="26" t="s">
        <v>216</v>
      </c>
      <c r="B2856" s="26" t="s">
        <v>5928</v>
      </c>
      <c r="C2856" s="26" t="s">
        <v>27</v>
      </c>
      <c r="D2856" s="28" t="s">
        <v>5929</v>
      </c>
      <c r="E2856" s="26">
        <v>0</v>
      </c>
      <c r="F2856" s="29" t="s">
        <v>229</v>
      </c>
    </row>
    <row r="2857" spans="1:6" ht="29" x14ac:dyDescent="0.35">
      <c r="A2857" s="26" t="s">
        <v>216</v>
      </c>
      <c r="B2857" s="26" t="s">
        <v>5930</v>
      </c>
      <c r="C2857" s="26" t="s">
        <v>24</v>
      </c>
      <c r="D2857" s="28" t="s">
        <v>5931</v>
      </c>
      <c r="E2857" s="26">
        <v>0</v>
      </c>
      <c r="F2857" s="29" t="s">
        <v>232</v>
      </c>
    </row>
    <row r="2858" spans="1:6" ht="43.5" x14ac:dyDescent="0.35">
      <c r="A2858" s="26" t="s">
        <v>216</v>
      </c>
      <c r="B2858" s="26" t="s">
        <v>5932</v>
      </c>
      <c r="C2858" s="26" t="s">
        <v>15</v>
      </c>
      <c r="D2858" s="28" t="s">
        <v>218</v>
      </c>
      <c r="E2858" s="26" t="s">
        <v>5933</v>
      </c>
      <c r="F2858" s="29" t="s">
        <v>220</v>
      </c>
    </row>
    <row r="2859" spans="1:6" ht="29" x14ac:dyDescent="0.35">
      <c r="A2859" s="26" t="s">
        <v>216</v>
      </c>
      <c r="B2859" s="26" t="s">
        <v>5934</v>
      </c>
      <c r="C2859" s="26" t="s">
        <v>17</v>
      </c>
      <c r="D2859" s="28" t="s">
        <v>5935</v>
      </c>
      <c r="E2859" s="26">
        <v>13436</v>
      </c>
      <c r="F2859" s="29" t="s">
        <v>247</v>
      </c>
    </row>
    <row r="2860" spans="1:6" ht="29" x14ac:dyDescent="0.35">
      <c r="A2860" s="26" t="s">
        <v>216</v>
      </c>
      <c r="B2860" s="26" t="s">
        <v>5936</v>
      </c>
      <c r="C2860" s="26" t="s">
        <v>20</v>
      </c>
      <c r="D2860" s="28" t="s">
        <v>5937</v>
      </c>
      <c r="E2860" s="26">
        <v>13436</v>
      </c>
      <c r="F2860" s="29" t="s">
        <v>223</v>
      </c>
    </row>
    <row r="2861" spans="1:6" ht="58" x14ac:dyDescent="0.35">
      <c r="A2861" s="26" t="s">
        <v>216</v>
      </c>
      <c r="B2861" s="26" t="s">
        <v>5938</v>
      </c>
      <c r="C2861" s="26" t="s">
        <v>25</v>
      </c>
      <c r="D2861" s="28" t="s">
        <v>5939</v>
      </c>
      <c r="E2861" s="26">
        <v>0</v>
      </c>
      <c r="F2861" s="29" t="s">
        <v>226</v>
      </c>
    </row>
    <row r="2862" spans="1:6" ht="43.5" x14ac:dyDescent="0.35">
      <c r="A2862" s="26" t="s">
        <v>216</v>
      </c>
      <c r="B2862" s="26" t="s">
        <v>5940</v>
      </c>
      <c r="C2862" s="26" t="s">
        <v>27</v>
      </c>
      <c r="D2862" s="28" t="s">
        <v>5941</v>
      </c>
      <c r="E2862" s="26">
        <v>0</v>
      </c>
      <c r="F2862" s="29" t="s">
        <v>229</v>
      </c>
    </row>
    <row r="2863" spans="1:6" ht="29" x14ac:dyDescent="0.35">
      <c r="A2863" s="26" t="s">
        <v>216</v>
      </c>
      <c r="B2863" s="26" t="s">
        <v>5942</v>
      </c>
      <c r="C2863" s="26" t="s">
        <v>24</v>
      </c>
      <c r="D2863" s="28" t="s">
        <v>5943</v>
      </c>
      <c r="E2863" s="26">
        <v>0</v>
      </c>
      <c r="F2863" s="29" t="s">
        <v>232</v>
      </c>
    </row>
    <row r="2864" spans="1:6" ht="43.5" x14ac:dyDescent="0.35">
      <c r="A2864" s="26" t="s">
        <v>216</v>
      </c>
      <c r="B2864" s="26" t="s">
        <v>5944</v>
      </c>
      <c r="C2864" s="26" t="s">
        <v>15</v>
      </c>
      <c r="D2864" s="28" t="s">
        <v>218</v>
      </c>
      <c r="E2864" s="26" t="s">
        <v>5945</v>
      </c>
      <c r="F2864" s="29" t="s">
        <v>220</v>
      </c>
    </row>
    <row r="2865" spans="1:6" ht="29" x14ac:dyDescent="0.35">
      <c r="A2865" s="26" t="s">
        <v>216</v>
      </c>
      <c r="B2865" s="26" t="s">
        <v>5946</v>
      </c>
      <c r="C2865" s="26" t="s">
        <v>17</v>
      </c>
      <c r="D2865" s="28" t="s">
        <v>5947</v>
      </c>
      <c r="E2865" s="26">
        <v>13436</v>
      </c>
      <c r="F2865" s="29" t="s">
        <v>247</v>
      </c>
    </row>
    <row r="2866" spans="1:6" ht="29" x14ac:dyDescent="0.35">
      <c r="A2866" s="26" t="s">
        <v>216</v>
      </c>
      <c r="B2866" s="26" t="s">
        <v>5948</v>
      </c>
      <c r="C2866" s="26" t="s">
        <v>20</v>
      </c>
      <c r="D2866" s="28" t="s">
        <v>5949</v>
      </c>
      <c r="E2866" s="26">
        <v>13436</v>
      </c>
      <c r="F2866" s="29" t="s">
        <v>223</v>
      </c>
    </row>
    <row r="2867" spans="1:6" ht="58" x14ac:dyDescent="0.35">
      <c r="A2867" s="26" t="s">
        <v>216</v>
      </c>
      <c r="B2867" s="26" t="s">
        <v>5950</v>
      </c>
      <c r="C2867" s="26" t="s">
        <v>25</v>
      </c>
      <c r="D2867" s="28" t="s">
        <v>5951</v>
      </c>
      <c r="E2867" s="26">
        <v>0</v>
      </c>
      <c r="F2867" s="29" t="s">
        <v>226</v>
      </c>
    </row>
    <row r="2868" spans="1:6" ht="43.5" x14ac:dyDescent="0.35">
      <c r="A2868" s="26" t="s">
        <v>216</v>
      </c>
      <c r="B2868" s="26" t="s">
        <v>5952</v>
      </c>
      <c r="C2868" s="26" t="s">
        <v>27</v>
      </c>
      <c r="D2868" s="28" t="s">
        <v>5953</v>
      </c>
      <c r="E2868" s="26">
        <v>0</v>
      </c>
      <c r="F2868" s="29" t="s">
        <v>229</v>
      </c>
    </row>
    <row r="2869" spans="1:6" ht="29" x14ac:dyDescent="0.35">
      <c r="A2869" s="26" t="s">
        <v>216</v>
      </c>
      <c r="B2869" s="26" t="s">
        <v>5954</v>
      </c>
      <c r="C2869" s="26" t="s">
        <v>24</v>
      </c>
      <c r="D2869" s="28" t="s">
        <v>5955</v>
      </c>
      <c r="E2869" s="26">
        <v>0</v>
      </c>
      <c r="F2869" s="29" t="s">
        <v>232</v>
      </c>
    </row>
    <row r="2870" spans="1:6" ht="43.5" x14ac:dyDescent="0.35">
      <c r="A2870" s="26" t="s">
        <v>216</v>
      </c>
      <c r="B2870" s="26" t="s">
        <v>5956</v>
      </c>
      <c r="C2870" s="26" t="s">
        <v>15</v>
      </c>
      <c r="D2870" s="28" t="s">
        <v>218</v>
      </c>
      <c r="E2870" s="26" t="s">
        <v>5957</v>
      </c>
      <c r="F2870" s="29" t="s">
        <v>220</v>
      </c>
    </row>
    <row r="2871" spans="1:6" ht="29" x14ac:dyDescent="0.35">
      <c r="A2871" s="26" t="s">
        <v>216</v>
      </c>
      <c r="B2871" s="26" t="s">
        <v>5958</v>
      </c>
      <c r="C2871" s="26" t="s">
        <v>17</v>
      </c>
      <c r="D2871" s="28" t="s">
        <v>5959</v>
      </c>
      <c r="E2871" s="26">
        <v>13436</v>
      </c>
      <c r="F2871" s="29" t="s">
        <v>247</v>
      </c>
    </row>
    <row r="2872" spans="1:6" ht="29" x14ac:dyDescent="0.35">
      <c r="A2872" s="26" t="s">
        <v>216</v>
      </c>
      <c r="B2872" s="26" t="s">
        <v>5960</v>
      </c>
      <c r="C2872" s="26" t="s">
        <v>20</v>
      </c>
      <c r="D2872" s="28" t="s">
        <v>5961</v>
      </c>
      <c r="E2872" s="26">
        <v>13436</v>
      </c>
      <c r="F2872" s="29" t="s">
        <v>223</v>
      </c>
    </row>
    <row r="2873" spans="1:6" ht="58" x14ac:dyDescent="0.35">
      <c r="A2873" s="26" t="s">
        <v>216</v>
      </c>
      <c r="B2873" s="26" t="s">
        <v>5962</v>
      </c>
      <c r="C2873" s="26" t="s">
        <v>25</v>
      </c>
      <c r="D2873" s="28" t="s">
        <v>5963</v>
      </c>
      <c r="E2873" s="26">
        <v>0</v>
      </c>
      <c r="F2873" s="29" t="s">
        <v>226</v>
      </c>
    </row>
    <row r="2874" spans="1:6" ht="43.5" x14ac:dyDescent="0.35">
      <c r="A2874" s="26" t="s">
        <v>216</v>
      </c>
      <c r="B2874" s="26" t="s">
        <v>5964</v>
      </c>
      <c r="C2874" s="26" t="s">
        <v>27</v>
      </c>
      <c r="D2874" s="28" t="s">
        <v>5965</v>
      </c>
      <c r="E2874" s="26">
        <v>0</v>
      </c>
      <c r="F2874" s="29" t="s">
        <v>229</v>
      </c>
    </row>
    <row r="2875" spans="1:6" ht="29" x14ac:dyDescent="0.35">
      <c r="A2875" s="26" t="s">
        <v>216</v>
      </c>
      <c r="B2875" s="26" t="s">
        <v>5966</v>
      </c>
      <c r="C2875" s="26" t="s">
        <v>24</v>
      </c>
      <c r="D2875" s="28" t="s">
        <v>5967</v>
      </c>
      <c r="E2875" s="26">
        <v>0</v>
      </c>
      <c r="F2875" s="29" t="s">
        <v>232</v>
      </c>
    </row>
    <row r="2876" spans="1:6" ht="43.5" x14ac:dyDescent="0.35">
      <c r="A2876" s="26" t="s">
        <v>216</v>
      </c>
      <c r="B2876" s="26" t="s">
        <v>5968</v>
      </c>
      <c r="C2876" s="26" t="s">
        <v>15</v>
      </c>
      <c r="D2876" s="28" t="s">
        <v>218</v>
      </c>
      <c r="E2876" s="26" t="s">
        <v>5969</v>
      </c>
      <c r="F2876" s="29" t="s">
        <v>220</v>
      </c>
    </row>
    <row r="2877" spans="1:6" ht="29" x14ac:dyDescent="0.35">
      <c r="A2877" s="26" t="s">
        <v>216</v>
      </c>
      <c r="B2877" s="26" t="s">
        <v>5970</v>
      </c>
      <c r="C2877" s="26" t="s">
        <v>17</v>
      </c>
      <c r="D2877" s="28" t="s">
        <v>5971</v>
      </c>
      <c r="E2877" s="26">
        <v>13436</v>
      </c>
      <c r="F2877" s="29" t="s">
        <v>247</v>
      </c>
    </row>
    <row r="2878" spans="1:6" ht="29" x14ac:dyDescent="0.35">
      <c r="A2878" s="26" t="s">
        <v>216</v>
      </c>
      <c r="B2878" s="26" t="s">
        <v>5972</v>
      </c>
      <c r="C2878" s="26" t="s">
        <v>20</v>
      </c>
      <c r="D2878" s="28" t="s">
        <v>5973</v>
      </c>
      <c r="E2878" s="26">
        <v>13436</v>
      </c>
      <c r="F2878" s="29" t="s">
        <v>223</v>
      </c>
    </row>
    <row r="2879" spans="1:6" ht="58" x14ac:dyDescent="0.35">
      <c r="A2879" s="26" t="s">
        <v>216</v>
      </c>
      <c r="B2879" s="26" t="s">
        <v>5974</v>
      </c>
      <c r="C2879" s="26" t="s">
        <v>25</v>
      </c>
      <c r="D2879" s="28" t="s">
        <v>5975</v>
      </c>
      <c r="E2879" s="26">
        <v>0</v>
      </c>
      <c r="F2879" s="29" t="s">
        <v>226</v>
      </c>
    </row>
    <row r="2880" spans="1:6" ht="43.5" x14ac:dyDescent="0.35">
      <c r="A2880" s="26" t="s">
        <v>216</v>
      </c>
      <c r="B2880" s="26" t="s">
        <v>5976</v>
      </c>
      <c r="C2880" s="26" t="s">
        <v>27</v>
      </c>
      <c r="D2880" s="28" t="s">
        <v>5977</v>
      </c>
      <c r="E2880" s="26">
        <v>0</v>
      </c>
      <c r="F2880" s="29" t="s">
        <v>229</v>
      </c>
    </row>
    <row r="2881" spans="1:6" ht="29" x14ac:dyDescent="0.35">
      <c r="A2881" s="26" t="s">
        <v>216</v>
      </c>
      <c r="B2881" s="26" t="s">
        <v>5978</v>
      </c>
      <c r="C2881" s="26" t="s">
        <v>24</v>
      </c>
      <c r="D2881" s="28" t="s">
        <v>5979</v>
      </c>
      <c r="E2881" s="26">
        <v>0</v>
      </c>
      <c r="F2881" s="29" t="s">
        <v>232</v>
      </c>
    </row>
    <row r="2882" spans="1:6" ht="43.5" x14ac:dyDescent="0.35">
      <c r="A2882" s="26" t="s">
        <v>216</v>
      </c>
      <c r="B2882" s="26" t="s">
        <v>5980</v>
      </c>
      <c r="C2882" s="26" t="s">
        <v>15</v>
      </c>
      <c r="D2882" s="28" t="s">
        <v>218</v>
      </c>
      <c r="E2882" s="26" t="s">
        <v>5981</v>
      </c>
      <c r="F2882" s="29" t="s">
        <v>220</v>
      </c>
    </row>
    <row r="2883" spans="1:6" ht="29" x14ac:dyDescent="0.35">
      <c r="A2883" s="26" t="s">
        <v>216</v>
      </c>
      <c r="B2883" s="26" t="s">
        <v>5982</v>
      </c>
      <c r="C2883" s="26" t="s">
        <v>17</v>
      </c>
      <c r="D2883" s="28" t="s">
        <v>5983</v>
      </c>
      <c r="E2883" s="26">
        <v>13436</v>
      </c>
      <c r="F2883" s="29" t="s">
        <v>247</v>
      </c>
    </row>
    <row r="2884" spans="1:6" ht="29" x14ac:dyDescent="0.35">
      <c r="A2884" s="26" t="s">
        <v>216</v>
      </c>
      <c r="B2884" s="26" t="s">
        <v>5984</v>
      </c>
      <c r="C2884" s="26" t="s">
        <v>20</v>
      </c>
      <c r="D2884" s="28" t="s">
        <v>5985</v>
      </c>
      <c r="E2884" s="26">
        <v>13436</v>
      </c>
      <c r="F2884" s="29" t="s">
        <v>223</v>
      </c>
    </row>
    <row r="2885" spans="1:6" ht="58" x14ac:dyDescent="0.35">
      <c r="A2885" s="26" t="s">
        <v>216</v>
      </c>
      <c r="B2885" s="26" t="s">
        <v>5986</v>
      </c>
      <c r="C2885" s="26" t="s">
        <v>25</v>
      </c>
      <c r="D2885" s="28" t="s">
        <v>5987</v>
      </c>
      <c r="E2885" s="26">
        <v>0</v>
      </c>
      <c r="F2885" s="29" t="s">
        <v>226</v>
      </c>
    </row>
    <row r="2886" spans="1:6" ht="43.5" x14ac:dyDescent="0.35">
      <c r="A2886" s="26" t="s">
        <v>216</v>
      </c>
      <c r="B2886" s="26" t="s">
        <v>5988</v>
      </c>
      <c r="C2886" s="26" t="s">
        <v>27</v>
      </c>
      <c r="D2886" s="28" t="s">
        <v>5989</v>
      </c>
      <c r="E2886" s="26">
        <v>0</v>
      </c>
      <c r="F2886" s="29" t="s">
        <v>229</v>
      </c>
    </row>
    <row r="2887" spans="1:6" ht="29" x14ac:dyDescent="0.35">
      <c r="A2887" s="26" t="s">
        <v>216</v>
      </c>
      <c r="B2887" s="26" t="s">
        <v>5990</v>
      </c>
      <c r="C2887" s="26" t="s">
        <v>24</v>
      </c>
      <c r="D2887" s="28" t="s">
        <v>5991</v>
      </c>
      <c r="E2887" s="26">
        <v>0</v>
      </c>
      <c r="F2887" s="29" t="s">
        <v>232</v>
      </c>
    </row>
    <row r="2888" spans="1:6" ht="43.5" x14ac:dyDescent="0.35">
      <c r="A2888" s="26" t="s">
        <v>216</v>
      </c>
      <c r="B2888" s="26" t="s">
        <v>5992</v>
      </c>
      <c r="C2888" s="26" t="s">
        <v>15</v>
      </c>
      <c r="D2888" s="28" t="s">
        <v>218</v>
      </c>
      <c r="E2888" s="26" t="s">
        <v>5993</v>
      </c>
      <c r="F2888" s="29" t="s">
        <v>220</v>
      </c>
    </row>
    <row r="2889" spans="1:6" ht="29" x14ac:dyDescent="0.35">
      <c r="A2889" s="26" t="s">
        <v>216</v>
      </c>
      <c r="B2889" s="26" t="s">
        <v>5994</v>
      </c>
      <c r="C2889" s="26" t="s">
        <v>17</v>
      </c>
      <c r="D2889" s="28" t="s">
        <v>5995</v>
      </c>
      <c r="E2889" s="26">
        <v>13436</v>
      </c>
      <c r="F2889" s="29" t="s">
        <v>247</v>
      </c>
    </row>
    <row r="2890" spans="1:6" ht="29" x14ac:dyDescent="0.35">
      <c r="A2890" s="26" t="s">
        <v>216</v>
      </c>
      <c r="B2890" s="26" t="s">
        <v>5996</v>
      </c>
      <c r="C2890" s="26" t="s">
        <v>20</v>
      </c>
      <c r="D2890" s="28" t="s">
        <v>5997</v>
      </c>
      <c r="E2890" s="26">
        <v>13436</v>
      </c>
      <c r="F2890" s="29" t="s">
        <v>223</v>
      </c>
    </row>
    <row r="2891" spans="1:6" ht="58" x14ac:dyDescent="0.35">
      <c r="A2891" s="26" t="s">
        <v>216</v>
      </c>
      <c r="B2891" s="26" t="s">
        <v>5998</v>
      </c>
      <c r="C2891" s="26" t="s">
        <v>25</v>
      </c>
      <c r="D2891" s="28" t="s">
        <v>5999</v>
      </c>
      <c r="E2891" s="26">
        <v>0</v>
      </c>
      <c r="F2891" s="29" t="s">
        <v>226</v>
      </c>
    </row>
    <row r="2892" spans="1:6" ht="43.5" x14ac:dyDescent="0.35">
      <c r="A2892" s="26" t="s">
        <v>216</v>
      </c>
      <c r="B2892" s="26" t="s">
        <v>6000</v>
      </c>
      <c r="C2892" s="26" t="s">
        <v>27</v>
      </c>
      <c r="D2892" s="28" t="s">
        <v>6001</v>
      </c>
      <c r="E2892" s="26">
        <v>0</v>
      </c>
      <c r="F2892" s="29" t="s">
        <v>229</v>
      </c>
    </row>
    <row r="2893" spans="1:6" ht="29" x14ac:dyDescent="0.35">
      <c r="A2893" s="26" t="s">
        <v>216</v>
      </c>
      <c r="B2893" s="26" t="s">
        <v>6002</v>
      </c>
      <c r="C2893" s="26" t="s">
        <v>24</v>
      </c>
      <c r="D2893" s="28" t="s">
        <v>6003</v>
      </c>
      <c r="E2893" s="26">
        <v>0</v>
      </c>
      <c r="F2893" s="29" t="s">
        <v>232</v>
      </c>
    </row>
    <row r="2894" spans="1:6" ht="43.5" x14ac:dyDescent="0.35">
      <c r="A2894" s="26" t="s">
        <v>216</v>
      </c>
      <c r="B2894" s="26" t="s">
        <v>6004</v>
      </c>
      <c r="C2894" s="26" t="s">
        <v>15</v>
      </c>
      <c r="D2894" s="28" t="s">
        <v>218</v>
      </c>
      <c r="E2894" s="26" t="s">
        <v>6005</v>
      </c>
      <c r="F2894" s="29" t="s">
        <v>220</v>
      </c>
    </row>
    <row r="2895" spans="1:6" ht="29" x14ac:dyDescent="0.35">
      <c r="A2895" s="26" t="s">
        <v>216</v>
      </c>
      <c r="B2895" s="26" t="s">
        <v>6006</v>
      </c>
      <c r="C2895" s="26" t="s">
        <v>17</v>
      </c>
      <c r="D2895" s="28" t="s">
        <v>6007</v>
      </c>
      <c r="E2895" s="26">
        <v>13436</v>
      </c>
      <c r="F2895" s="29" t="s">
        <v>247</v>
      </c>
    </row>
    <row r="2896" spans="1:6" ht="29" x14ac:dyDescent="0.35">
      <c r="A2896" s="26" t="s">
        <v>216</v>
      </c>
      <c r="B2896" s="26" t="s">
        <v>6008</v>
      </c>
      <c r="C2896" s="26" t="s">
        <v>20</v>
      </c>
      <c r="D2896" s="28" t="s">
        <v>6009</v>
      </c>
      <c r="E2896" s="26">
        <v>13436</v>
      </c>
      <c r="F2896" s="29" t="s">
        <v>223</v>
      </c>
    </row>
    <row r="2897" spans="1:6" ht="58" x14ac:dyDescent="0.35">
      <c r="A2897" s="26" t="s">
        <v>216</v>
      </c>
      <c r="B2897" s="26" t="s">
        <v>6010</v>
      </c>
      <c r="C2897" s="26" t="s">
        <v>25</v>
      </c>
      <c r="D2897" s="28" t="s">
        <v>6011</v>
      </c>
      <c r="E2897" s="26">
        <v>0</v>
      </c>
      <c r="F2897" s="29" t="s">
        <v>226</v>
      </c>
    </row>
    <row r="2898" spans="1:6" ht="43.5" x14ac:dyDescent="0.35">
      <c r="A2898" s="26" t="s">
        <v>216</v>
      </c>
      <c r="B2898" s="26" t="s">
        <v>6012</v>
      </c>
      <c r="C2898" s="26" t="s">
        <v>27</v>
      </c>
      <c r="D2898" s="28" t="s">
        <v>6013</v>
      </c>
      <c r="E2898" s="26">
        <v>0</v>
      </c>
      <c r="F2898" s="29" t="s">
        <v>229</v>
      </c>
    </row>
    <row r="2899" spans="1:6" ht="29" x14ac:dyDescent="0.35">
      <c r="A2899" s="26" t="s">
        <v>216</v>
      </c>
      <c r="B2899" s="26" t="s">
        <v>6014</v>
      </c>
      <c r="C2899" s="26" t="s">
        <v>24</v>
      </c>
      <c r="D2899" s="28" t="s">
        <v>6015</v>
      </c>
      <c r="E2899" s="26">
        <v>0</v>
      </c>
      <c r="F2899" s="29" t="s">
        <v>232</v>
      </c>
    </row>
    <row r="2900" spans="1:6" ht="43.5" x14ac:dyDescent="0.35">
      <c r="A2900" s="26" t="s">
        <v>216</v>
      </c>
      <c r="B2900" s="26" t="s">
        <v>6016</v>
      </c>
      <c r="C2900" s="26" t="s">
        <v>15</v>
      </c>
      <c r="D2900" s="28" t="s">
        <v>218</v>
      </c>
      <c r="E2900" s="26" t="s">
        <v>6017</v>
      </c>
      <c r="F2900" s="29" t="s">
        <v>220</v>
      </c>
    </row>
    <row r="2901" spans="1:6" ht="29" x14ac:dyDescent="0.35">
      <c r="A2901" s="26" t="s">
        <v>216</v>
      </c>
      <c r="B2901" s="26" t="s">
        <v>6018</v>
      </c>
      <c r="C2901" s="26" t="s">
        <v>17</v>
      </c>
      <c r="D2901" s="28" t="s">
        <v>6019</v>
      </c>
      <c r="E2901" s="26">
        <v>13436</v>
      </c>
      <c r="F2901" s="29" t="s">
        <v>247</v>
      </c>
    </row>
    <row r="2902" spans="1:6" ht="29" x14ac:dyDescent="0.35">
      <c r="A2902" s="26" t="s">
        <v>216</v>
      </c>
      <c r="B2902" s="26" t="s">
        <v>6020</v>
      </c>
      <c r="C2902" s="26" t="s">
        <v>20</v>
      </c>
      <c r="D2902" s="28" t="s">
        <v>6021</v>
      </c>
      <c r="E2902" s="26">
        <v>13436</v>
      </c>
      <c r="F2902" s="29" t="s">
        <v>223</v>
      </c>
    </row>
    <row r="2903" spans="1:6" ht="58" x14ac:dyDescent="0.35">
      <c r="A2903" s="26" t="s">
        <v>216</v>
      </c>
      <c r="B2903" s="26" t="s">
        <v>6022</v>
      </c>
      <c r="C2903" s="26" t="s">
        <v>25</v>
      </c>
      <c r="D2903" s="28" t="s">
        <v>6023</v>
      </c>
      <c r="E2903" s="26">
        <v>0</v>
      </c>
      <c r="F2903" s="29" t="s">
        <v>226</v>
      </c>
    </row>
    <row r="2904" spans="1:6" ht="43.5" x14ac:dyDescent="0.35">
      <c r="A2904" s="26" t="s">
        <v>216</v>
      </c>
      <c r="B2904" s="26" t="s">
        <v>6024</v>
      </c>
      <c r="C2904" s="26" t="s">
        <v>27</v>
      </c>
      <c r="D2904" s="28" t="s">
        <v>6025</v>
      </c>
      <c r="E2904" s="26">
        <v>0</v>
      </c>
      <c r="F2904" s="29" t="s">
        <v>229</v>
      </c>
    </row>
    <row r="2905" spans="1:6" ht="29" x14ac:dyDescent="0.35">
      <c r="A2905" s="26" t="s">
        <v>216</v>
      </c>
      <c r="B2905" s="26" t="s">
        <v>6026</v>
      </c>
      <c r="C2905" s="26" t="s">
        <v>24</v>
      </c>
      <c r="D2905" s="28" t="s">
        <v>6027</v>
      </c>
      <c r="E2905" s="26">
        <v>0</v>
      </c>
      <c r="F2905" s="29" t="s">
        <v>232</v>
      </c>
    </row>
    <row r="2906" spans="1:6" ht="43.5" x14ac:dyDescent="0.35">
      <c r="A2906" s="26" t="s">
        <v>216</v>
      </c>
      <c r="B2906" s="26" t="s">
        <v>6028</v>
      </c>
      <c r="C2906" s="26" t="s">
        <v>15</v>
      </c>
      <c r="D2906" s="28" t="s">
        <v>218</v>
      </c>
      <c r="E2906" s="26" t="s">
        <v>6029</v>
      </c>
      <c r="F2906" s="29" t="s">
        <v>220</v>
      </c>
    </row>
    <row r="2907" spans="1:6" ht="29" x14ac:dyDescent="0.35">
      <c r="A2907" s="26" t="s">
        <v>216</v>
      </c>
      <c r="B2907" s="26" t="s">
        <v>6030</v>
      </c>
      <c r="C2907" s="26" t="s">
        <v>17</v>
      </c>
      <c r="D2907" s="28" t="s">
        <v>6031</v>
      </c>
      <c r="E2907" s="26">
        <v>13436</v>
      </c>
      <c r="F2907" s="29" t="s">
        <v>247</v>
      </c>
    </row>
    <row r="2908" spans="1:6" ht="29" x14ac:dyDescent="0.35">
      <c r="A2908" s="26" t="s">
        <v>216</v>
      </c>
      <c r="B2908" s="26" t="s">
        <v>6032</v>
      </c>
      <c r="C2908" s="26" t="s">
        <v>20</v>
      </c>
      <c r="D2908" s="28" t="s">
        <v>6033</v>
      </c>
      <c r="E2908" s="26">
        <v>13436</v>
      </c>
      <c r="F2908" s="29" t="s">
        <v>223</v>
      </c>
    </row>
    <row r="2909" spans="1:6" ht="58" x14ac:dyDescent="0.35">
      <c r="A2909" s="26" t="s">
        <v>216</v>
      </c>
      <c r="B2909" s="26" t="s">
        <v>6034</v>
      </c>
      <c r="C2909" s="26" t="s">
        <v>25</v>
      </c>
      <c r="D2909" s="28" t="s">
        <v>6035</v>
      </c>
      <c r="E2909" s="26">
        <v>0</v>
      </c>
      <c r="F2909" s="29" t="s">
        <v>226</v>
      </c>
    </row>
    <row r="2910" spans="1:6" ht="43.5" x14ac:dyDescent="0.35">
      <c r="A2910" s="26" t="s">
        <v>216</v>
      </c>
      <c r="B2910" s="26" t="s">
        <v>6036</v>
      </c>
      <c r="C2910" s="26" t="s">
        <v>27</v>
      </c>
      <c r="D2910" s="28" t="s">
        <v>6037</v>
      </c>
      <c r="E2910" s="26">
        <v>0</v>
      </c>
      <c r="F2910" s="29" t="s">
        <v>229</v>
      </c>
    </row>
    <row r="2911" spans="1:6" ht="29" x14ac:dyDescent="0.35">
      <c r="A2911" s="26" t="s">
        <v>216</v>
      </c>
      <c r="B2911" s="26" t="s">
        <v>6038</v>
      </c>
      <c r="C2911" s="26" t="s">
        <v>24</v>
      </c>
      <c r="D2911" s="28" t="s">
        <v>6039</v>
      </c>
      <c r="E2911" s="26">
        <v>0</v>
      </c>
      <c r="F2911" s="29" t="s">
        <v>232</v>
      </c>
    </row>
    <row r="2912" spans="1:6" ht="43.5" x14ac:dyDescent="0.35">
      <c r="A2912" s="26" t="s">
        <v>216</v>
      </c>
      <c r="B2912" s="26" t="s">
        <v>6040</v>
      </c>
      <c r="C2912" s="26" t="s">
        <v>15</v>
      </c>
      <c r="D2912" s="28" t="s">
        <v>218</v>
      </c>
      <c r="E2912" s="26" t="s">
        <v>6041</v>
      </c>
      <c r="F2912" s="29" t="s">
        <v>220</v>
      </c>
    </row>
    <row r="2913" spans="1:6" ht="29" x14ac:dyDescent="0.35">
      <c r="A2913" s="26" t="s">
        <v>216</v>
      </c>
      <c r="B2913" s="26" t="s">
        <v>6042</v>
      </c>
      <c r="C2913" s="26" t="s">
        <v>17</v>
      </c>
      <c r="D2913" s="28" t="s">
        <v>6043</v>
      </c>
      <c r="E2913" s="26">
        <v>13436</v>
      </c>
      <c r="F2913" s="29" t="s">
        <v>247</v>
      </c>
    </row>
    <row r="2914" spans="1:6" ht="29" x14ac:dyDescent="0.35">
      <c r="A2914" s="26" t="s">
        <v>216</v>
      </c>
      <c r="B2914" s="26" t="s">
        <v>6044</v>
      </c>
      <c r="C2914" s="26" t="s">
        <v>20</v>
      </c>
      <c r="D2914" s="28" t="s">
        <v>6045</v>
      </c>
      <c r="E2914" s="26">
        <v>13436</v>
      </c>
      <c r="F2914" s="29" t="s">
        <v>223</v>
      </c>
    </row>
    <row r="2915" spans="1:6" ht="58" x14ac:dyDescent="0.35">
      <c r="A2915" s="26" t="s">
        <v>216</v>
      </c>
      <c r="B2915" s="26" t="s">
        <v>6046</v>
      </c>
      <c r="C2915" s="26" t="s">
        <v>25</v>
      </c>
      <c r="D2915" s="28" t="s">
        <v>6047</v>
      </c>
      <c r="E2915" s="26">
        <v>0</v>
      </c>
      <c r="F2915" s="29" t="s">
        <v>226</v>
      </c>
    </row>
    <row r="2916" spans="1:6" ht="43.5" x14ac:dyDescent="0.35">
      <c r="A2916" s="26" t="s">
        <v>216</v>
      </c>
      <c r="B2916" s="26" t="s">
        <v>6048</v>
      </c>
      <c r="C2916" s="26" t="s">
        <v>27</v>
      </c>
      <c r="D2916" s="28" t="s">
        <v>6049</v>
      </c>
      <c r="E2916" s="26">
        <v>0</v>
      </c>
      <c r="F2916" s="29" t="s">
        <v>229</v>
      </c>
    </row>
    <row r="2917" spans="1:6" ht="29" x14ac:dyDescent="0.35">
      <c r="A2917" s="26" t="s">
        <v>216</v>
      </c>
      <c r="B2917" s="26" t="s">
        <v>6050</v>
      </c>
      <c r="C2917" s="26" t="s">
        <v>24</v>
      </c>
      <c r="D2917" s="28" t="s">
        <v>6051</v>
      </c>
      <c r="E2917" s="26">
        <v>0</v>
      </c>
      <c r="F2917" s="29" t="s">
        <v>232</v>
      </c>
    </row>
    <row r="2918" spans="1:6" ht="43.5" x14ac:dyDescent="0.35">
      <c r="A2918" s="26" t="s">
        <v>216</v>
      </c>
      <c r="B2918" s="26" t="s">
        <v>6052</v>
      </c>
      <c r="C2918" s="26" t="s">
        <v>15</v>
      </c>
      <c r="D2918" s="28" t="s">
        <v>218</v>
      </c>
      <c r="E2918" s="26" t="s">
        <v>6053</v>
      </c>
      <c r="F2918" s="29" t="s">
        <v>220</v>
      </c>
    </row>
    <row r="2919" spans="1:6" ht="29" x14ac:dyDescent="0.35">
      <c r="A2919" s="26" t="s">
        <v>216</v>
      </c>
      <c r="B2919" s="26" t="s">
        <v>6054</v>
      </c>
      <c r="C2919" s="26" t="s">
        <v>17</v>
      </c>
      <c r="D2919" s="28" t="s">
        <v>6055</v>
      </c>
      <c r="E2919" s="26">
        <v>13436</v>
      </c>
      <c r="F2919" s="29" t="s">
        <v>247</v>
      </c>
    </row>
    <row r="2920" spans="1:6" ht="29" x14ac:dyDescent="0.35">
      <c r="A2920" s="26" t="s">
        <v>216</v>
      </c>
      <c r="B2920" s="26" t="s">
        <v>6056</v>
      </c>
      <c r="C2920" s="26" t="s">
        <v>20</v>
      </c>
      <c r="D2920" s="28" t="s">
        <v>6057</v>
      </c>
      <c r="E2920" s="26">
        <v>13436</v>
      </c>
      <c r="F2920" s="29" t="s">
        <v>223</v>
      </c>
    </row>
    <row r="2921" spans="1:6" ht="58" x14ac:dyDescent="0.35">
      <c r="A2921" s="26" t="s">
        <v>216</v>
      </c>
      <c r="B2921" s="26" t="s">
        <v>6058</v>
      </c>
      <c r="C2921" s="26" t="s">
        <v>25</v>
      </c>
      <c r="D2921" s="28" t="s">
        <v>6059</v>
      </c>
      <c r="E2921" s="26">
        <v>0</v>
      </c>
      <c r="F2921" s="29" t="s">
        <v>226</v>
      </c>
    </row>
    <row r="2922" spans="1:6" ht="43.5" x14ac:dyDescent="0.35">
      <c r="A2922" s="26" t="s">
        <v>216</v>
      </c>
      <c r="B2922" s="26" t="s">
        <v>6060</v>
      </c>
      <c r="C2922" s="26" t="s">
        <v>27</v>
      </c>
      <c r="D2922" s="28" t="s">
        <v>6061</v>
      </c>
      <c r="E2922" s="26">
        <v>0</v>
      </c>
      <c r="F2922" s="29" t="s">
        <v>229</v>
      </c>
    </row>
    <row r="2923" spans="1:6" ht="29" x14ac:dyDescent="0.35">
      <c r="A2923" s="26" t="s">
        <v>216</v>
      </c>
      <c r="B2923" s="26" t="s">
        <v>6062</v>
      </c>
      <c r="C2923" s="26" t="s">
        <v>24</v>
      </c>
      <c r="D2923" s="28" t="s">
        <v>6063</v>
      </c>
      <c r="E2923" s="26">
        <v>0</v>
      </c>
      <c r="F2923" s="29" t="s">
        <v>232</v>
      </c>
    </row>
    <row r="2924" spans="1:6" ht="43.5" x14ac:dyDescent="0.35">
      <c r="A2924" s="26" t="s">
        <v>216</v>
      </c>
      <c r="B2924" s="26" t="s">
        <v>6064</v>
      </c>
      <c r="C2924" s="26" t="s">
        <v>15</v>
      </c>
      <c r="D2924" s="28" t="s">
        <v>218</v>
      </c>
      <c r="E2924" s="26" t="s">
        <v>6065</v>
      </c>
      <c r="F2924" s="29" t="s">
        <v>220</v>
      </c>
    </row>
    <row r="2925" spans="1:6" ht="29" x14ac:dyDescent="0.35">
      <c r="A2925" s="26" t="s">
        <v>216</v>
      </c>
      <c r="B2925" s="26" t="s">
        <v>6066</v>
      </c>
      <c r="C2925" s="26" t="s">
        <v>17</v>
      </c>
      <c r="D2925" s="28" t="s">
        <v>6067</v>
      </c>
      <c r="E2925" s="26">
        <v>13436</v>
      </c>
      <c r="F2925" s="29" t="s">
        <v>247</v>
      </c>
    </row>
    <row r="2926" spans="1:6" ht="29" x14ac:dyDescent="0.35">
      <c r="A2926" s="26" t="s">
        <v>216</v>
      </c>
      <c r="B2926" s="26" t="s">
        <v>6068</v>
      </c>
      <c r="C2926" s="26" t="s">
        <v>20</v>
      </c>
      <c r="D2926" s="28" t="s">
        <v>6069</v>
      </c>
      <c r="E2926" s="26">
        <v>13436</v>
      </c>
      <c r="F2926" s="29" t="s">
        <v>223</v>
      </c>
    </row>
    <row r="2927" spans="1:6" ht="58" x14ac:dyDescent="0.35">
      <c r="A2927" s="26" t="s">
        <v>216</v>
      </c>
      <c r="B2927" s="26" t="s">
        <v>6070</v>
      </c>
      <c r="C2927" s="26" t="s">
        <v>25</v>
      </c>
      <c r="D2927" s="28" t="s">
        <v>6071</v>
      </c>
      <c r="E2927" s="26">
        <v>0</v>
      </c>
      <c r="F2927" s="29" t="s">
        <v>226</v>
      </c>
    </row>
    <row r="2928" spans="1:6" ht="43.5" x14ac:dyDescent="0.35">
      <c r="A2928" s="26" t="s">
        <v>216</v>
      </c>
      <c r="B2928" s="26" t="s">
        <v>6072</v>
      </c>
      <c r="C2928" s="26" t="s">
        <v>27</v>
      </c>
      <c r="D2928" s="28" t="s">
        <v>6073</v>
      </c>
      <c r="E2928" s="26">
        <v>0</v>
      </c>
      <c r="F2928" s="29" t="s">
        <v>229</v>
      </c>
    </row>
    <row r="2929" spans="1:6" ht="29" x14ac:dyDescent="0.35">
      <c r="A2929" s="26" t="s">
        <v>216</v>
      </c>
      <c r="B2929" s="26" t="s">
        <v>6074</v>
      </c>
      <c r="C2929" s="26" t="s">
        <v>24</v>
      </c>
      <c r="D2929" s="28" t="s">
        <v>6075</v>
      </c>
      <c r="E2929" s="26">
        <v>0</v>
      </c>
      <c r="F2929" s="29" t="s">
        <v>232</v>
      </c>
    </row>
    <row r="2930" spans="1:6" ht="43.5" x14ac:dyDescent="0.35">
      <c r="A2930" s="26" t="s">
        <v>216</v>
      </c>
      <c r="B2930" s="26" t="s">
        <v>6076</v>
      </c>
      <c r="C2930" s="26" t="s">
        <v>15</v>
      </c>
      <c r="D2930" s="28" t="s">
        <v>218</v>
      </c>
      <c r="E2930" s="26" t="s">
        <v>6077</v>
      </c>
      <c r="F2930" s="29" t="s">
        <v>220</v>
      </c>
    </row>
    <row r="2931" spans="1:6" ht="29" x14ac:dyDescent="0.35">
      <c r="A2931" s="26" t="s">
        <v>216</v>
      </c>
      <c r="B2931" s="26" t="s">
        <v>6078</v>
      </c>
      <c r="C2931" s="26" t="s">
        <v>17</v>
      </c>
      <c r="D2931" s="28" t="s">
        <v>6079</v>
      </c>
      <c r="E2931" s="26">
        <v>13436</v>
      </c>
      <c r="F2931" s="29" t="s">
        <v>247</v>
      </c>
    </row>
    <row r="2932" spans="1:6" ht="29" x14ac:dyDescent="0.35">
      <c r="A2932" s="26" t="s">
        <v>216</v>
      </c>
      <c r="B2932" s="26" t="s">
        <v>6080</v>
      </c>
      <c r="C2932" s="26" t="s">
        <v>20</v>
      </c>
      <c r="D2932" s="28" t="s">
        <v>6081</v>
      </c>
      <c r="E2932" s="26">
        <v>13436</v>
      </c>
      <c r="F2932" s="29" t="s">
        <v>223</v>
      </c>
    </row>
    <row r="2933" spans="1:6" ht="58" x14ac:dyDescent="0.35">
      <c r="A2933" s="26" t="s">
        <v>216</v>
      </c>
      <c r="B2933" s="26" t="s">
        <v>6082</v>
      </c>
      <c r="C2933" s="26" t="s">
        <v>25</v>
      </c>
      <c r="D2933" s="28" t="s">
        <v>6083</v>
      </c>
      <c r="E2933" s="26">
        <v>0</v>
      </c>
      <c r="F2933" s="29" t="s">
        <v>226</v>
      </c>
    </row>
    <row r="2934" spans="1:6" ht="43.5" x14ac:dyDescent="0.35">
      <c r="A2934" s="26" t="s">
        <v>216</v>
      </c>
      <c r="B2934" s="26" t="s">
        <v>6084</v>
      </c>
      <c r="C2934" s="26" t="s">
        <v>27</v>
      </c>
      <c r="D2934" s="28" t="s">
        <v>6085</v>
      </c>
      <c r="E2934" s="26">
        <v>0</v>
      </c>
      <c r="F2934" s="29" t="s">
        <v>229</v>
      </c>
    </row>
    <row r="2935" spans="1:6" ht="29" x14ac:dyDescent="0.35">
      <c r="A2935" s="26" t="s">
        <v>216</v>
      </c>
      <c r="B2935" s="26" t="s">
        <v>6086</v>
      </c>
      <c r="C2935" s="26" t="s">
        <v>24</v>
      </c>
      <c r="D2935" s="28" t="s">
        <v>6087</v>
      </c>
      <c r="E2935" s="26">
        <v>0</v>
      </c>
      <c r="F2935" s="29" t="s">
        <v>232</v>
      </c>
    </row>
    <row r="2936" spans="1:6" ht="43.5" x14ac:dyDescent="0.35">
      <c r="A2936" s="26" t="s">
        <v>216</v>
      </c>
      <c r="B2936" s="26" t="s">
        <v>6088</v>
      </c>
      <c r="C2936" s="26" t="s">
        <v>15</v>
      </c>
      <c r="D2936" s="28" t="s">
        <v>218</v>
      </c>
      <c r="E2936" s="26" t="s">
        <v>6089</v>
      </c>
      <c r="F2936" s="29" t="s">
        <v>220</v>
      </c>
    </row>
    <row r="2937" spans="1:6" ht="29" x14ac:dyDescent="0.35">
      <c r="A2937" s="26" t="s">
        <v>216</v>
      </c>
      <c r="B2937" s="26" t="s">
        <v>6090</v>
      </c>
      <c r="C2937" s="26" t="s">
        <v>17</v>
      </c>
      <c r="D2937" s="28" t="s">
        <v>6091</v>
      </c>
      <c r="E2937" s="26">
        <v>13436</v>
      </c>
      <c r="F2937" s="29" t="s">
        <v>247</v>
      </c>
    </row>
    <row r="2938" spans="1:6" ht="29" x14ac:dyDescent="0.35">
      <c r="A2938" s="26" t="s">
        <v>216</v>
      </c>
      <c r="B2938" s="26" t="s">
        <v>6092</v>
      </c>
      <c r="C2938" s="26" t="s">
        <v>20</v>
      </c>
      <c r="D2938" s="28" t="s">
        <v>6093</v>
      </c>
      <c r="E2938" s="26">
        <v>13436</v>
      </c>
      <c r="F2938" s="29" t="s">
        <v>223</v>
      </c>
    </row>
    <row r="2939" spans="1:6" ht="58" x14ac:dyDescent="0.35">
      <c r="A2939" s="26" t="s">
        <v>216</v>
      </c>
      <c r="B2939" s="26" t="s">
        <v>6094</v>
      </c>
      <c r="C2939" s="26" t="s">
        <v>25</v>
      </c>
      <c r="D2939" s="28" t="s">
        <v>6095</v>
      </c>
      <c r="E2939" s="26">
        <v>0</v>
      </c>
      <c r="F2939" s="29" t="s">
        <v>226</v>
      </c>
    </row>
    <row r="2940" spans="1:6" ht="43.5" x14ac:dyDescent="0.35">
      <c r="A2940" s="26" t="s">
        <v>216</v>
      </c>
      <c r="B2940" s="26" t="s">
        <v>6096</v>
      </c>
      <c r="C2940" s="26" t="s">
        <v>27</v>
      </c>
      <c r="D2940" s="28" t="s">
        <v>6097</v>
      </c>
      <c r="E2940" s="26">
        <v>0</v>
      </c>
      <c r="F2940" s="29" t="s">
        <v>229</v>
      </c>
    </row>
    <row r="2941" spans="1:6" ht="29" x14ac:dyDescent="0.35">
      <c r="A2941" s="26" t="s">
        <v>216</v>
      </c>
      <c r="B2941" s="26" t="s">
        <v>6098</v>
      </c>
      <c r="C2941" s="26" t="s">
        <v>24</v>
      </c>
      <c r="D2941" s="28" t="s">
        <v>6099</v>
      </c>
      <c r="E2941" s="26">
        <v>0</v>
      </c>
      <c r="F2941" s="29" t="s">
        <v>232</v>
      </c>
    </row>
    <row r="2942" spans="1:6" ht="43.5" x14ac:dyDescent="0.35">
      <c r="A2942" s="26" t="s">
        <v>216</v>
      </c>
      <c r="B2942" s="26" t="s">
        <v>6100</v>
      </c>
      <c r="C2942" s="26" t="s">
        <v>15</v>
      </c>
      <c r="D2942" s="28" t="s">
        <v>218</v>
      </c>
      <c r="E2942" s="26" t="s">
        <v>6101</v>
      </c>
      <c r="F2942" s="29" t="s">
        <v>220</v>
      </c>
    </row>
    <row r="2943" spans="1:6" ht="29" x14ac:dyDescent="0.35">
      <c r="A2943" s="26" t="s">
        <v>216</v>
      </c>
      <c r="B2943" s="26" t="s">
        <v>6102</v>
      </c>
      <c r="C2943" s="26" t="s">
        <v>17</v>
      </c>
      <c r="D2943" s="28" t="s">
        <v>6103</v>
      </c>
      <c r="E2943" s="26">
        <v>13436</v>
      </c>
      <c r="F2943" s="29" t="s">
        <v>247</v>
      </c>
    </row>
    <row r="2944" spans="1:6" ht="29" x14ac:dyDescent="0.35">
      <c r="A2944" s="26" t="s">
        <v>216</v>
      </c>
      <c r="B2944" s="26" t="s">
        <v>6104</v>
      </c>
      <c r="C2944" s="26" t="s">
        <v>20</v>
      </c>
      <c r="D2944" s="28" t="s">
        <v>6105</v>
      </c>
      <c r="E2944" s="26">
        <v>13436</v>
      </c>
      <c r="F2944" s="29" t="s">
        <v>223</v>
      </c>
    </row>
    <row r="2945" spans="1:6" ht="58" x14ac:dyDescent="0.35">
      <c r="A2945" s="26" t="s">
        <v>216</v>
      </c>
      <c r="B2945" s="26" t="s">
        <v>6106</v>
      </c>
      <c r="C2945" s="26" t="s">
        <v>25</v>
      </c>
      <c r="D2945" s="28" t="s">
        <v>6107</v>
      </c>
      <c r="E2945" s="26">
        <v>0</v>
      </c>
      <c r="F2945" s="29" t="s">
        <v>226</v>
      </c>
    </row>
    <row r="2946" spans="1:6" ht="43.5" x14ac:dyDescent="0.35">
      <c r="A2946" s="26" t="s">
        <v>216</v>
      </c>
      <c r="B2946" s="26" t="s">
        <v>6108</v>
      </c>
      <c r="C2946" s="26" t="s">
        <v>27</v>
      </c>
      <c r="D2946" s="28" t="s">
        <v>6109</v>
      </c>
      <c r="E2946" s="26">
        <v>0</v>
      </c>
      <c r="F2946" s="29" t="s">
        <v>229</v>
      </c>
    </row>
    <row r="2947" spans="1:6" ht="29" x14ac:dyDescent="0.35">
      <c r="A2947" s="26" t="s">
        <v>216</v>
      </c>
      <c r="B2947" s="26" t="s">
        <v>6110</v>
      </c>
      <c r="C2947" s="26" t="s">
        <v>24</v>
      </c>
      <c r="D2947" s="28" t="s">
        <v>6111</v>
      </c>
      <c r="E2947" s="26">
        <v>0</v>
      </c>
      <c r="F2947" s="29" t="s">
        <v>232</v>
      </c>
    </row>
    <row r="2948" spans="1:6" ht="43.5" x14ac:dyDescent="0.35">
      <c r="A2948" s="26" t="s">
        <v>216</v>
      </c>
      <c r="B2948" s="26" t="s">
        <v>6112</v>
      </c>
      <c r="C2948" s="26" t="s">
        <v>15</v>
      </c>
      <c r="D2948" s="28" t="s">
        <v>218</v>
      </c>
      <c r="E2948" s="26" t="s">
        <v>6113</v>
      </c>
      <c r="F2948" s="29" t="s">
        <v>220</v>
      </c>
    </row>
    <row r="2949" spans="1:6" ht="29" x14ac:dyDescent="0.35">
      <c r="A2949" s="26" t="s">
        <v>216</v>
      </c>
      <c r="B2949" s="26" t="s">
        <v>6114</v>
      </c>
      <c r="C2949" s="26" t="s">
        <v>17</v>
      </c>
      <c r="D2949" s="28" t="s">
        <v>6115</v>
      </c>
      <c r="E2949" s="26">
        <v>13436</v>
      </c>
      <c r="F2949" s="29" t="s">
        <v>247</v>
      </c>
    </row>
    <row r="2950" spans="1:6" ht="29" x14ac:dyDescent="0.35">
      <c r="A2950" s="26" t="s">
        <v>216</v>
      </c>
      <c r="B2950" s="26" t="s">
        <v>6116</v>
      </c>
      <c r="C2950" s="26" t="s">
        <v>20</v>
      </c>
      <c r="D2950" s="28" t="s">
        <v>6117</v>
      </c>
      <c r="E2950" s="26">
        <v>13436</v>
      </c>
      <c r="F2950" s="29" t="s">
        <v>223</v>
      </c>
    </row>
    <row r="2951" spans="1:6" ht="58" x14ac:dyDescent="0.35">
      <c r="A2951" s="26" t="s">
        <v>216</v>
      </c>
      <c r="B2951" s="26" t="s">
        <v>6118</v>
      </c>
      <c r="C2951" s="26" t="s">
        <v>25</v>
      </c>
      <c r="D2951" s="28" t="s">
        <v>6119</v>
      </c>
      <c r="E2951" s="26">
        <v>0</v>
      </c>
      <c r="F2951" s="29" t="s">
        <v>226</v>
      </c>
    </row>
    <row r="2952" spans="1:6" ht="43.5" x14ac:dyDescent="0.35">
      <c r="A2952" s="26" t="s">
        <v>216</v>
      </c>
      <c r="B2952" s="26" t="s">
        <v>6120</v>
      </c>
      <c r="C2952" s="26" t="s">
        <v>27</v>
      </c>
      <c r="D2952" s="28" t="s">
        <v>6121</v>
      </c>
      <c r="E2952" s="26">
        <v>0</v>
      </c>
      <c r="F2952" s="29" t="s">
        <v>229</v>
      </c>
    </row>
    <row r="2953" spans="1:6" ht="29" x14ac:dyDescent="0.35">
      <c r="A2953" s="26" t="s">
        <v>216</v>
      </c>
      <c r="B2953" s="26" t="s">
        <v>6122</v>
      </c>
      <c r="C2953" s="26" t="s">
        <v>24</v>
      </c>
      <c r="D2953" s="28" t="s">
        <v>6123</v>
      </c>
      <c r="E2953" s="26">
        <v>0</v>
      </c>
      <c r="F2953" s="29" t="s">
        <v>232</v>
      </c>
    </row>
    <row r="2954" spans="1:6" ht="43.5" x14ac:dyDescent="0.35">
      <c r="A2954" s="26" t="s">
        <v>216</v>
      </c>
      <c r="B2954" s="26" t="s">
        <v>6124</v>
      </c>
      <c r="C2954" s="26" t="s">
        <v>15</v>
      </c>
      <c r="D2954" s="28" t="s">
        <v>218</v>
      </c>
      <c r="E2954" s="26" t="s">
        <v>6125</v>
      </c>
      <c r="F2954" s="29" t="s">
        <v>220</v>
      </c>
    </row>
    <row r="2955" spans="1:6" ht="29" x14ac:dyDescent="0.35">
      <c r="A2955" s="26" t="s">
        <v>216</v>
      </c>
      <c r="B2955" s="26" t="s">
        <v>6126</v>
      </c>
      <c r="C2955" s="26" t="s">
        <v>17</v>
      </c>
      <c r="D2955" s="28" t="s">
        <v>6127</v>
      </c>
      <c r="E2955" s="26">
        <v>13436</v>
      </c>
      <c r="F2955" s="29" t="s">
        <v>247</v>
      </c>
    </row>
    <row r="2956" spans="1:6" ht="29" x14ac:dyDescent="0.35">
      <c r="A2956" s="26" t="s">
        <v>216</v>
      </c>
      <c r="B2956" s="26" t="s">
        <v>6128</v>
      </c>
      <c r="C2956" s="26" t="s">
        <v>20</v>
      </c>
      <c r="D2956" s="28" t="s">
        <v>6129</v>
      </c>
      <c r="E2956" s="26">
        <v>13436</v>
      </c>
      <c r="F2956" s="29" t="s">
        <v>223</v>
      </c>
    </row>
    <row r="2957" spans="1:6" ht="58" x14ac:dyDescent="0.35">
      <c r="A2957" s="26" t="s">
        <v>216</v>
      </c>
      <c r="B2957" s="26" t="s">
        <v>6130</v>
      </c>
      <c r="C2957" s="26" t="s">
        <v>25</v>
      </c>
      <c r="D2957" s="28" t="s">
        <v>6131</v>
      </c>
      <c r="E2957" s="26">
        <v>0</v>
      </c>
      <c r="F2957" s="29" t="s">
        <v>226</v>
      </c>
    </row>
    <row r="2958" spans="1:6" ht="43.5" x14ac:dyDescent="0.35">
      <c r="A2958" s="26" t="s">
        <v>216</v>
      </c>
      <c r="B2958" s="26" t="s">
        <v>6132</v>
      </c>
      <c r="C2958" s="26" t="s">
        <v>27</v>
      </c>
      <c r="D2958" s="28" t="s">
        <v>6133</v>
      </c>
      <c r="E2958" s="26">
        <v>0</v>
      </c>
      <c r="F2958" s="29" t="s">
        <v>229</v>
      </c>
    </row>
    <row r="2959" spans="1:6" ht="29" x14ac:dyDescent="0.35">
      <c r="A2959" s="26" t="s">
        <v>216</v>
      </c>
      <c r="B2959" s="26" t="s">
        <v>6134</v>
      </c>
      <c r="C2959" s="26" t="s">
        <v>24</v>
      </c>
      <c r="D2959" s="28" t="s">
        <v>6135</v>
      </c>
      <c r="E2959" s="26">
        <v>0</v>
      </c>
      <c r="F2959" s="29" t="s">
        <v>232</v>
      </c>
    </row>
    <row r="2960" spans="1:6" ht="43.5" x14ac:dyDescent="0.35">
      <c r="A2960" s="26" t="s">
        <v>216</v>
      </c>
      <c r="B2960" s="26" t="s">
        <v>6136</v>
      </c>
      <c r="C2960" s="26" t="s">
        <v>15</v>
      </c>
      <c r="D2960" s="28" t="s">
        <v>218</v>
      </c>
      <c r="E2960" s="26" t="s">
        <v>6137</v>
      </c>
      <c r="F2960" s="29" t="s">
        <v>220</v>
      </c>
    </row>
    <row r="2961" spans="1:6" ht="29" x14ac:dyDescent="0.35">
      <c r="A2961" s="26" t="s">
        <v>216</v>
      </c>
      <c r="B2961" s="26" t="s">
        <v>6138</v>
      </c>
      <c r="C2961" s="26" t="s">
        <v>17</v>
      </c>
      <c r="D2961" s="28" t="s">
        <v>6139</v>
      </c>
      <c r="E2961" s="26">
        <v>13436</v>
      </c>
      <c r="F2961" s="29" t="s">
        <v>247</v>
      </c>
    </row>
    <row r="2962" spans="1:6" ht="29" x14ac:dyDescent="0.35">
      <c r="A2962" s="26" t="s">
        <v>216</v>
      </c>
      <c r="B2962" s="26" t="s">
        <v>6140</v>
      </c>
      <c r="C2962" s="26" t="s">
        <v>20</v>
      </c>
      <c r="D2962" s="28" t="s">
        <v>6141</v>
      </c>
      <c r="E2962" s="26">
        <v>13436</v>
      </c>
      <c r="F2962" s="29" t="s">
        <v>223</v>
      </c>
    </row>
    <row r="2963" spans="1:6" ht="58" x14ac:dyDescent="0.35">
      <c r="A2963" s="26" t="s">
        <v>216</v>
      </c>
      <c r="B2963" s="26" t="s">
        <v>6142</v>
      </c>
      <c r="C2963" s="26" t="s">
        <v>25</v>
      </c>
      <c r="D2963" s="28" t="s">
        <v>6143</v>
      </c>
      <c r="E2963" s="26">
        <v>0</v>
      </c>
      <c r="F2963" s="29" t="s">
        <v>226</v>
      </c>
    </row>
    <row r="2964" spans="1:6" ht="43.5" x14ac:dyDescent="0.35">
      <c r="A2964" s="26" t="s">
        <v>216</v>
      </c>
      <c r="B2964" s="26" t="s">
        <v>6144</v>
      </c>
      <c r="C2964" s="26" t="s">
        <v>27</v>
      </c>
      <c r="D2964" s="28" t="s">
        <v>6145</v>
      </c>
      <c r="E2964" s="26">
        <v>0</v>
      </c>
      <c r="F2964" s="29" t="s">
        <v>229</v>
      </c>
    </row>
    <row r="2965" spans="1:6" ht="29" x14ac:dyDescent="0.35">
      <c r="A2965" s="26" t="s">
        <v>216</v>
      </c>
      <c r="B2965" s="26" t="s">
        <v>6146</v>
      </c>
      <c r="C2965" s="26" t="s">
        <v>24</v>
      </c>
      <c r="D2965" s="28" t="s">
        <v>6147</v>
      </c>
      <c r="E2965" s="26">
        <v>0</v>
      </c>
      <c r="F2965" s="29" t="s">
        <v>232</v>
      </c>
    </row>
    <row r="2966" spans="1:6" ht="43.5" x14ac:dyDescent="0.35">
      <c r="A2966" s="26" t="s">
        <v>216</v>
      </c>
      <c r="B2966" s="26" t="s">
        <v>6148</v>
      </c>
      <c r="C2966" s="26" t="s">
        <v>15</v>
      </c>
      <c r="D2966" s="28" t="s">
        <v>218</v>
      </c>
      <c r="E2966" s="26" t="s">
        <v>6149</v>
      </c>
      <c r="F2966" s="29" t="s">
        <v>220</v>
      </c>
    </row>
    <row r="2967" spans="1:6" ht="29" x14ac:dyDescent="0.35">
      <c r="A2967" s="26" t="s">
        <v>216</v>
      </c>
      <c r="B2967" s="26" t="s">
        <v>6150</v>
      </c>
      <c r="C2967" s="26" t="s">
        <v>17</v>
      </c>
      <c r="D2967" s="28" t="s">
        <v>6151</v>
      </c>
      <c r="E2967" s="26">
        <v>13436</v>
      </c>
      <c r="F2967" s="29" t="s">
        <v>247</v>
      </c>
    </row>
    <row r="2968" spans="1:6" ht="29" x14ac:dyDescent="0.35">
      <c r="A2968" s="26" t="s">
        <v>216</v>
      </c>
      <c r="B2968" s="26" t="s">
        <v>6152</v>
      </c>
      <c r="C2968" s="26" t="s">
        <v>20</v>
      </c>
      <c r="D2968" s="28" t="s">
        <v>6153</v>
      </c>
      <c r="E2968" s="26">
        <v>13436</v>
      </c>
      <c r="F2968" s="29" t="s">
        <v>223</v>
      </c>
    </row>
    <row r="2969" spans="1:6" ht="58" x14ac:dyDescent="0.35">
      <c r="A2969" s="26" t="s">
        <v>216</v>
      </c>
      <c r="B2969" s="26" t="s">
        <v>6154</v>
      </c>
      <c r="C2969" s="26" t="s">
        <v>25</v>
      </c>
      <c r="D2969" s="28" t="s">
        <v>6155</v>
      </c>
      <c r="E2969" s="26">
        <v>0</v>
      </c>
      <c r="F2969" s="29" t="s">
        <v>226</v>
      </c>
    </row>
    <row r="2970" spans="1:6" ht="43.5" x14ac:dyDescent="0.35">
      <c r="A2970" s="26" t="s">
        <v>216</v>
      </c>
      <c r="B2970" s="26" t="s">
        <v>6156</v>
      </c>
      <c r="C2970" s="26" t="s">
        <v>27</v>
      </c>
      <c r="D2970" s="28" t="s">
        <v>6157</v>
      </c>
      <c r="E2970" s="26">
        <v>0</v>
      </c>
      <c r="F2970" s="29" t="s">
        <v>229</v>
      </c>
    </row>
    <row r="2971" spans="1:6" ht="29" x14ac:dyDescent="0.35">
      <c r="A2971" s="26" t="s">
        <v>216</v>
      </c>
      <c r="B2971" s="26" t="s">
        <v>6158</v>
      </c>
      <c r="C2971" s="26" t="s">
        <v>24</v>
      </c>
      <c r="D2971" s="28" t="s">
        <v>6159</v>
      </c>
      <c r="E2971" s="26">
        <v>0</v>
      </c>
      <c r="F2971" s="29" t="s">
        <v>232</v>
      </c>
    </row>
    <row r="2972" spans="1:6" ht="43.5" x14ac:dyDescent="0.35">
      <c r="A2972" s="26" t="s">
        <v>216</v>
      </c>
      <c r="B2972" s="26" t="s">
        <v>6160</v>
      </c>
      <c r="C2972" s="26" t="s">
        <v>15</v>
      </c>
      <c r="D2972" s="28" t="s">
        <v>218</v>
      </c>
      <c r="E2972" s="26" t="s">
        <v>6161</v>
      </c>
      <c r="F2972" s="29" t="s">
        <v>220</v>
      </c>
    </row>
    <row r="2973" spans="1:6" ht="29" x14ac:dyDescent="0.35">
      <c r="A2973" s="26" t="s">
        <v>216</v>
      </c>
      <c r="B2973" s="26" t="s">
        <v>6162</v>
      </c>
      <c r="C2973" s="26" t="s">
        <v>17</v>
      </c>
      <c r="D2973" s="28" t="s">
        <v>6163</v>
      </c>
      <c r="E2973" s="26">
        <v>13436</v>
      </c>
      <c r="F2973" s="29" t="s">
        <v>247</v>
      </c>
    </row>
    <row r="2974" spans="1:6" ht="29" x14ac:dyDescent="0.35">
      <c r="A2974" s="26" t="s">
        <v>216</v>
      </c>
      <c r="B2974" s="26" t="s">
        <v>6164</v>
      </c>
      <c r="C2974" s="26" t="s">
        <v>20</v>
      </c>
      <c r="D2974" s="28" t="s">
        <v>6165</v>
      </c>
      <c r="E2974" s="26">
        <v>13436</v>
      </c>
      <c r="F2974" s="29" t="s">
        <v>223</v>
      </c>
    </row>
    <row r="2975" spans="1:6" ht="58" x14ac:dyDescent="0.35">
      <c r="A2975" s="26" t="s">
        <v>216</v>
      </c>
      <c r="B2975" s="26" t="s">
        <v>6166</v>
      </c>
      <c r="C2975" s="26" t="s">
        <v>25</v>
      </c>
      <c r="D2975" s="28" t="s">
        <v>6167</v>
      </c>
      <c r="E2975" s="26">
        <v>0</v>
      </c>
      <c r="F2975" s="29" t="s">
        <v>226</v>
      </c>
    </row>
    <row r="2976" spans="1:6" ht="43.5" x14ac:dyDescent="0.35">
      <c r="A2976" s="26" t="s">
        <v>216</v>
      </c>
      <c r="B2976" s="26" t="s">
        <v>6168</v>
      </c>
      <c r="C2976" s="26" t="s">
        <v>27</v>
      </c>
      <c r="D2976" s="28" t="s">
        <v>6169</v>
      </c>
      <c r="E2976" s="26">
        <v>0</v>
      </c>
      <c r="F2976" s="29" t="s">
        <v>229</v>
      </c>
    </row>
    <row r="2977" spans="1:6" ht="29" x14ac:dyDescent="0.35">
      <c r="A2977" s="26" t="s">
        <v>216</v>
      </c>
      <c r="B2977" s="26" t="s">
        <v>6170</v>
      </c>
      <c r="C2977" s="26" t="s">
        <v>24</v>
      </c>
      <c r="D2977" s="28" t="s">
        <v>6171</v>
      </c>
      <c r="E2977" s="26">
        <v>0</v>
      </c>
      <c r="F2977" s="29" t="s">
        <v>232</v>
      </c>
    </row>
    <row r="2978" spans="1:6" ht="43.5" x14ac:dyDescent="0.35">
      <c r="A2978" s="26" t="s">
        <v>216</v>
      </c>
      <c r="B2978" s="26" t="s">
        <v>6172</v>
      </c>
      <c r="C2978" s="26" t="s">
        <v>15</v>
      </c>
      <c r="D2978" s="28" t="s">
        <v>218</v>
      </c>
      <c r="E2978" s="26" t="s">
        <v>6173</v>
      </c>
      <c r="F2978" s="29" t="s">
        <v>220</v>
      </c>
    </row>
    <row r="2979" spans="1:6" ht="29" x14ac:dyDescent="0.35">
      <c r="A2979" s="26" t="s">
        <v>216</v>
      </c>
      <c r="B2979" s="26" t="s">
        <v>6174</v>
      </c>
      <c r="C2979" s="26" t="s">
        <v>17</v>
      </c>
      <c r="D2979" s="28" t="s">
        <v>6175</v>
      </c>
      <c r="E2979" s="26">
        <v>13436</v>
      </c>
      <c r="F2979" s="29" t="s">
        <v>247</v>
      </c>
    </row>
    <row r="2980" spans="1:6" ht="29" x14ac:dyDescent="0.35">
      <c r="A2980" s="26" t="s">
        <v>216</v>
      </c>
      <c r="B2980" s="26" t="s">
        <v>6176</v>
      </c>
      <c r="C2980" s="26" t="s">
        <v>20</v>
      </c>
      <c r="D2980" s="28" t="s">
        <v>6177</v>
      </c>
      <c r="E2980" s="26">
        <v>13436</v>
      </c>
      <c r="F2980" s="29" t="s">
        <v>223</v>
      </c>
    </row>
    <row r="2981" spans="1:6" ht="58" x14ac:dyDescent="0.35">
      <c r="A2981" s="26" t="s">
        <v>216</v>
      </c>
      <c r="B2981" s="26" t="s">
        <v>6178</v>
      </c>
      <c r="C2981" s="26" t="s">
        <v>25</v>
      </c>
      <c r="D2981" s="28" t="s">
        <v>6179</v>
      </c>
      <c r="E2981" s="26">
        <v>0</v>
      </c>
      <c r="F2981" s="29" t="s">
        <v>226</v>
      </c>
    </row>
    <row r="2982" spans="1:6" ht="43.5" x14ac:dyDescent="0.35">
      <c r="A2982" s="26" t="s">
        <v>216</v>
      </c>
      <c r="B2982" s="26" t="s">
        <v>6180</v>
      </c>
      <c r="C2982" s="26" t="s">
        <v>27</v>
      </c>
      <c r="D2982" s="28" t="s">
        <v>6181</v>
      </c>
      <c r="E2982" s="26">
        <v>0</v>
      </c>
      <c r="F2982" s="29" t="s">
        <v>229</v>
      </c>
    </row>
    <row r="2983" spans="1:6" ht="29" x14ac:dyDescent="0.35">
      <c r="A2983" s="26" t="s">
        <v>216</v>
      </c>
      <c r="B2983" s="26" t="s">
        <v>6182</v>
      </c>
      <c r="C2983" s="26" t="s">
        <v>24</v>
      </c>
      <c r="D2983" s="28" t="s">
        <v>6183</v>
      </c>
      <c r="E2983" s="26">
        <v>0</v>
      </c>
      <c r="F2983" s="29" t="s">
        <v>232</v>
      </c>
    </row>
    <row r="2984" spans="1:6" ht="43.5" x14ac:dyDescent="0.35">
      <c r="A2984" s="26" t="s">
        <v>216</v>
      </c>
      <c r="B2984" s="26" t="s">
        <v>6184</v>
      </c>
      <c r="C2984" s="26" t="s">
        <v>15</v>
      </c>
      <c r="D2984" s="28" t="s">
        <v>218</v>
      </c>
      <c r="E2984" s="26" t="s">
        <v>6185</v>
      </c>
      <c r="F2984" s="29" t="s">
        <v>220</v>
      </c>
    </row>
    <row r="2985" spans="1:6" ht="29" x14ac:dyDescent="0.35">
      <c r="A2985" s="26" t="s">
        <v>216</v>
      </c>
      <c r="B2985" s="26" t="s">
        <v>6186</v>
      </c>
      <c r="C2985" s="26" t="s">
        <v>17</v>
      </c>
      <c r="D2985" s="28" t="s">
        <v>6187</v>
      </c>
      <c r="E2985" s="26">
        <v>13436</v>
      </c>
      <c r="F2985" s="29" t="s">
        <v>247</v>
      </c>
    </row>
    <row r="2986" spans="1:6" ht="29" x14ac:dyDescent="0.35">
      <c r="A2986" s="26" t="s">
        <v>216</v>
      </c>
      <c r="B2986" s="26" t="s">
        <v>6188</v>
      </c>
      <c r="C2986" s="26" t="s">
        <v>20</v>
      </c>
      <c r="D2986" s="28" t="s">
        <v>6189</v>
      </c>
      <c r="E2986" s="26">
        <v>13436</v>
      </c>
      <c r="F2986" s="29" t="s">
        <v>223</v>
      </c>
    </row>
    <row r="2987" spans="1:6" ht="58" x14ac:dyDescent="0.35">
      <c r="A2987" s="26" t="s">
        <v>216</v>
      </c>
      <c r="B2987" s="26" t="s">
        <v>6190</v>
      </c>
      <c r="C2987" s="26" t="s">
        <v>25</v>
      </c>
      <c r="D2987" s="28" t="s">
        <v>6191</v>
      </c>
      <c r="E2987" s="26">
        <v>0</v>
      </c>
      <c r="F2987" s="29" t="s">
        <v>226</v>
      </c>
    </row>
    <row r="2988" spans="1:6" ht="43.5" x14ac:dyDescent="0.35">
      <c r="A2988" s="26" t="s">
        <v>216</v>
      </c>
      <c r="B2988" s="26" t="s">
        <v>6192</v>
      </c>
      <c r="C2988" s="26" t="s">
        <v>27</v>
      </c>
      <c r="D2988" s="28" t="s">
        <v>6193</v>
      </c>
      <c r="E2988" s="26">
        <v>0</v>
      </c>
      <c r="F2988" s="29" t="s">
        <v>229</v>
      </c>
    </row>
    <row r="2989" spans="1:6" ht="29" x14ac:dyDescent="0.35">
      <c r="A2989" s="26" t="s">
        <v>216</v>
      </c>
      <c r="B2989" s="26" t="s">
        <v>6194</v>
      </c>
      <c r="C2989" s="26" t="s">
        <v>24</v>
      </c>
      <c r="D2989" s="28" t="s">
        <v>6195</v>
      </c>
      <c r="E2989" s="26">
        <v>0</v>
      </c>
      <c r="F2989" s="29" t="s">
        <v>232</v>
      </c>
    </row>
    <row r="2990" spans="1:6" ht="43.5" x14ac:dyDescent="0.35">
      <c r="A2990" s="26" t="s">
        <v>216</v>
      </c>
      <c r="B2990" s="26" t="s">
        <v>6196</v>
      </c>
      <c r="C2990" s="26" t="s">
        <v>15</v>
      </c>
      <c r="D2990" s="28" t="s">
        <v>218</v>
      </c>
      <c r="E2990" s="26" t="s">
        <v>6197</v>
      </c>
      <c r="F2990" s="29" t="s">
        <v>220</v>
      </c>
    </row>
    <row r="2991" spans="1:6" ht="29" x14ac:dyDescent="0.35">
      <c r="A2991" s="26" t="s">
        <v>216</v>
      </c>
      <c r="B2991" s="26" t="s">
        <v>6198</v>
      </c>
      <c r="C2991" s="26" t="s">
        <v>17</v>
      </c>
      <c r="D2991" s="28" t="s">
        <v>6199</v>
      </c>
      <c r="E2991" s="26">
        <v>13436</v>
      </c>
      <c r="F2991" s="29" t="s">
        <v>247</v>
      </c>
    </row>
    <row r="2992" spans="1:6" ht="29" x14ac:dyDescent="0.35">
      <c r="A2992" s="26" t="s">
        <v>216</v>
      </c>
      <c r="B2992" s="26" t="s">
        <v>6200</v>
      </c>
      <c r="C2992" s="26" t="s">
        <v>20</v>
      </c>
      <c r="D2992" s="28" t="s">
        <v>6201</v>
      </c>
      <c r="E2992" s="26">
        <v>13436</v>
      </c>
      <c r="F2992" s="29" t="s">
        <v>223</v>
      </c>
    </row>
    <row r="2993" spans="1:6" ht="58" x14ac:dyDescent="0.35">
      <c r="A2993" s="26" t="s">
        <v>216</v>
      </c>
      <c r="B2993" s="26" t="s">
        <v>6202</v>
      </c>
      <c r="C2993" s="26" t="s">
        <v>25</v>
      </c>
      <c r="D2993" s="28" t="s">
        <v>6203</v>
      </c>
      <c r="E2993" s="26">
        <v>0</v>
      </c>
      <c r="F2993" s="29" t="s">
        <v>226</v>
      </c>
    </row>
    <row r="2994" spans="1:6" ht="43.5" x14ac:dyDescent="0.35">
      <c r="A2994" s="26" t="s">
        <v>216</v>
      </c>
      <c r="B2994" s="26" t="s">
        <v>6204</v>
      </c>
      <c r="C2994" s="26" t="s">
        <v>27</v>
      </c>
      <c r="D2994" s="28" t="s">
        <v>6205</v>
      </c>
      <c r="E2994" s="26">
        <v>0</v>
      </c>
      <c r="F2994" s="29" t="s">
        <v>229</v>
      </c>
    </row>
    <row r="2995" spans="1:6" ht="29" x14ac:dyDescent="0.35">
      <c r="A2995" s="26" t="s">
        <v>216</v>
      </c>
      <c r="B2995" s="26" t="s">
        <v>6206</v>
      </c>
      <c r="C2995" s="26" t="s">
        <v>24</v>
      </c>
      <c r="D2995" s="28" t="s">
        <v>6207</v>
      </c>
      <c r="E2995" s="26">
        <v>0</v>
      </c>
      <c r="F2995" s="29" t="s">
        <v>232</v>
      </c>
    </row>
    <row r="2996" spans="1:6" ht="43.5" x14ac:dyDescent="0.35">
      <c r="A2996" s="26" t="s">
        <v>216</v>
      </c>
      <c r="B2996" s="26" t="s">
        <v>6208</v>
      </c>
      <c r="C2996" s="26" t="s">
        <v>15</v>
      </c>
      <c r="D2996" s="28" t="s">
        <v>218</v>
      </c>
      <c r="E2996" s="26" t="s">
        <v>6209</v>
      </c>
      <c r="F2996" s="29" t="s">
        <v>220</v>
      </c>
    </row>
    <row r="2997" spans="1:6" ht="29" x14ac:dyDescent="0.35">
      <c r="A2997" s="26" t="s">
        <v>216</v>
      </c>
      <c r="B2997" s="26" t="s">
        <v>6210</v>
      </c>
      <c r="C2997" s="26" t="s">
        <v>17</v>
      </c>
      <c r="D2997" s="28" t="s">
        <v>6211</v>
      </c>
      <c r="E2997" s="26">
        <v>13436</v>
      </c>
      <c r="F2997" s="29" t="s">
        <v>247</v>
      </c>
    </row>
    <row r="2998" spans="1:6" ht="29" x14ac:dyDescent="0.35">
      <c r="A2998" s="26" t="s">
        <v>216</v>
      </c>
      <c r="B2998" s="26" t="s">
        <v>6212</v>
      </c>
      <c r="C2998" s="26" t="s">
        <v>20</v>
      </c>
      <c r="D2998" s="28" t="s">
        <v>6213</v>
      </c>
      <c r="E2998" s="26">
        <v>13436</v>
      </c>
      <c r="F2998" s="29" t="s">
        <v>223</v>
      </c>
    </row>
    <row r="2999" spans="1:6" ht="58" x14ac:dyDescent="0.35">
      <c r="A2999" s="26" t="s">
        <v>216</v>
      </c>
      <c r="B2999" s="26" t="s">
        <v>6214</v>
      </c>
      <c r="C2999" s="26" t="s">
        <v>25</v>
      </c>
      <c r="D2999" s="28" t="s">
        <v>6215</v>
      </c>
      <c r="E2999" s="26">
        <v>0</v>
      </c>
      <c r="F2999" s="29" t="s">
        <v>226</v>
      </c>
    </row>
    <row r="3000" spans="1:6" ht="43.5" x14ac:dyDescent="0.35">
      <c r="A3000" s="26" t="s">
        <v>216</v>
      </c>
      <c r="B3000" s="26" t="s">
        <v>6216</v>
      </c>
      <c r="C3000" s="26" t="s">
        <v>27</v>
      </c>
      <c r="D3000" s="28" t="s">
        <v>6217</v>
      </c>
      <c r="E3000" s="26">
        <v>0</v>
      </c>
      <c r="F3000" s="29" t="s">
        <v>229</v>
      </c>
    </row>
    <row r="3001" spans="1:6" ht="29" x14ac:dyDescent="0.35">
      <c r="A3001" s="26" t="s">
        <v>216</v>
      </c>
      <c r="B3001" s="26" t="s">
        <v>6218</v>
      </c>
      <c r="C3001" s="26" t="s">
        <v>24</v>
      </c>
      <c r="D3001" s="28" t="s">
        <v>6219</v>
      </c>
      <c r="E3001" s="26">
        <v>0</v>
      </c>
      <c r="F3001" s="29" t="s">
        <v>232</v>
      </c>
    </row>
    <row r="3002" spans="1:6" ht="43.5" x14ac:dyDescent="0.35">
      <c r="A3002" s="26" t="s">
        <v>216</v>
      </c>
      <c r="B3002" s="26" t="s">
        <v>6220</v>
      </c>
      <c r="C3002" s="26" t="s">
        <v>15</v>
      </c>
      <c r="D3002" s="28" t="s">
        <v>218</v>
      </c>
      <c r="E3002" s="26" t="s">
        <v>6221</v>
      </c>
      <c r="F3002" s="29" t="s">
        <v>220</v>
      </c>
    </row>
    <row r="3003" spans="1:6" ht="29" x14ac:dyDescent="0.35">
      <c r="A3003" s="26" t="s">
        <v>216</v>
      </c>
      <c r="B3003" s="26" t="s">
        <v>6222</v>
      </c>
      <c r="C3003" s="26" t="s">
        <v>17</v>
      </c>
      <c r="D3003" s="28" t="s">
        <v>6223</v>
      </c>
      <c r="E3003" s="26">
        <v>13436</v>
      </c>
      <c r="F3003" s="29" t="s">
        <v>247</v>
      </c>
    </row>
    <row r="3004" spans="1:6" ht="29" x14ac:dyDescent="0.35">
      <c r="A3004" s="26" t="s">
        <v>216</v>
      </c>
      <c r="B3004" s="26" t="s">
        <v>6224</v>
      </c>
      <c r="C3004" s="26" t="s">
        <v>20</v>
      </c>
      <c r="D3004" s="28" t="s">
        <v>6225</v>
      </c>
      <c r="E3004" s="26">
        <v>13436</v>
      </c>
      <c r="F3004" s="29" t="s">
        <v>223</v>
      </c>
    </row>
    <row r="3005" spans="1:6" ht="58" x14ac:dyDescent="0.35">
      <c r="A3005" s="26" t="s">
        <v>216</v>
      </c>
      <c r="B3005" s="26" t="s">
        <v>6226</v>
      </c>
      <c r="C3005" s="26" t="s">
        <v>25</v>
      </c>
      <c r="D3005" s="28" t="s">
        <v>6227</v>
      </c>
      <c r="E3005" s="26">
        <v>0</v>
      </c>
      <c r="F3005" s="29" t="s">
        <v>226</v>
      </c>
    </row>
    <row r="3006" spans="1:6" ht="43.5" x14ac:dyDescent="0.35">
      <c r="A3006" s="26" t="s">
        <v>216</v>
      </c>
      <c r="B3006" s="26" t="s">
        <v>6228</v>
      </c>
      <c r="C3006" s="26" t="s">
        <v>27</v>
      </c>
      <c r="D3006" s="28" t="s">
        <v>6229</v>
      </c>
      <c r="E3006" s="26">
        <v>0</v>
      </c>
      <c r="F3006" s="29" t="s">
        <v>229</v>
      </c>
    </row>
    <row r="3007" spans="1:6" ht="29" x14ac:dyDescent="0.35">
      <c r="A3007" s="26" t="s">
        <v>216</v>
      </c>
      <c r="B3007" s="26" t="s">
        <v>6230</v>
      </c>
      <c r="C3007" s="26" t="s">
        <v>24</v>
      </c>
      <c r="D3007" s="28" t="s">
        <v>6231</v>
      </c>
      <c r="E3007" s="26">
        <v>0</v>
      </c>
      <c r="F3007" s="29" t="s">
        <v>232</v>
      </c>
    </row>
    <row r="3008" spans="1:6" ht="43.5" x14ac:dyDescent="0.35">
      <c r="A3008" s="26" t="s">
        <v>216</v>
      </c>
      <c r="B3008" s="26" t="s">
        <v>6232</v>
      </c>
      <c r="C3008" s="26" t="s">
        <v>15</v>
      </c>
      <c r="D3008" s="28" t="s">
        <v>218</v>
      </c>
      <c r="E3008" s="26" t="s">
        <v>6233</v>
      </c>
      <c r="F3008" s="29" t="s">
        <v>220</v>
      </c>
    </row>
    <row r="3009" spans="1:6" ht="29" x14ac:dyDescent="0.35">
      <c r="A3009" s="26" t="s">
        <v>216</v>
      </c>
      <c r="B3009" s="26" t="s">
        <v>6234</v>
      </c>
      <c r="C3009" s="26" t="s">
        <v>17</v>
      </c>
      <c r="D3009" s="28" t="s">
        <v>6235</v>
      </c>
      <c r="E3009" s="26">
        <v>13436</v>
      </c>
      <c r="F3009" s="29" t="s">
        <v>247</v>
      </c>
    </row>
    <row r="3010" spans="1:6" ht="29" x14ac:dyDescent="0.35">
      <c r="A3010" s="26" t="s">
        <v>216</v>
      </c>
      <c r="B3010" s="26" t="s">
        <v>6236</v>
      </c>
      <c r="C3010" s="26" t="s">
        <v>20</v>
      </c>
      <c r="D3010" s="28" t="s">
        <v>6237</v>
      </c>
      <c r="E3010" s="26">
        <v>13436</v>
      </c>
      <c r="F3010" s="29" t="s">
        <v>223</v>
      </c>
    </row>
    <row r="3011" spans="1:6" ht="58" x14ac:dyDescent="0.35">
      <c r="A3011" s="26" t="s">
        <v>216</v>
      </c>
      <c r="B3011" s="26" t="s">
        <v>6238</v>
      </c>
      <c r="C3011" s="26" t="s">
        <v>25</v>
      </c>
      <c r="D3011" s="28" t="s">
        <v>6239</v>
      </c>
      <c r="E3011" s="26">
        <v>0</v>
      </c>
      <c r="F3011" s="29" t="s">
        <v>226</v>
      </c>
    </row>
    <row r="3012" spans="1:6" ht="43.5" x14ac:dyDescent="0.35">
      <c r="A3012" s="26" t="s">
        <v>216</v>
      </c>
      <c r="B3012" s="26" t="s">
        <v>6240</v>
      </c>
      <c r="C3012" s="26" t="s">
        <v>27</v>
      </c>
      <c r="D3012" s="28" t="s">
        <v>6241</v>
      </c>
      <c r="E3012" s="26">
        <v>0</v>
      </c>
      <c r="F3012" s="29" t="s">
        <v>229</v>
      </c>
    </row>
    <row r="3013" spans="1:6" ht="29" x14ac:dyDescent="0.35">
      <c r="A3013" s="26" t="s">
        <v>216</v>
      </c>
      <c r="B3013" s="26" t="s">
        <v>6242</v>
      </c>
      <c r="C3013" s="26" t="s">
        <v>24</v>
      </c>
      <c r="D3013" s="28" t="s">
        <v>6243</v>
      </c>
      <c r="E3013" s="26">
        <v>0</v>
      </c>
      <c r="F3013" s="29" t="s">
        <v>232</v>
      </c>
    </row>
    <row r="3014" spans="1:6" ht="43.5" x14ac:dyDescent="0.35">
      <c r="A3014" s="26" t="s">
        <v>216</v>
      </c>
      <c r="B3014" s="26" t="s">
        <v>6244</v>
      </c>
      <c r="C3014" s="26" t="s">
        <v>15</v>
      </c>
      <c r="D3014" s="28" t="s">
        <v>218</v>
      </c>
      <c r="E3014" s="26" t="s">
        <v>6245</v>
      </c>
      <c r="F3014" s="29" t="s">
        <v>220</v>
      </c>
    </row>
    <row r="3015" spans="1:6" ht="29" x14ac:dyDescent="0.35">
      <c r="A3015" s="26" t="s">
        <v>216</v>
      </c>
      <c r="B3015" s="26" t="s">
        <v>6246</v>
      </c>
      <c r="C3015" s="26" t="s">
        <v>17</v>
      </c>
      <c r="D3015" s="28" t="s">
        <v>6247</v>
      </c>
      <c r="E3015" s="26">
        <v>13436</v>
      </c>
      <c r="F3015" s="29" t="s">
        <v>247</v>
      </c>
    </row>
    <row r="3016" spans="1:6" ht="29" x14ac:dyDescent="0.35">
      <c r="A3016" s="26" t="s">
        <v>216</v>
      </c>
      <c r="B3016" s="26" t="s">
        <v>6248</v>
      </c>
      <c r="C3016" s="26" t="s">
        <v>20</v>
      </c>
      <c r="D3016" s="28" t="s">
        <v>6249</v>
      </c>
      <c r="E3016" s="26">
        <v>13436</v>
      </c>
      <c r="F3016" s="29" t="s">
        <v>223</v>
      </c>
    </row>
    <row r="3017" spans="1:6" ht="58" x14ac:dyDescent="0.35">
      <c r="A3017" s="26" t="s">
        <v>216</v>
      </c>
      <c r="B3017" s="26" t="s">
        <v>6250</v>
      </c>
      <c r="C3017" s="26" t="s">
        <v>25</v>
      </c>
      <c r="D3017" s="28" t="s">
        <v>6251</v>
      </c>
      <c r="E3017" s="26">
        <v>0</v>
      </c>
      <c r="F3017" s="29" t="s">
        <v>226</v>
      </c>
    </row>
    <row r="3018" spans="1:6" ht="43.5" x14ac:dyDescent="0.35">
      <c r="A3018" s="26" t="s">
        <v>216</v>
      </c>
      <c r="B3018" s="26" t="s">
        <v>6252</v>
      </c>
      <c r="C3018" s="26" t="s">
        <v>27</v>
      </c>
      <c r="D3018" s="28" t="s">
        <v>6253</v>
      </c>
      <c r="E3018" s="26">
        <v>0</v>
      </c>
      <c r="F3018" s="29" t="s">
        <v>229</v>
      </c>
    </row>
    <row r="3019" spans="1:6" ht="29" x14ac:dyDescent="0.35">
      <c r="A3019" s="26" t="s">
        <v>216</v>
      </c>
      <c r="B3019" s="26" t="s">
        <v>6254</v>
      </c>
      <c r="C3019" s="26" t="s">
        <v>24</v>
      </c>
      <c r="D3019" s="28" t="s">
        <v>6255</v>
      </c>
      <c r="E3019" s="26">
        <v>0</v>
      </c>
      <c r="F3019" s="29" t="s">
        <v>232</v>
      </c>
    </row>
    <row r="3020" spans="1:6" ht="43.5" x14ac:dyDescent="0.35">
      <c r="A3020" s="26" t="s">
        <v>216</v>
      </c>
      <c r="B3020" s="26" t="s">
        <v>6256</v>
      </c>
      <c r="C3020" s="26" t="s">
        <v>15</v>
      </c>
      <c r="D3020" s="28" t="s">
        <v>218</v>
      </c>
      <c r="E3020" s="26" t="s">
        <v>6257</v>
      </c>
      <c r="F3020" s="29" t="s">
        <v>220</v>
      </c>
    </row>
    <row r="3021" spans="1:6" ht="29" x14ac:dyDescent="0.35">
      <c r="A3021" s="26" t="s">
        <v>216</v>
      </c>
      <c r="B3021" s="26" t="s">
        <v>6258</v>
      </c>
      <c r="C3021" s="26" t="s">
        <v>17</v>
      </c>
      <c r="D3021" s="28" t="s">
        <v>6259</v>
      </c>
      <c r="E3021" s="26">
        <v>13436</v>
      </c>
      <c r="F3021" s="29" t="s">
        <v>247</v>
      </c>
    </row>
    <row r="3022" spans="1:6" ht="29" x14ac:dyDescent="0.35">
      <c r="A3022" s="26" t="s">
        <v>216</v>
      </c>
      <c r="B3022" s="26" t="s">
        <v>6260</v>
      </c>
      <c r="C3022" s="26" t="s">
        <v>20</v>
      </c>
      <c r="D3022" s="28" t="s">
        <v>6261</v>
      </c>
      <c r="E3022" s="26">
        <v>13436</v>
      </c>
      <c r="F3022" s="29" t="s">
        <v>223</v>
      </c>
    </row>
    <row r="3023" spans="1:6" ht="58" x14ac:dyDescent="0.35">
      <c r="A3023" s="26" t="s">
        <v>216</v>
      </c>
      <c r="B3023" s="26" t="s">
        <v>6262</v>
      </c>
      <c r="C3023" s="26" t="s">
        <v>25</v>
      </c>
      <c r="D3023" s="28" t="s">
        <v>6263</v>
      </c>
      <c r="E3023" s="26">
        <v>0</v>
      </c>
      <c r="F3023" s="29" t="s">
        <v>226</v>
      </c>
    </row>
    <row r="3024" spans="1:6" ht="43.5" x14ac:dyDescent="0.35">
      <c r="A3024" s="26" t="s">
        <v>216</v>
      </c>
      <c r="B3024" s="26" t="s">
        <v>6264</v>
      </c>
      <c r="C3024" s="26" t="s">
        <v>27</v>
      </c>
      <c r="D3024" s="28" t="s">
        <v>6265</v>
      </c>
      <c r="E3024" s="26">
        <v>0</v>
      </c>
      <c r="F3024" s="29" t="s">
        <v>229</v>
      </c>
    </row>
    <row r="3025" spans="1:6" ht="29" x14ac:dyDescent="0.35">
      <c r="A3025" s="26" t="s">
        <v>216</v>
      </c>
      <c r="B3025" s="26" t="s">
        <v>6266</v>
      </c>
      <c r="C3025" s="26" t="s">
        <v>24</v>
      </c>
      <c r="D3025" s="28" t="s">
        <v>6267</v>
      </c>
      <c r="E3025" s="26">
        <v>0</v>
      </c>
      <c r="F3025" s="29" t="s">
        <v>232</v>
      </c>
    </row>
    <row r="3026" spans="1:6" ht="43.5" x14ac:dyDescent="0.35">
      <c r="A3026" s="26" t="s">
        <v>216</v>
      </c>
      <c r="B3026" s="26" t="s">
        <v>6268</v>
      </c>
      <c r="C3026" s="26" t="s">
        <v>15</v>
      </c>
      <c r="D3026" s="28" t="s">
        <v>218</v>
      </c>
      <c r="E3026" s="26" t="s">
        <v>6269</v>
      </c>
      <c r="F3026" s="29" t="s">
        <v>220</v>
      </c>
    </row>
    <row r="3027" spans="1:6" ht="29" x14ac:dyDescent="0.35">
      <c r="A3027" s="26" t="s">
        <v>216</v>
      </c>
      <c r="B3027" s="26" t="s">
        <v>6270</v>
      </c>
      <c r="C3027" s="26" t="s">
        <v>17</v>
      </c>
      <c r="D3027" s="28" t="s">
        <v>6271</v>
      </c>
      <c r="E3027" s="26">
        <v>13436</v>
      </c>
      <c r="F3027" s="29" t="s">
        <v>247</v>
      </c>
    </row>
    <row r="3028" spans="1:6" ht="29" x14ac:dyDescent="0.35">
      <c r="A3028" s="26" t="s">
        <v>216</v>
      </c>
      <c r="B3028" s="26" t="s">
        <v>6272</v>
      </c>
      <c r="C3028" s="26" t="s">
        <v>20</v>
      </c>
      <c r="D3028" s="28" t="s">
        <v>6273</v>
      </c>
      <c r="E3028" s="26">
        <v>13436</v>
      </c>
      <c r="F3028" s="29" t="s">
        <v>223</v>
      </c>
    </row>
    <row r="3029" spans="1:6" ht="58" x14ac:dyDescent="0.35">
      <c r="A3029" s="26" t="s">
        <v>216</v>
      </c>
      <c r="B3029" s="26" t="s">
        <v>6274</v>
      </c>
      <c r="C3029" s="26" t="s">
        <v>25</v>
      </c>
      <c r="D3029" s="28" t="s">
        <v>6275</v>
      </c>
      <c r="E3029" s="26">
        <v>0</v>
      </c>
      <c r="F3029" s="29" t="s">
        <v>226</v>
      </c>
    </row>
    <row r="3030" spans="1:6" ht="43.5" x14ac:dyDescent="0.35">
      <c r="A3030" s="26" t="s">
        <v>216</v>
      </c>
      <c r="B3030" s="26" t="s">
        <v>6276</v>
      </c>
      <c r="C3030" s="26" t="s">
        <v>27</v>
      </c>
      <c r="D3030" s="28" t="s">
        <v>6277</v>
      </c>
      <c r="E3030" s="26">
        <v>0</v>
      </c>
      <c r="F3030" s="29" t="s">
        <v>229</v>
      </c>
    </row>
    <row r="3031" spans="1:6" ht="29" x14ac:dyDescent="0.35">
      <c r="A3031" s="26" t="s">
        <v>216</v>
      </c>
      <c r="B3031" s="26" t="s">
        <v>6278</v>
      </c>
      <c r="C3031" s="26" t="s">
        <v>24</v>
      </c>
      <c r="D3031" s="28" t="s">
        <v>6279</v>
      </c>
      <c r="E3031" s="26">
        <v>0</v>
      </c>
      <c r="F3031" s="29" t="s">
        <v>232</v>
      </c>
    </row>
    <row r="3032" spans="1:6" ht="43.5" x14ac:dyDescent="0.35">
      <c r="A3032" s="26" t="s">
        <v>216</v>
      </c>
      <c r="B3032" s="26" t="s">
        <v>6280</v>
      </c>
      <c r="C3032" s="26" t="s">
        <v>15</v>
      </c>
      <c r="D3032" s="28" t="s">
        <v>218</v>
      </c>
      <c r="E3032" s="26" t="s">
        <v>6281</v>
      </c>
      <c r="F3032" s="29" t="s">
        <v>220</v>
      </c>
    </row>
    <row r="3033" spans="1:6" ht="29" x14ac:dyDescent="0.35">
      <c r="A3033" s="26" t="s">
        <v>216</v>
      </c>
      <c r="B3033" s="26" t="s">
        <v>6282</v>
      </c>
      <c r="C3033" s="26" t="s">
        <v>17</v>
      </c>
      <c r="D3033" s="28" t="s">
        <v>6283</v>
      </c>
      <c r="E3033" s="26">
        <v>13436</v>
      </c>
      <c r="F3033" s="29" t="s">
        <v>247</v>
      </c>
    </row>
    <row r="3034" spans="1:6" ht="29" x14ac:dyDescent="0.35">
      <c r="A3034" s="26" t="s">
        <v>216</v>
      </c>
      <c r="B3034" s="26" t="s">
        <v>6284</v>
      </c>
      <c r="C3034" s="26" t="s">
        <v>20</v>
      </c>
      <c r="D3034" s="28" t="s">
        <v>6285</v>
      </c>
      <c r="E3034" s="26">
        <v>13436</v>
      </c>
      <c r="F3034" s="29" t="s">
        <v>223</v>
      </c>
    </row>
    <row r="3035" spans="1:6" ht="58" x14ac:dyDescent="0.35">
      <c r="A3035" s="26" t="s">
        <v>216</v>
      </c>
      <c r="B3035" s="26" t="s">
        <v>6286</v>
      </c>
      <c r="C3035" s="26" t="s">
        <v>25</v>
      </c>
      <c r="D3035" s="28" t="s">
        <v>6287</v>
      </c>
      <c r="E3035" s="26">
        <v>0</v>
      </c>
      <c r="F3035" s="29" t="s">
        <v>226</v>
      </c>
    </row>
    <row r="3036" spans="1:6" ht="43.5" x14ac:dyDescent="0.35">
      <c r="A3036" s="26" t="s">
        <v>216</v>
      </c>
      <c r="B3036" s="26" t="s">
        <v>6288</v>
      </c>
      <c r="C3036" s="26" t="s">
        <v>27</v>
      </c>
      <c r="D3036" s="28" t="s">
        <v>6289</v>
      </c>
      <c r="E3036" s="26">
        <v>0</v>
      </c>
      <c r="F3036" s="29" t="s">
        <v>229</v>
      </c>
    </row>
    <row r="3037" spans="1:6" ht="29" x14ac:dyDescent="0.35">
      <c r="A3037" s="26" t="s">
        <v>216</v>
      </c>
      <c r="B3037" s="26" t="s">
        <v>6290</v>
      </c>
      <c r="C3037" s="26" t="s">
        <v>24</v>
      </c>
      <c r="D3037" s="28" t="s">
        <v>6291</v>
      </c>
      <c r="E3037" s="26">
        <v>0</v>
      </c>
      <c r="F3037" s="29" t="s">
        <v>232</v>
      </c>
    </row>
    <row r="3038" spans="1:6" ht="43.5" x14ac:dyDescent="0.35">
      <c r="A3038" s="26" t="s">
        <v>216</v>
      </c>
      <c r="B3038" s="26" t="s">
        <v>6292</v>
      </c>
      <c r="C3038" s="26" t="s">
        <v>15</v>
      </c>
      <c r="D3038" s="28" t="s">
        <v>218</v>
      </c>
      <c r="E3038" s="26" t="s">
        <v>6293</v>
      </c>
      <c r="F3038" s="29" t="s">
        <v>220</v>
      </c>
    </row>
    <row r="3039" spans="1:6" ht="29" x14ac:dyDescent="0.35">
      <c r="A3039" s="26" t="s">
        <v>216</v>
      </c>
      <c r="B3039" s="26" t="s">
        <v>6294</v>
      </c>
      <c r="C3039" s="26" t="s">
        <v>17</v>
      </c>
      <c r="D3039" s="28" t="s">
        <v>6295</v>
      </c>
      <c r="E3039" s="26">
        <v>13436</v>
      </c>
      <c r="F3039" s="29" t="s">
        <v>247</v>
      </c>
    </row>
    <row r="3040" spans="1:6" ht="29" x14ac:dyDescent="0.35">
      <c r="A3040" s="26" t="s">
        <v>216</v>
      </c>
      <c r="B3040" s="26" t="s">
        <v>6296</v>
      </c>
      <c r="C3040" s="26" t="s">
        <v>20</v>
      </c>
      <c r="D3040" s="28" t="s">
        <v>6297</v>
      </c>
      <c r="E3040" s="26">
        <v>13436</v>
      </c>
      <c r="F3040" s="29" t="s">
        <v>223</v>
      </c>
    </row>
    <row r="3041" spans="1:6" ht="58" x14ac:dyDescent="0.35">
      <c r="A3041" s="26" t="s">
        <v>216</v>
      </c>
      <c r="B3041" s="26" t="s">
        <v>6298</v>
      </c>
      <c r="C3041" s="26" t="s">
        <v>25</v>
      </c>
      <c r="D3041" s="28" t="s">
        <v>6299</v>
      </c>
      <c r="E3041" s="26">
        <v>0</v>
      </c>
      <c r="F3041" s="29" t="s">
        <v>226</v>
      </c>
    </row>
    <row r="3042" spans="1:6" ht="43.5" x14ac:dyDescent="0.35">
      <c r="A3042" s="26" t="s">
        <v>216</v>
      </c>
      <c r="B3042" s="26" t="s">
        <v>6300</v>
      </c>
      <c r="C3042" s="26" t="s">
        <v>27</v>
      </c>
      <c r="D3042" s="28" t="s">
        <v>6301</v>
      </c>
      <c r="E3042" s="26">
        <v>0</v>
      </c>
      <c r="F3042" s="29" t="s">
        <v>229</v>
      </c>
    </row>
    <row r="3043" spans="1:6" ht="29" x14ac:dyDescent="0.35">
      <c r="A3043" s="26" t="s">
        <v>216</v>
      </c>
      <c r="B3043" s="26" t="s">
        <v>6302</v>
      </c>
      <c r="C3043" s="26" t="s">
        <v>24</v>
      </c>
      <c r="D3043" s="28" t="s">
        <v>6303</v>
      </c>
      <c r="E3043" s="26">
        <v>0</v>
      </c>
      <c r="F3043" s="29" t="s">
        <v>232</v>
      </c>
    </row>
    <row r="3044" spans="1:6" ht="43.5" x14ac:dyDescent="0.35">
      <c r="A3044" s="26" t="s">
        <v>216</v>
      </c>
      <c r="B3044" s="26" t="s">
        <v>6304</v>
      </c>
      <c r="C3044" s="26" t="s">
        <v>15</v>
      </c>
      <c r="D3044" s="28" t="s">
        <v>218</v>
      </c>
      <c r="E3044" s="26" t="s">
        <v>6305</v>
      </c>
      <c r="F3044" s="29" t="s">
        <v>220</v>
      </c>
    </row>
    <row r="3045" spans="1:6" ht="29" x14ac:dyDescent="0.35">
      <c r="A3045" s="26" t="s">
        <v>216</v>
      </c>
      <c r="B3045" s="26" t="s">
        <v>6306</v>
      </c>
      <c r="C3045" s="26" t="s">
        <v>17</v>
      </c>
      <c r="D3045" s="28" t="s">
        <v>6307</v>
      </c>
      <c r="E3045" s="26">
        <v>13436</v>
      </c>
      <c r="F3045" s="29" t="s">
        <v>247</v>
      </c>
    </row>
    <row r="3046" spans="1:6" ht="29" x14ac:dyDescent="0.35">
      <c r="A3046" s="26" t="s">
        <v>216</v>
      </c>
      <c r="B3046" s="26" t="s">
        <v>6308</v>
      </c>
      <c r="C3046" s="26" t="s">
        <v>20</v>
      </c>
      <c r="D3046" s="28" t="s">
        <v>6309</v>
      </c>
      <c r="E3046" s="26">
        <v>13436</v>
      </c>
      <c r="F3046" s="29" t="s">
        <v>223</v>
      </c>
    </row>
    <row r="3047" spans="1:6" ht="58" x14ac:dyDescent="0.35">
      <c r="A3047" s="26" t="s">
        <v>216</v>
      </c>
      <c r="B3047" s="26" t="s">
        <v>6310</v>
      </c>
      <c r="C3047" s="26" t="s">
        <v>25</v>
      </c>
      <c r="D3047" s="28" t="s">
        <v>6311</v>
      </c>
      <c r="E3047" s="26">
        <v>0</v>
      </c>
      <c r="F3047" s="29" t="s">
        <v>226</v>
      </c>
    </row>
    <row r="3048" spans="1:6" ht="43.5" x14ac:dyDescent="0.35">
      <c r="A3048" s="26" t="s">
        <v>216</v>
      </c>
      <c r="B3048" s="26" t="s">
        <v>6312</v>
      </c>
      <c r="C3048" s="26" t="s">
        <v>27</v>
      </c>
      <c r="D3048" s="28" t="s">
        <v>6313</v>
      </c>
      <c r="E3048" s="26">
        <v>0</v>
      </c>
      <c r="F3048" s="29" t="s">
        <v>229</v>
      </c>
    </row>
    <row r="3049" spans="1:6" ht="29" x14ac:dyDescent="0.35">
      <c r="A3049" s="26" t="s">
        <v>216</v>
      </c>
      <c r="B3049" s="26" t="s">
        <v>6314</v>
      </c>
      <c r="C3049" s="26" t="s">
        <v>24</v>
      </c>
      <c r="D3049" s="28" t="s">
        <v>6315</v>
      </c>
      <c r="E3049" s="26">
        <v>0</v>
      </c>
      <c r="F3049" s="29" t="s">
        <v>232</v>
      </c>
    </row>
    <row r="3050" spans="1:6" ht="43.5" x14ac:dyDescent="0.35">
      <c r="A3050" s="26" t="s">
        <v>216</v>
      </c>
      <c r="B3050" s="26" t="s">
        <v>6316</v>
      </c>
      <c r="C3050" s="26" t="s">
        <v>15</v>
      </c>
      <c r="D3050" s="28" t="s">
        <v>218</v>
      </c>
      <c r="E3050" s="26" t="s">
        <v>6317</v>
      </c>
      <c r="F3050" s="29" t="s">
        <v>220</v>
      </c>
    </row>
    <row r="3051" spans="1:6" ht="29" x14ac:dyDescent="0.35">
      <c r="A3051" s="26" t="s">
        <v>216</v>
      </c>
      <c r="B3051" s="26" t="s">
        <v>6318</v>
      </c>
      <c r="C3051" s="26" t="s">
        <v>17</v>
      </c>
      <c r="D3051" s="28" t="s">
        <v>6319</v>
      </c>
      <c r="E3051" s="26">
        <v>13436</v>
      </c>
      <c r="F3051" s="29" t="s">
        <v>247</v>
      </c>
    </row>
    <row r="3052" spans="1:6" ht="29" x14ac:dyDescent="0.35">
      <c r="A3052" s="26" t="s">
        <v>216</v>
      </c>
      <c r="B3052" s="26" t="s">
        <v>6320</v>
      </c>
      <c r="C3052" s="26" t="s">
        <v>20</v>
      </c>
      <c r="D3052" s="28" t="s">
        <v>6321</v>
      </c>
      <c r="E3052" s="26">
        <v>13436</v>
      </c>
      <c r="F3052" s="29" t="s">
        <v>223</v>
      </c>
    </row>
    <row r="3053" spans="1:6" ht="58" x14ac:dyDescent="0.35">
      <c r="A3053" s="26" t="s">
        <v>216</v>
      </c>
      <c r="B3053" s="26" t="s">
        <v>6322</v>
      </c>
      <c r="C3053" s="26" t="s">
        <v>25</v>
      </c>
      <c r="D3053" s="28" t="s">
        <v>6323</v>
      </c>
      <c r="E3053" s="26">
        <v>0</v>
      </c>
      <c r="F3053" s="29" t="s">
        <v>226</v>
      </c>
    </row>
    <row r="3054" spans="1:6" ht="43.5" x14ac:dyDescent="0.35">
      <c r="A3054" s="26" t="s">
        <v>216</v>
      </c>
      <c r="B3054" s="26" t="s">
        <v>6324</v>
      </c>
      <c r="C3054" s="26" t="s">
        <v>27</v>
      </c>
      <c r="D3054" s="28" t="s">
        <v>6325</v>
      </c>
      <c r="E3054" s="26">
        <v>0</v>
      </c>
      <c r="F3054" s="29" t="s">
        <v>229</v>
      </c>
    </row>
    <row r="3055" spans="1:6" ht="29" x14ac:dyDescent="0.35">
      <c r="A3055" s="26" t="s">
        <v>216</v>
      </c>
      <c r="B3055" s="26" t="s">
        <v>6326</v>
      </c>
      <c r="C3055" s="26" t="s">
        <v>24</v>
      </c>
      <c r="D3055" s="28" t="s">
        <v>6327</v>
      </c>
      <c r="E3055" s="26">
        <v>0</v>
      </c>
      <c r="F3055" s="29" t="s">
        <v>232</v>
      </c>
    </row>
    <row r="3056" spans="1:6" ht="43.5" x14ac:dyDescent="0.35">
      <c r="A3056" s="26" t="s">
        <v>216</v>
      </c>
      <c r="B3056" s="26" t="s">
        <v>6328</v>
      </c>
      <c r="C3056" s="26" t="s">
        <v>15</v>
      </c>
      <c r="D3056" s="28" t="s">
        <v>218</v>
      </c>
      <c r="E3056" s="26" t="s">
        <v>6329</v>
      </c>
      <c r="F3056" s="29" t="s">
        <v>220</v>
      </c>
    </row>
    <row r="3057" spans="1:6" ht="29" x14ac:dyDescent="0.35">
      <c r="A3057" s="26" t="s">
        <v>216</v>
      </c>
      <c r="B3057" s="26" t="s">
        <v>6330</v>
      </c>
      <c r="C3057" s="26" t="s">
        <v>17</v>
      </c>
      <c r="D3057" s="28" t="s">
        <v>6331</v>
      </c>
      <c r="E3057" s="26">
        <v>13436</v>
      </c>
      <c r="F3057" s="29" t="s">
        <v>247</v>
      </c>
    </row>
    <row r="3058" spans="1:6" ht="29" x14ac:dyDescent="0.35">
      <c r="A3058" s="26" t="s">
        <v>216</v>
      </c>
      <c r="B3058" s="26" t="s">
        <v>6332</v>
      </c>
      <c r="C3058" s="26" t="s">
        <v>20</v>
      </c>
      <c r="D3058" s="28" t="s">
        <v>6333</v>
      </c>
      <c r="E3058" s="26">
        <v>13436</v>
      </c>
      <c r="F3058" s="29" t="s">
        <v>223</v>
      </c>
    </row>
    <row r="3059" spans="1:6" ht="58" x14ac:dyDescent="0.35">
      <c r="A3059" s="26" t="s">
        <v>216</v>
      </c>
      <c r="B3059" s="26" t="s">
        <v>6334</v>
      </c>
      <c r="C3059" s="26" t="s">
        <v>25</v>
      </c>
      <c r="D3059" s="28" t="s">
        <v>6335</v>
      </c>
      <c r="E3059" s="26">
        <v>0</v>
      </c>
      <c r="F3059" s="29" t="s">
        <v>226</v>
      </c>
    </row>
    <row r="3060" spans="1:6" ht="43.5" x14ac:dyDescent="0.35">
      <c r="A3060" s="26" t="s">
        <v>216</v>
      </c>
      <c r="B3060" s="26" t="s">
        <v>6336</v>
      </c>
      <c r="C3060" s="26" t="s">
        <v>27</v>
      </c>
      <c r="D3060" s="28" t="s">
        <v>6337</v>
      </c>
      <c r="E3060" s="26">
        <v>0</v>
      </c>
      <c r="F3060" s="29" t="s">
        <v>229</v>
      </c>
    </row>
    <row r="3061" spans="1:6" ht="29" x14ac:dyDescent="0.35">
      <c r="A3061" s="26" t="s">
        <v>216</v>
      </c>
      <c r="B3061" s="26" t="s">
        <v>6338</v>
      </c>
      <c r="C3061" s="26" t="s">
        <v>24</v>
      </c>
      <c r="D3061" s="28" t="s">
        <v>6339</v>
      </c>
      <c r="E3061" s="26">
        <v>0</v>
      </c>
      <c r="F3061" s="29" t="s">
        <v>232</v>
      </c>
    </row>
    <row r="3062" spans="1:6" ht="43.5" x14ac:dyDescent="0.35">
      <c r="A3062" s="26" t="s">
        <v>216</v>
      </c>
      <c r="B3062" s="26" t="s">
        <v>6340</v>
      </c>
      <c r="C3062" s="26" t="s">
        <v>15</v>
      </c>
      <c r="D3062" s="28" t="s">
        <v>218</v>
      </c>
      <c r="E3062" s="26" t="s">
        <v>6341</v>
      </c>
      <c r="F3062" s="29" t="s">
        <v>220</v>
      </c>
    </row>
    <row r="3063" spans="1:6" ht="29" x14ac:dyDescent="0.35">
      <c r="A3063" s="26" t="s">
        <v>216</v>
      </c>
      <c r="B3063" s="26" t="s">
        <v>6342</v>
      </c>
      <c r="C3063" s="26" t="s">
        <v>17</v>
      </c>
      <c r="D3063" s="28" t="s">
        <v>6343</v>
      </c>
      <c r="E3063" s="26">
        <v>13436</v>
      </c>
      <c r="F3063" s="29" t="s">
        <v>247</v>
      </c>
    </row>
    <row r="3064" spans="1:6" ht="29" x14ac:dyDescent="0.35">
      <c r="A3064" s="26" t="s">
        <v>216</v>
      </c>
      <c r="B3064" s="26" t="s">
        <v>6344</v>
      </c>
      <c r="C3064" s="26" t="s">
        <v>20</v>
      </c>
      <c r="D3064" s="28" t="s">
        <v>6345</v>
      </c>
      <c r="E3064" s="26">
        <v>13436</v>
      </c>
      <c r="F3064" s="29" t="s">
        <v>223</v>
      </c>
    </row>
    <row r="3065" spans="1:6" ht="58" x14ac:dyDescent="0.35">
      <c r="A3065" s="26" t="s">
        <v>216</v>
      </c>
      <c r="B3065" s="26" t="s">
        <v>6346</v>
      </c>
      <c r="C3065" s="26" t="s">
        <v>25</v>
      </c>
      <c r="D3065" s="28" t="s">
        <v>6347</v>
      </c>
      <c r="E3065" s="26">
        <v>0</v>
      </c>
      <c r="F3065" s="29" t="s">
        <v>226</v>
      </c>
    </row>
    <row r="3066" spans="1:6" ht="43.5" x14ac:dyDescent="0.35">
      <c r="A3066" s="26" t="s">
        <v>216</v>
      </c>
      <c r="B3066" s="26" t="s">
        <v>6348</v>
      </c>
      <c r="C3066" s="26" t="s">
        <v>27</v>
      </c>
      <c r="D3066" s="28" t="s">
        <v>6349</v>
      </c>
      <c r="E3066" s="26">
        <v>0</v>
      </c>
      <c r="F3066" s="29" t="s">
        <v>229</v>
      </c>
    </row>
    <row r="3067" spans="1:6" ht="29" x14ac:dyDescent="0.35">
      <c r="A3067" s="26" t="s">
        <v>216</v>
      </c>
      <c r="B3067" s="26" t="s">
        <v>6350</v>
      </c>
      <c r="C3067" s="26" t="s">
        <v>24</v>
      </c>
      <c r="D3067" s="28" t="s">
        <v>6351</v>
      </c>
      <c r="E3067" s="26">
        <v>0</v>
      </c>
      <c r="F3067" s="29" t="s">
        <v>232</v>
      </c>
    </row>
    <row r="3068" spans="1:6" ht="43.5" x14ac:dyDescent="0.35">
      <c r="A3068" s="26" t="s">
        <v>216</v>
      </c>
      <c r="B3068" s="26" t="s">
        <v>6352</v>
      </c>
      <c r="C3068" s="26" t="s">
        <v>15</v>
      </c>
      <c r="D3068" s="28" t="s">
        <v>218</v>
      </c>
      <c r="E3068" s="26" t="s">
        <v>6353</v>
      </c>
      <c r="F3068" s="29" t="s">
        <v>220</v>
      </c>
    </row>
    <row r="3069" spans="1:6" ht="29" x14ac:dyDescent="0.35">
      <c r="A3069" s="26" t="s">
        <v>216</v>
      </c>
      <c r="B3069" s="26" t="s">
        <v>6354</v>
      </c>
      <c r="C3069" s="26" t="s">
        <v>17</v>
      </c>
      <c r="D3069" s="28" t="s">
        <v>6355</v>
      </c>
      <c r="E3069" s="26">
        <v>13436</v>
      </c>
      <c r="F3069" s="29" t="s">
        <v>247</v>
      </c>
    </row>
    <row r="3070" spans="1:6" ht="29" x14ac:dyDescent="0.35">
      <c r="A3070" s="26" t="s">
        <v>216</v>
      </c>
      <c r="B3070" s="26" t="s">
        <v>6356</v>
      </c>
      <c r="C3070" s="26" t="s">
        <v>20</v>
      </c>
      <c r="D3070" s="28" t="s">
        <v>6357</v>
      </c>
      <c r="E3070" s="26">
        <v>13436</v>
      </c>
      <c r="F3070" s="29" t="s">
        <v>223</v>
      </c>
    </row>
    <row r="3071" spans="1:6" ht="58" x14ac:dyDescent="0.35">
      <c r="A3071" s="26" t="s">
        <v>216</v>
      </c>
      <c r="B3071" s="26" t="s">
        <v>6358</v>
      </c>
      <c r="C3071" s="26" t="s">
        <v>25</v>
      </c>
      <c r="D3071" s="28" t="s">
        <v>6359</v>
      </c>
      <c r="E3071" s="26">
        <v>0</v>
      </c>
      <c r="F3071" s="29" t="s">
        <v>226</v>
      </c>
    </row>
    <row r="3072" spans="1:6" ht="43.5" x14ac:dyDescent="0.35">
      <c r="A3072" s="26" t="s">
        <v>216</v>
      </c>
      <c r="B3072" s="26" t="s">
        <v>6360</v>
      </c>
      <c r="C3072" s="26" t="s">
        <v>27</v>
      </c>
      <c r="D3072" s="28" t="s">
        <v>6361</v>
      </c>
      <c r="E3072" s="26">
        <v>0</v>
      </c>
      <c r="F3072" s="29" t="s">
        <v>229</v>
      </c>
    </row>
    <row r="3073" spans="1:6" ht="29" x14ac:dyDescent="0.35">
      <c r="A3073" s="26" t="s">
        <v>216</v>
      </c>
      <c r="B3073" s="26" t="s">
        <v>6362</v>
      </c>
      <c r="C3073" s="26" t="s">
        <v>24</v>
      </c>
      <c r="D3073" s="28" t="s">
        <v>6363</v>
      </c>
      <c r="E3073" s="26">
        <v>0</v>
      </c>
      <c r="F3073" s="29" t="s">
        <v>232</v>
      </c>
    </row>
    <row r="3074" spans="1:6" ht="43.5" x14ac:dyDescent="0.35">
      <c r="A3074" s="26" t="s">
        <v>216</v>
      </c>
      <c r="B3074" s="26" t="s">
        <v>6364</v>
      </c>
      <c r="C3074" s="26" t="s">
        <v>15</v>
      </c>
      <c r="D3074" s="28" t="s">
        <v>218</v>
      </c>
      <c r="E3074" s="26" t="s">
        <v>6365</v>
      </c>
      <c r="F3074" s="29" t="s">
        <v>220</v>
      </c>
    </row>
    <row r="3075" spans="1:6" ht="29" x14ac:dyDescent="0.35">
      <c r="A3075" s="26" t="s">
        <v>216</v>
      </c>
      <c r="B3075" s="26" t="s">
        <v>6366</v>
      </c>
      <c r="C3075" s="26" t="s">
        <v>17</v>
      </c>
      <c r="D3075" s="28" t="s">
        <v>6367</v>
      </c>
      <c r="E3075" s="26">
        <v>13436</v>
      </c>
      <c r="F3075" s="29" t="s">
        <v>247</v>
      </c>
    </row>
    <row r="3076" spans="1:6" ht="29" x14ac:dyDescent="0.35">
      <c r="A3076" s="26" t="s">
        <v>216</v>
      </c>
      <c r="B3076" s="26" t="s">
        <v>6368</v>
      </c>
      <c r="C3076" s="26" t="s">
        <v>20</v>
      </c>
      <c r="D3076" s="28" t="s">
        <v>6369</v>
      </c>
      <c r="E3076" s="26">
        <v>13436</v>
      </c>
      <c r="F3076" s="29" t="s">
        <v>223</v>
      </c>
    </row>
    <row r="3077" spans="1:6" ht="58" x14ac:dyDescent="0.35">
      <c r="A3077" s="26" t="s">
        <v>216</v>
      </c>
      <c r="B3077" s="26" t="s">
        <v>6370</v>
      </c>
      <c r="C3077" s="26" t="s">
        <v>25</v>
      </c>
      <c r="D3077" s="28" t="s">
        <v>6371</v>
      </c>
      <c r="E3077" s="26">
        <v>0</v>
      </c>
      <c r="F3077" s="29" t="s">
        <v>226</v>
      </c>
    </row>
    <row r="3078" spans="1:6" ht="43.5" x14ac:dyDescent="0.35">
      <c r="A3078" s="26" t="s">
        <v>216</v>
      </c>
      <c r="B3078" s="26" t="s">
        <v>6372</v>
      </c>
      <c r="C3078" s="26" t="s">
        <v>27</v>
      </c>
      <c r="D3078" s="28" t="s">
        <v>6373</v>
      </c>
      <c r="E3078" s="26">
        <v>0</v>
      </c>
      <c r="F3078" s="29" t="s">
        <v>229</v>
      </c>
    </row>
    <row r="3079" spans="1:6" ht="29" x14ac:dyDescent="0.35">
      <c r="A3079" s="26" t="s">
        <v>216</v>
      </c>
      <c r="B3079" s="26" t="s">
        <v>6374</v>
      </c>
      <c r="C3079" s="26" t="s">
        <v>24</v>
      </c>
      <c r="D3079" s="28" t="s">
        <v>6375</v>
      </c>
      <c r="E3079" s="26">
        <v>0</v>
      </c>
      <c r="F3079" s="29" t="s">
        <v>232</v>
      </c>
    </row>
    <row r="3080" spans="1:6" ht="43.5" x14ac:dyDescent="0.35">
      <c r="A3080" s="26" t="s">
        <v>216</v>
      </c>
      <c r="B3080" s="26" t="s">
        <v>6376</v>
      </c>
      <c r="C3080" s="26" t="s">
        <v>15</v>
      </c>
      <c r="D3080" s="28" t="s">
        <v>218</v>
      </c>
      <c r="E3080" s="26" t="s">
        <v>6377</v>
      </c>
      <c r="F3080" s="29" t="s">
        <v>220</v>
      </c>
    </row>
    <row r="3081" spans="1:6" ht="29" x14ac:dyDescent="0.35">
      <c r="A3081" s="26" t="s">
        <v>216</v>
      </c>
      <c r="B3081" s="26" t="s">
        <v>6378</v>
      </c>
      <c r="C3081" s="26" t="s">
        <v>17</v>
      </c>
      <c r="D3081" s="28" t="s">
        <v>6379</v>
      </c>
      <c r="E3081" s="26">
        <v>13436</v>
      </c>
      <c r="F3081" s="29" t="s">
        <v>247</v>
      </c>
    </row>
    <row r="3082" spans="1:6" ht="29" x14ac:dyDescent="0.35">
      <c r="A3082" s="26" t="s">
        <v>216</v>
      </c>
      <c r="B3082" s="26" t="s">
        <v>6380</v>
      </c>
      <c r="C3082" s="26" t="s">
        <v>20</v>
      </c>
      <c r="D3082" s="28" t="s">
        <v>6381</v>
      </c>
      <c r="E3082" s="26">
        <v>13436</v>
      </c>
      <c r="F3082" s="29" t="s">
        <v>223</v>
      </c>
    </row>
    <row r="3083" spans="1:6" ht="58" x14ac:dyDescent="0.35">
      <c r="A3083" s="26" t="s">
        <v>216</v>
      </c>
      <c r="B3083" s="26" t="s">
        <v>6382</v>
      </c>
      <c r="C3083" s="26" t="s">
        <v>25</v>
      </c>
      <c r="D3083" s="28" t="s">
        <v>6383</v>
      </c>
      <c r="E3083" s="26">
        <v>0</v>
      </c>
      <c r="F3083" s="29" t="s">
        <v>226</v>
      </c>
    </row>
    <row r="3084" spans="1:6" ht="43.5" x14ac:dyDescent="0.35">
      <c r="A3084" s="26" t="s">
        <v>216</v>
      </c>
      <c r="B3084" s="26" t="s">
        <v>6384</v>
      </c>
      <c r="C3084" s="26" t="s">
        <v>27</v>
      </c>
      <c r="D3084" s="28" t="s">
        <v>6385</v>
      </c>
      <c r="E3084" s="26">
        <v>0</v>
      </c>
      <c r="F3084" s="29" t="s">
        <v>229</v>
      </c>
    </row>
    <row r="3085" spans="1:6" ht="29" x14ac:dyDescent="0.35">
      <c r="A3085" s="26" t="s">
        <v>216</v>
      </c>
      <c r="B3085" s="26" t="s">
        <v>6386</v>
      </c>
      <c r="C3085" s="26" t="s">
        <v>24</v>
      </c>
      <c r="D3085" s="28" t="s">
        <v>6387</v>
      </c>
      <c r="E3085" s="26">
        <v>0</v>
      </c>
      <c r="F3085" s="29" t="s">
        <v>232</v>
      </c>
    </row>
    <row r="3086" spans="1:6" ht="43.5" x14ac:dyDescent="0.35">
      <c r="A3086" s="26" t="s">
        <v>216</v>
      </c>
      <c r="B3086" s="26" t="s">
        <v>6388</v>
      </c>
      <c r="C3086" s="26" t="s">
        <v>15</v>
      </c>
      <c r="D3086" s="28" t="s">
        <v>218</v>
      </c>
      <c r="E3086" s="26" t="s">
        <v>6389</v>
      </c>
      <c r="F3086" s="29" t="s">
        <v>220</v>
      </c>
    </row>
    <row r="3087" spans="1:6" ht="29" x14ac:dyDescent="0.35">
      <c r="A3087" s="26" t="s">
        <v>216</v>
      </c>
      <c r="B3087" s="26" t="s">
        <v>6390</v>
      </c>
      <c r="C3087" s="26" t="s">
        <v>17</v>
      </c>
      <c r="D3087" s="28" t="s">
        <v>6391</v>
      </c>
      <c r="E3087" s="26">
        <v>13436</v>
      </c>
      <c r="F3087" s="29" t="s">
        <v>247</v>
      </c>
    </row>
    <row r="3088" spans="1:6" ht="29" x14ac:dyDescent="0.35">
      <c r="A3088" s="26" t="s">
        <v>216</v>
      </c>
      <c r="B3088" s="26" t="s">
        <v>6392</v>
      </c>
      <c r="C3088" s="26" t="s">
        <v>20</v>
      </c>
      <c r="D3088" s="28" t="s">
        <v>6393</v>
      </c>
      <c r="E3088" s="26">
        <v>13436</v>
      </c>
      <c r="F3088" s="29" t="s">
        <v>223</v>
      </c>
    </row>
    <row r="3089" spans="1:6" ht="58" x14ac:dyDescent="0.35">
      <c r="A3089" s="26" t="s">
        <v>216</v>
      </c>
      <c r="B3089" s="26" t="s">
        <v>6394</v>
      </c>
      <c r="C3089" s="26" t="s">
        <v>25</v>
      </c>
      <c r="D3089" s="28" t="s">
        <v>6395</v>
      </c>
      <c r="E3089" s="26">
        <v>0</v>
      </c>
      <c r="F3089" s="29" t="s">
        <v>226</v>
      </c>
    </row>
    <row r="3090" spans="1:6" ht="43.5" x14ac:dyDescent="0.35">
      <c r="A3090" s="26" t="s">
        <v>216</v>
      </c>
      <c r="B3090" s="26" t="s">
        <v>6396</v>
      </c>
      <c r="C3090" s="26" t="s">
        <v>27</v>
      </c>
      <c r="D3090" s="28" t="s">
        <v>6397</v>
      </c>
      <c r="E3090" s="26">
        <v>0</v>
      </c>
      <c r="F3090" s="29" t="s">
        <v>229</v>
      </c>
    </row>
    <row r="3091" spans="1:6" ht="29" x14ac:dyDescent="0.35">
      <c r="A3091" s="26" t="s">
        <v>216</v>
      </c>
      <c r="B3091" s="26" t="s">
        <v>6398</v>
      </c>
      <c r="C3091" s="26" t="s">
        <v>24</v>
      </c>
      <c r="D3091" s="28" t="s">
        <v>6399</v>
      </c>
      <c r="E3091" s="26">
        <v>0</v>
      </c>
      <c r="F3091" s="29" t="s">
        <v>232</v>
      </c>
    </row>
    <row r="3092" spans="1:6" ht="43.5" x14ac:dyDescent="0.35">
      <c r="A3092" s="26" t="s">
        <v>216</v>
      </c>
      <c r="B3092" s="26" t="s">
        <v>6400</v>
      </c>
      <c r="C3092" s="26" t="s">
        <v>15</v>
      </c>
      <c r="D3092" s="28" t="s">
        <v>218</v>
      </c>
      <c r="E3092" s="26" t="s">
        <v>6401</v>
      </c>
      <c r="F3092" s="29" t="s">
        <v>220</v>
      </c>
    </row>
    <row r="3093" spans="1:6" ht="29" x14ac:dyDescent="0.35">
      <c r="A3093" s="26" t="s">
        <v>216</v>
      </c>
      <c r="B3093" s="26" t="s">
        <v>6402</v>
      </c>
      <c r="C3093" s="26" t="s">
        <v>17</v>
      </c>
      <c r="D3093" s="28" t="s">
        <v>6403</v>
      </c>
      <c r="E3093" s="26">
        <v>13436</v>
      </c>
      <c r="F3093" s="29" t="s">
        <v>247</v>
      </c>
    </row>
    <row r="3094" spans="1:6" ht="29" x14ac:dyDescent="0.35">
      <c r="A3094" s="26" t="s">
        <v>216</v>
      </c>
      <c r="B3094" s="26" t="s">
        <v>6404</v>
      </c>
      <c r="C3094" s="26" t="s">
        <v>20</v>
      </c>
      <c r="D3094" s="28" t="s">
        <v>6405</v>
      </c>
      <c r="E3094" s="26">
        <v>13436</v>
      </c>
      <c r="F3094" s="29" t="s">
        <v>223</v>
      </c>
    </row>
    <row r="3095" spans="1:6" ht="58" x14ac:dyDescent="0.35">
      <c r="A3095" s="26" t="s">
        <v>216</v>
      </c>
      <c r="B3095" s="26" t="s">
        <v>6406</v>
      </c>
      <c r="C3095" s="26" t="s">
        <v>25</v>
      </c>
      <c r="D3095" s="28" t="s">
        <v>6407</v>
      </c>
      <c r="E3095" s="26">
        <v>0</v>
      </c>
      <c r="F3095" s="29" t="s">
        <v>226</v>
      </c>
    </row>
    <row r="3096" spans="1:6" ht="43.5" x14ac:dyDescent="0.35">
      <c r="A3096" s="26" t="s">
        <v>216</v>
      </c>
      <c r="B3096" s="26" t="s">
        <v>6408</v>
      </c>
      <c r="C3096" s="26" t="s">
        <v>27</v>
      </c>
      <c r="D3096" s="28" t="s">
        <v>6409</v>
      </c>
      <c r="E3096" s="26">
        <v>0</v>
      </c>
      <c r="F3096" s="29" t="s">
        <v>229</v>
      </c>
    </row>
    <row r="3097" spans="1:6" ht="29" x14ac:dyDescent="0.35">
      <c r="A3097" s="26" t="s">
        <v>216</v>
      </c>
      <c r="B3097" s="26" t="s">
        <v>6410</v>
      </c>
      <c r="C3097" s="26" t="s">
        <v>24</v>
      </c>
      <c r="D3097" s="28" t="s">
        <v>6411</v>
      </c>
      <c r="E3097" s="26">
        <v>0</v>
      </c>
      <c r="F3097" s="29" t="s">
        <v>232</v>
      </c>
    </row>
    <row r="3098" spans="1:6" ht="43.5" x14ac:dyDescent="0.35">
      <c r="A3098" s="26" t="s">
        <v>216</v>
      </c>
      <c r="B3098" s="26" t="s">
        <v>6412</v>
      </c>
      <c r="C3098" s="26" t="s">
        <v>15</v>
      </c>
      <c r="D3098" s="28" t="s">
        <v>218</v>
      </c>
      <c r="E3098" s="26" t="s">
        <v>6413</v>
      </c>
      <c r="F3098" s="29" t="s">
        <v>220</v>
      </c>
    </row>
    <row r="3099" spans="1:6" ht="29" x14ac:dyDescent="0.35">
      <c r="A3099" s="26" t="s">
        <v>216</v>
      </c>
      <c r="B3099" s="26" t="s">
        <v>6414</v>
      </c>
      <c r="C3099" s="26" t="s">
        <v>17</v>
      </c>
      <c r="D3099" s="28" t="s">
        <v>6415</v>
      </c>
      <c r="E3099" s="26">
        <v>13436</v>
      </c>
      <c r="F3099" s="29" t="s">
        <v>247</v>
      </c>
    </row>
    <row r="3100" spans="1:6" ht="29" x14ac:dyDescent="0.35">
      <c r="A3100" s="26" t="s">
        <v>216</v>
      </c>
      <c r="B3100" s="26" t="s">
        <v>6416</v>
      </c>
      <c r="C3100" s="26" t="s">
        <v>20</v>
      </c>
      <c r="D3100" s="28" t="s">
        <v>6417</v>
      </c>
      <c r="E3100" s="26">
        <v>13436</v>
      </c>
      <c r="F3100" s="29" t="s">
        <v>223</v>
      </c>
    </row>
    <row r="3101" spans="1:6" ht="58" x14ac:dyDescent="0.35">
      <c r="A3101" s="26" t="s">
        <v>216</v>
      </c>
      <c r="B3101" s="26" t="s">
        <v>6418</v>
      </c>
      <c r="C3101" s="26" t="s">
        <v>25</v>
      </c>
      <c r="D3101" s="28" t="s">
        <v>6419</v>
      </c>
      <c r="E3101" s="26">
        <v>0</v>
      </c>
      <c r="F3101" s="29" t="s">
        <v>226</v>
      </c>
    </row>
    <row r="3102" spans="1:6" ht="43.5" x14ac:dyDescent="0.35">
      <c r="A3102" s="26" t="s">
        <v>216</v>
      </c>
      <c r="B3102" s="26" t="s">
        <v>6420</v>
      </c>
      <c r="C3102" s="26" t="s">
        <v>27</v>
      </c>
      <c r="D3102" s="28" t="s">
        <v>6421</v>
      </c>
      <c r="E3102" s="26">
        <v>0</v>
      </c>
      <c r="F3102" s="29" t="s">
        <v>229</v>
      </c>
    </row>
    <row r="3103" spans="1:6" ht="29" x14ac:dyDescent="0.35">
      <c r="A3103" s="26" t="s">
        <v>216</v>
      </c>
      <c r="B3103" s="26" t="s">
        <v>6422</v>
      </c>
      <c r="C3103" s="26" t="s">
        <v>24</v>
      </c>
      <c r="D3103" s="28" t="s">
        <v>6423</v>
      </c>
      <c r="E3103" s="26">
        <v>0</v>
      </c>
      <c r="F3103" s="29" t="s">
        <v>232</v>
      </c>
    </row>
    <row r="3104" spans="1:6" ht="43.5" x14ac:dyDescent="0.35">
      <c r="A3104" s="26" t="s">
        <v>216</v>
      </c>
      <c r="B3104" s="26" t="s">
        <v>6424</v>
      </c>
      <c r="C3104" s="26" t="s">
        <v>15</v>
      </c>
      <c r="D3104" s="28" t="s">
        <v>218</v>
      </c>
      <c r="E3104" s="26" t="s">
        <v>6425</v>
      </c>
      <c r="F3104" s="29" t="s">
        <v>220</v>
      </c>
    </row>
    <row r="3105" spans="1:6" ht="29" x14ac:dyDescent="0.35">
      <c r="A3105" s="26" t="s">
        <v>216</v>
      </c>
      <c r="B3105" s="26" t="s">
        <v>6426</v>
      </c>
      <c r="C3105" s="26" t="s">
        <v>17</v>
      </c>
      <c r="D3105" s="28" t="s">
        <v>6427</v>
      </c>
      <c r="E3105" s="26">
        <v>13436</v>
      </c>
      <c r="F3105" s="29" t="s">
        <v>247</v>
      </c>
    </row>
    <row r="3106" spans="1:6" ht="29" x14ac:dyDescent="0.35">
      <c r="A3106" s="26" t="s">
        <v>216</v>
      </c>
      <c r="B3106" s="26" t="s">
        <v>6428</v>
      </c>
      <c r="C3106" s="26" t="s">
        <v>20</v>
      </c>
      <c r="D3106" s="28" t="s">
        <v>6429</v>
      </c>
      <c r="E3106" s="26">
        <v>13436</v>
      </c>
      <c r="F3106" s="29" t="s">
        <v>223</v>
      </c>
    </row>
    <row r="3107" spans="1:6" ht="58" x14ac:dyDescent="0.35">
      <c r="A3107" s="26" t="s">
        <v>216</v>
      </c>
      <c r="B3107" s="26" t="s">
        <v>6430</v>
      </c>
      <c r="C3107" s="26" t="s">
        <v>25</v>
      </c>
      <c r="D3107" s="28" t="s">
        <v>6431</v>
      </c>
      <c r="E3107" s="26">
        <v>0</v>
      </c>
      <c r="F3107" s="29" t="s">
        <v>226</v>
      </c>
    </row>
    <row r="3108" spans="1:6" ht="43.5" x14ac:dyDescent="0.35">
      <c r="A3108" s="26" t="s">
        <v>216</v>
      </c>
      <c r="B3108" s="26" t="s">
        <v>6432</v>
      </c>
      <c r="C3108" s="26" t="s">
        <v>27</v>
      </c>
      <c r="D3108" s="28" t="s">
        <v>6433</v>
      </c>
      <c r="E3108" s="26">
        <v>0</v>
      </c>
      <c r="F3108" s="29" t="s">
        <v>229</v>
      </c>
    </row>
    <row r="3109" spans="1:6" ht="29" x14ac:dyDescent="0.35">
      <c r="A3109" s="26" t="s">
        <v>216</v>
      </c>
      <c r="B3109" s="26" t="s">
        <v>6434</v>
      </c>
      <c r="C3109" s="26" t="s">
        <v>24</v>
      </c>
      <c r="D3109" s="28" t="s">
        <v>6435</v>
      </c>
      <c r="E3109" s="26">
        <v>0</v>
      </c>
      <c r="F3109" s="29" t="s">
        <v>232</v>
      </c>
    </row>
    <row r="3110" spans="1:6" ht="43.5" x14ac:dyDescent="0.35">
      <c r="A3110" s="26" t="s">
        <v>216</v>
      </c>
      <c r="B3110" s="26" t="s">
        <v>6436</v>
      </c>
      <c r="C3110" s="26" t="s">
        <v>15</v>
      </c>
      <c r="D3110" s="28" t="s">
        <v>218</v>
      </c>
      <c r="E3110" s="26" t="s">
        <v>6437</v>
      </c>
      <c r="F3110" s="29" t="s">
        <v>220</v>
      </c>
    </row>
    <row r="3111" spans="1:6" ht="29" x14ac:dyDescent="0.35">
      <c r="A3111" s="26" t="s">
        <v>216</v>
      </c>
      <c r="B3111" s="26" t="s">
        <v>6438</v>
      </c>
      <c r="C3111" s="26" t="s">
        <v>17</v>
      </c>
      <c r="D3111" s="28" t="s">
        <v>6439</v>
      </c>
      <c r="E3111" s="26">
        <v>13436</v>
      </c>
      <c r="F3111" s="29" t="s">
        <v>247</v>
      </c>
    </row>
    <row r="3112" spans="1:6" ht="29" x14ac:dyDescent="0.35">
      <c r="A3112" s="26" t="s">
        <v>216</v>
      </c>
      <c r="B3112" s="26" t="s">
        <v>6440</v>
      </c>
      <c r="C3112" s="26" t="s">
        <v>20</v>
      </c>
      <c r="D3112" s="28" t="s">
        <v>6441</v>
      </c>
      <c r="E3112" s="26">
        <v>13436</v>
      </c>
      <c r="F3112" s="29" t="s">
        <v>223</v>
      </c>
    </row>
    <row r="3113" spans="1:6" ht="58" x14ac:dyDescent="0.35">
      <c r="A3113" s="26" t="s">
        <v>216</v>
      </c>
      <c r="B3113" s="26" t="s">
        <v>6442</v>
      </c>
      <c r="C3113" s="26" t="s">
        <v>25</v>
      </c>
      <c r="D3113" s="28" t="s">
        <v>6443</v>
      </c>
      <c r="E3113" s="26">
        <v>0</v>
      </c>
      <c r="F3113" s="29" t="s">
        <v>226</v>
      </c>
    </row>
    <row r="3114" spans="1:6" ht="43.5" x14ac:dyDescent="0.35">
      <c r="A3114" s="26" t="s">
        <v>216</v>
      </c>
      <c r="B3114" s="26" t="s">
        <v>6444</v>
      </c>
      <c r="C3114" s="26" t="s">
        <v>27</v>
      </c>
      <c r="D3114" s="28" t="s">
        <v>6445</v>
      </c>
      <c r="E3114" s="26">
        <v>0</v>
      </c>
      <c r="F3114" s="29" t="s">
        <v>229</v>
      </c>
    </row>
    <row r="3115" spans="1:6" ht="29" x14ac:dyDescent="0.35">
      <c r="A3115" s="26" t="s">
        <v>216</v>
      </c>
      <c r="B3115" s="26" t="s">
        <v>6446</v>
      </c>
      <c r="C3115" s="26" t="s">
        <v>24</v>
      </c>
      <c r="D3115" s="28" t="s">
        <v>6447</v>
      </c>
      <c r="E3115" s="26">
        <v>0</v>
      </c>
      <c r="F3115" s="29" t="s">
        <v>232</v>
      </c>
    </row>
    <row r="3116" spans="1:6" ht="43.5" x14ac:dyDescent="0.35">
      <c r="A3116" s="26" t="s">
        <v>216</v>
      </c>
      <c r="B3116" s="26" t="s">
        <v>6448</v>
      </c>
      <c r="C3116" s="26" t="s">
        <v>15</v>
      </c>
      <c r="D3116" s="28" t="s">
        <v>218</v>
      </c>
      <c r="E3116" s="26" t="s">
        <v>6449</v>
      </c>
      <c r="F3116" s="29" t="s">
        <v>220</v>
      </c>
    </row>
    <row r="3117" spans="1:6" ht="29" x14ac:dyDescent="0.35">
      <c r="A3117" s="26" t="s">
        <v>216</v>
      </c>
      <c r="B3117" s="26" t="s">
        <v>6450</v>
      </c>
      <c r="C3117" s="26" t="s">
        <v>17</v>
      </c>
      <c r="D3117" s="28" t="s">
        <v>6451</v>
      </c>
      <c r="E3117" s="26">
        <v>13436</v>
      </c>
      <c r="F3117" s="29" t="s">
        <v>247</v>
      </c>
    </row>
    <row r="3118" spans="1:6" ht="29" x14ac:dyDescent="0.35">
      <c r="A3118" s="26" t="s">
        <v>216</v>
      </c>
      <c r="B3118" s="26" t="s">
        <v>6452</v>
      </c>
      <c r="C3118" s="26" t="s">
        <v>20</v>
      </c>
      <c r="D3118" s="28" t="s">
        <v>6453</v>
      </c>
      <c r="E3118" s="26">
        <v>13436</v>
      </c>
      <c r="F3118" s="29" t="s">
        <v>223</v>
      </c>
    </row>
    <row r="3119" spans="1:6" ht="58" x14ac:dyDescent="0.35">
      <c r="A3119" s="26" t="s">
        <v>216</v>
      </c>
      <c r="B3119" s="26" t="s">
        <v>6454</v>
      </c>
      <c r="C3119" s="26" t="s">
        <v>25</v>
      </c>
      <c r="D3119" s="28" t="s">
        <v>6455</v>
      </c>
      <c r="E3119" s="26">
        <v>0</v>
      </c>
      <c r="F3119" s="29" t="s">
        <v>226</v>
      </c>
    </row>
    <row r="3120" spans="1:6" ht="43.5" x14ac:dyDescent="0.35">
      <c r="A3120" s="26" t="s">
        <v>216</v>
      </c>
      <c r="B3120" s="26" t="s">
        <v>6456</v>
      </c>
      <c r="C3120" s="26" t="s">
        <v>27</v>
      </c>
      <c r="D3120" s="28" t="s">
        <v>6457</v>
      </c>
      <c r="E3120" s="26">
        <v>0</v>
      </c>
      <c r="F3120" s="29" t="s">
        <v>229</v>
      </c>
    </row>
    <row r="3121" spans="1:6" ht="29" x14ac:dyDescent="0.35">
      <c r="A3121" s="26" t="s">
        <v>216</v>
      </c>
      <c r="B3121" s="26" t="s">
        <v>6458</v>
      </c>
      <c r="C3121" s="26" t="s">
        <v>24</v>
      </c>
      <c r="D3121" s="28" t="s">
        <v>6459</v>
      </c>
      <c r="E3121" s="26">
        <v>0</v>
      </c>
      <c r="F3121" s="29" t="s">
        <v>232</v>
      </c>
    </row>
    <row r="3122" spans="1:6" ht="43.5" x14ac:dyDescent="0.35">
      <c r="A3122" s="26" t="s">
        <v>216</v>
      </c>
      <c r="B3122" s="26" t="s">
        <v>6460</v>
      </c>
      <c r="C3122" s="26" t="s">
        <v>15</v>
      </c>
      <c r="D3122" s="28" t="s">
        <v>218</v>
      </c>
      <c r="E3122" s="26" t="s">
        <v>6461</v>
      </c>
      <c r="F3122" s="29" t="s">
        <v>220</v>
      </c>
    </row>
    <row r="3123" spans="1:6" ht="29" x14ac:dyDescent="0.35">
      <c r="A3123" s="26" t="s">
        <v>216</v>
      </c>
      <c r="B3123" s="26" t="s">
        <v>6462</v>
      </c>
      <c r="C3123" s="26" t="s">
        <v>17</v>
      </c>
      <c r="D3123" s="28" t="s">
        <v>6463</v>
      </c>
      <c r="E3123" s="26">
        <v>13436</v>
      </c>
      <c r="F3123" s="29" t="s">
        <v>247</v>
      </c>
    </row>
    <row r="3124" spans="1:6" ht="29" x14ac:dyDescent="0.35">
      <c r="A3124" s="26" t="s">
        <v>216</v>
      </c>
      <c r="B3124" s="26" t="s">
        <v>6464</v>
      </c>
      <c r="C3124" s="26" t="s">
        <v>20</v>
      </c>
      <c r="D3124" s="28" t="s">
        <v>6465</v>
      </c>
      <c r="E3124" s="26">
        <v>13436</v>
      </c>
      <c r="F3124" s="29" t="s">
        <v>223</v>
      </c>
    </row>
    <row r="3125" spans="1:6" ht="58" x14ac:dyDescent="0.35">
      <c r="A3125" s="26" t="s">
        <v>216</v>
      </c>
      <c r="B3125" s="26" t="s">
        <v>6466</v>
      </c>
      <c r="C3125" s="26" t="s">
        <v>25</v>
      </c>
      <c r="D3125" s="28" t="s">
        <v>6467</v>
      </c>
      <c r="E3125" s="26">
        <v>0</v>
      </c>
      <c r="F3125" s="29" t="s">
        <v>226</v>
      </c>
    </row>
    <row r="3126" spans="1:6" ht="43.5" x14ac:dyDescent="0.35">
      <c r="A3126" s="26" t="s">
        <v>216</v>
      </c>
      <c r="B3126" s="26" t="s">
        <v>6468</v>
      </c>
      <c r="C3126" s="26" t="s">
        <v>27</v>
      </c>
      <c r="D3126" s="28" t="s">
        <v>6469</v>
      </c>
      <c r="E3126" s="26">
        <v>0</v>
      </c>
      <c r="F3126" s="29" t="s">
        <v>229</v>
      </c>
    </row>
    <row r="3127" spans="1:6" ht="29" x14ac:dyDescent="0.35">
      <c r="A3127" s="26" t="s">
        <v>216</v>
      </c>
      <c r="B3127" s="26" t="s">
        <v>6470</v>
      </c>
      <c r="C3127" s="26" t="s">
        <v>24</v>
      </c>
      <c r="D3127" s="28" t="s">
        <v>6471</v>
      </c>
      <c r="E3127" s="26">
        <v>0</v>
      </c>
      <c r="F3127" s="29" t="s">
        <v>232</v>
      </c>
    </row>
    <row r="3128" spans="1:6" ht="43.5" x14ac:dyDescent="0.35">
      <c r="A3128" s="26" t="s">
        <v>216</v>
      </c>
      <c r="B3128" s="26" t="s">
        <v>6472</v>
      </c>
      <c r="C3128" s="26" t="s">
        <v>15</v>
      </c>
      <c r="D3128" s="28" t="s">
        <v>218</v>
      </c>
      <c r="E3128" s="26" t="s">
        <v>6473</v>
      </c>
      <c r="F3128" s="29" t="s">
        <v>220</v>
      </c>
    </row>
    <row r="3129" spans="1:6" ht="29" x14ac:dyDescent="0.35">
      <c r="A3129" s="26" t="s">
        <v>216</v>
      </c>
      <c r="B3129" s="26" t="s">
        <v>6474</v>
      </c>
      <c r="C3129" s="26" t="s">
        <v>17</v>
      </c>
      <c r="D3129" s="28" t="s">
        <v>6475</v>
      </c>
      <c r="E3129" s="26">
        <v>13436</v>
      </c>
      <c r="F3129" s="29" t="s">
        <v>247</v>
      </c>
    </row>
    <row r="3130" spans="1:6" ht="29" x14ac:dyDescent="0.35">
      <c r="A3130" s="26" t="s">
        <v>216</v>
      </c>
      <c r="B3130" s="26" t="s">
        <v>6476</v>
      </c>
      <c r="C3130" s="26" t="s">
        <v>20</v>
      </c>
      <c r="D3130" s="28" t="s">
        <v>6477</v>
      </c>
      <c r="E3130" s="26">
        <v>13436</v>
      </c>
      <c r="F3130" s="29" t="s">
        <v>223</v>
      </c>
    </row>
    <row r="3131" spans="1:6" ht="58" x14ac:dyDescent="0.35">
      <c r="A3131" s="26" t="s">
        <v>216</v>
      </c>
      <c r="B3131" s="26" t="s">
        <v>6478</v>
      </c>
      <c r="C3131" s="26" t="s">
        <v>25</v>
      </c>
      <c r="D3131" s="28" t="s">
        <v>6479</v>
      </c>
      <c r="E3131" s="26">
        <v>0</v>
      </c>
      <c r="F3131" s="29" t="s">
        <v>226</v>
      </c>
    </row>
    <row r="3132" spans="1:6" ht="43.5" x14ac:dyDescent="0.35">
      <c r="A3132" s="26" t="s">
        <v>216</v>
      </c>
      <c r="B3132" s="26" t="s">
        <v>6480</v>
      </c>
      <c r="C3132" s="26" t="s">
        <v>27</v>
      </c>
      <c r="D3132" s="28" t="s">
        <v>6481</v>
      </c>
      <c r="E3132" s="26">
        <v>0</v>
      </c>
      <c r="F3132" s="29" t="s">
        <v>229</v>
      </c>
    </row>
    <row r="3133" spans="1:6" ht="29" x14ac:dyDescent="0.35">
      <c r="A3133" s="26" t="s">
        <v>216</v>
      </c>
      <c r="B3133" s="26" t="s">
        <v>6482</v>
      </c>
      <c r="C3133" s="26" t="s">
        <v>24</v>
      </c>
      <c r="D3133" s="28" t="s">
        <v>6483</v>
      </c>
      <c r="E3133" s="26">
        <v>0</v>
      </c>
      <c r="F3133" s="29" t="s">
        <v>232</v>
      </c>
    </row>
    <row r="3134" spans="1:6" ht="43.5" x14ac:dyDescent="0.35">
      <c r="A3134" s="26" t="s">
        <v>216</v>
      </c>
      <c r="B3134" s="26" t="s">
        <v>6484</v>
      </c>
      <c r="C3134" s="26" t="s">
        <v>15</v>
      </c>
      <c r="D3134" s="28" t="s">
        <v>218</v>
      </c>
      <c r="E3134" s="26" t="s">
        <v>6485</v>
      </c>
      <c r="F3134" s="29" t="s">
        <v>220</v>
      </c>
    </row>
    <row r="3135" spans="1:6" ht="29" x14ac:dyDescent="0.35">
      <c r="A3135" s="26" t="s">
        <v>216</v>
      </c>
      <c r="B3135" s="26" t="s">
        <v>6486</v>
      </c>
      <c r="C3135" s="26" t="s">
        <v>17</v>
      </c>
      <c r="D3135" s="28" t="s">
        <v>6487</v>
      </c>
      <c r="E3135" s="26">
        <v>13436</v>
      </c>
      <c r="F3135" s="29" t="s">
        <v>247</v>
      </c>
    </row>
    <row r="3136" spans="1:6" ht="29" x14ac:dyDescent="0.35">
      <c r="A3136" s="26" t="s">
        <v>216</v>
      </c>
      <c r="B3136" s="26" t="s">
        <v>6488</v>
      </c>
      <c r="C3136" s="26" t="s">
        <v>20</v>
      </c>
      <c r="D3136" s="28" t="s">
        <v>6489</v>
      </c>
      <c r="E3136" s="26">
        <v>13436</v>
      </c>
      <c r="F3136" s="29" t="s">
        <v>223</v>
      </c>
    </row>
    <row r="3137" spans="1:6" ht="58" x14ac:dyDescent="0.35">
      <c r="A3137" s="26" t="s">
        <v>216</v>
      </c>
      <c r="B3137" s="26" t="s">
        <v>6490</v>
      </c>
      <c r="C3137" s="26" t="s">
        <v>25</v>
      </c>
      <c r="D3137" s="28" t="s">
        <v>6491</v>
      </c>
      <c r="E3137" s="26">
        <v>0</v>
      </c>
      <c r="F3137" s="29" t="s">
        <v>226</v>
      </c>
    </row>
    <row r="3138" spans="1:6" ht="43.5" x14ac:dyDescent="0.35">
      <c r="A3138" s="26" t="s">
        <v>216</v>
      </c>
      <c r="B3138" s="26" t="s">
        <v>6492</v>
      </c>
      <c r="C3138" s="26" t="s">
        <v>27</v>
      </c>
      <c r="D3138" s="28" t="s">
        <v>6493</v>
      </c>
      <c r="E3138" s="26">
        <v>0</v>
      </c>
      <c r="F3138" s="29" t="s">
        <v>229</v>
      </c>
    </row>
    <row r="3139" spans="1:6" ht="29" x14ac:dyDescent="0.35">
      <c r="A3139" s="26" t="s">
        <v>216</v>
      </c>
      <c r="B3139" s="26" t="s">
        <v>6494</v>
      </c>
      <c r="C3139" s="26" t="s">
        <v>24</v>
      </c>
      <c r="D3139" s="28" t="s">
        <v>6495</v>
      </c>
      <c r="E3139" s="26">
        <v>0</v>
      </c>
      <c r="F3139" s="29" t="s">
        <v>232</v>
      </c>
    </row>
    <row r="3140" spans="1:6" ht="43.5" x14ac:dyDescent="0.35">
      <c r="A3140" s="26" t="s">
        <v>216</v>
      </c>
      <c r="B3140" s="26" t="s">
        <v>6496</v>
      </c>
      <c r="C3140" s="26" t="s">
        <v>15</v>
      </c>
      <c r="D3140" s="28" t="s">
        <v>218</v>
      </c>
      <c r="E3140" s="26" t="s">
        <v>6497</v>
      </c>
      <c r="F3140" s="29" t="s">
        <v>220</v>
      </c>
    </row>
    <row r="3141" spans="1:6" ht="29" x14ac:dyDescent="0.35">
      <c r="A3141" s="26" t="s">
        <v>216</v>
      </c>
      <c r="B3141" s="26" t="s">
        <v>6498</v>
      </c>
      <c r="C3141" s="26" t="s">
        <v>17</v>
      </c>
      <c r="D3141" s="28" t="s">
        <v>6499</v>
      </c>
      <c r="E3141" s="26">
        <v>13436</v>
      </c>
      <c r="F3141" s="29" t="s">
        <v>247</v>
      </c>
    </row>
    <row r="3142" spans="1:6" ht="29" x14ac:dyDescent="0.35">
      <c r="A3142" s="26" t="s">
        <v>216</v>
      </c>
      <c r="B3142" s="26" t="s">
        <v>6500</v>
      </c>
      <c r="C3142" s="26" t="s">
        <v>20</v>
      </c>
      <c r="D3142" s="28" t="s">
        <v>6501</v>
      </c>
      <c r="E3142" s="26">
        <v>13436</v>
      </c>
      <c r="F3142" s="29" t="s">
        <v>223</v>
      </c>
    </row>
    <row r="3143" spans="1:6" ht="58" x14ac:dyDescent="0.35">
      <c r="A3143" s="26" t="s">
        <v>216</v>
      </c>
      <c r="B3143" s="26" t="s">
        <v>6502</v>
      </c>
      <c r="C3143" s="26" t="s">
        <v>25</v>
      </c>
      <c r="D3143" s="28" t="s">
        <v>6503</v>
      </c>
      <c r="E3143" s="26">
        <v>0</v>
      </c>
      <c r="F3143" s="29" t="s">
        <v>226</v>
      </c>
    </row>
    <row r="3144" spans="1:6" ht="43.5" x14ac:dyDescent="0.35">
      <c r="A3144" s="26" t="s">
        <v>216</v>
      </c>
      <c r="B3144" s="26" t="s">
        <v>6504</v>
      </c>
      <c r="C3144" s="26" t="s">
        <v>27</v>
      </c>
      <c r="D3144" s="28" t="s">
        <v>6505</v>
      </c>
      <c r="E3144" s="26">
        <v>0</v>
      </c>
      <c r="F3144" s="29" t="s">
        <v>229</v>
      </c>
    </row>
    <row r="3145" spans="1:6" ht="29" x14ac:dyDescent="0.35">
      <c r="A3145" s="26" t="s">
        <v>216</v>
      </c>
      <c r="B3145" s="26" t="s">
        <v>6506</v>
      </c>
      <c r="C3145" s="26" t="s">
        <v>24</v>
      </c>
      <c r="D3145" s="28" t="s">
        <v>6507</v>
      </c>
      <c r="E3145" s="26">
        <v>0</v>
      </c>
      <c r="F3145" s="29" t="s">
        <v>232</v>
      </c>
    </row>
    <row r="3146" spans="1:6" ht="43.5" x14ac:dyDescent="0.35">
      <c r="A3146" s="26" t="s">
        <v>216</v>
      </c>
      <c r="B3146" s="26" t="s">
        <v>6508</v>
      </c>
      <c r="C3146" s="26" t="s">
        <v>15</v>
      </c>
      <c r="D3146" s="28" t="s">
        <v>218</v>
      </c>
      <c r="E3146" s="26" t="s">
        <v>6509</v>
      </c>
      <c r="F3146" s="29" t="s">
        <v>220</v>
      </c>
    </row>
    <row r="3147" spans="1:6" ht="29" x14ac:dyDescent="0.35">
      <c r="A3147" s="26" t="s">
        <v>216</v>
      </c>
      <c r="B3147" s="26" t="s">
        <v>6510</v>
      </c>
      <c r="C3147" s="26" t="s">
        <v>17</v>
      </c>
      <c r="D3147" s="28" t="s">
        <v>6511</v>
      </c>
      <c r="E3147" s="26">
        <v>13436</v>
      </c>
      <c r="F3147" s="29" t="s">
        <v>247</v>
      </c>
    </row>
    <row r="3148" spans="1:6" ht="29" x14ac:dyDescent="0.35">
      <c r="A3148" s="26" t="s">
        <v>216</v>
      </c>
      <c r="B3148" s="26" t="s">
        <v>6512</v>
      </c>
      <c r="C3148" s="26" t="s">
        <v>20</v>
      </c>
      <c r="D3148" s="28" t="s">
        <v>6513</v>
      </c>
      <c r="E3148" s="26">
        <v>13436</v>
      </c>
      <c r="F3148" s="29" t="s">
        <v>223</v>
      </c>
    </row>
    <row r="3149" spans="1:6" ht="58" x14ac:dyDescent="0.35">
      <c r="A3149" s="26" t="s">
        <v>216</v>
      </c>
      <c r="B3149" s="26" t="s">
        <v>6514</v>
      </c>
      <c r="C3149" s="26" t="s">
        <v>25</v>
      </c>
      <c r="D3149" s="28" t="s">
        <v>6515</v>
      </c>
      <c r="E3149" s="26">
        <v>0</v>
      </c>
      <c r="F3149" s="29" t="s">
        <v>226</v>
      </c>
    </row>
    <row r="3150" spans="1:6" ht="43.5" x14ac:dyDescent="0.35">
      <c r="A3150" s="26" t="s">
        <v>216</v>
      </c>
      <c r="B3150" s="26" t="s">
        <v>6516</v>
      </c>
      <c r="C3150" s="26" t="s">
        <v>27</v>
      </c>
      <c r="D3150" s="28" t="s">
        <v>6517</v>
      </c>
      <c r="E3150" s="26">
        <v>0</v>
      </c>
      <c r="F3150" s="29" t="s">
        <v>229</v>
      </c>
    </row>
    <row r="3151" spans="1:6" ht="29" x14ac:dyDescent="0.35">
      <c r="A3151" s="26" t="s">
        <v>216</v>
      </c>
      <c r="B3151" s="26" t="s">
        <v>6518</v>
      </c>
      <c r="C3151" s="26" t="s">
        <v>24</v>
      </c>
      <c r="D3151" s="28" t="s">
        <v>6519</v>
      </c>
      <c r="E3151" s="26">
        <v>0</v>
      </c>
      <c r="F3151" s="29" t="s">
        <v>232</v>
      </c>
    </row>
    <row r="3152" spans="1:6" ht="43.5" x14ac:dyDescent="0.35">
      <c r="A3152" s="26" t="s">
        <v>216</v>
      </c>
      <c r="B3152" s="26" t="s">
        <v>6520</v>
      </c>
      <c r="C3152" s="26" t="s">
        <v>15</v>
      </c>
      <c r="D3152" s="28" t="s">
        <v>218</v>
      </c>
      <c r="E3152" s="26" t="s">
        <v>6521</v>
      </c>
      <c r="F3152" s="29" t="s">
        <v>220</v>
      </c>
    </row>
    <row r="3153" spans="1:6" ht="29" x14ac:dyDescent="0.35">
      <c r="A3153" s="26" t="s">
        <v>216</v>
      </c>
      <c r="B3153" s="26" t="s">
        <v>6522</v>
      </c>
      <c r="C3153" s="26" t="s">
        <v>17</v>
      </c>
      <c r="D3153" s="28" t="s">
        <v>6523</v>
      </c>
      <c r="E3153" s="26">
        <v>13436</v>
      </c>
      <c r="F3153" s="29" t="s">
        <v>247</v>
      </c>
    </row>
    <row r="3154" spans="1:6" ht="29" x14ac:dyDescent="0.35">
      <c r="A3154" s="26" t="s">
        <v>216</v>
      </c>
      <c r="B3154" s="26" t="s">
        <v>6524</v>
      </c>
      <c r="C3154" s="26" t="s">
        <v>20</v>
      </c>
      <c r="D3154" s="28" t="s">
        <v>6525</v>
      </c>
      <c r="E3154" s="26">
        <v>13436</v>
      </c>
      <c r="F3154" s="29" t="s">
        <v>223</v>
      </c>
    </row>
    <row r="3155" spans="1:6" ht="58" x14ac:dyDescent="0.35">
      <c r="A3155" s="26" t="s">
        <v>216</v>
      </c>
      <c r="B3155" s="26" t="s">
        <v>6526</v>
      </c>
      <c r="C3155" s="26" t="s">
        <v>25</v>
      </c>
      <c r="D3155" s="28" t="s">
        <v>6527</v>
      </c>
      <c r="E3155" s="26">
        <v>0</v>
      </c>
      <c r="F3155" s="29" t="s">
        <v>226</v>
      </c>
    </row>
    <row r="3156" spans="1:6" ht="43.5" x14ac:dyDescent="0.35">
      <c r="A3156" s="26" t="s">
        <v>216</v>
      </c>
      <c r="B3156" s="26" t="s">
        <v>6528</v>
      </c>
      <c r="C3156" s="26" t="s">
        <v>27</v>
      </c>
      <c r="D3156" s="28" t="s">
        <v>6529</v>
      </c>
      <c r="E3156" s="26">
        <v>0</v>
      </c>
      <c r="F3156" s="29" t="s">
        <v>229</v>
      </c>
    </row>
    <row r="3157" spans="1:6" ht="29" x14ac:dyDescent="0.35">
      <c r="A3157" s="26" t="s">
        <v>216</v>
      </c>
      <c r="B3157" s="26" t="s">
        <v>6530</v>
      </c>
      <c r="C3157" s="26" t="s">
        <v>24</v>
      </c>
      <c r="D3157" s="28" t="s">
        <v>6531</v>
      </c>
      <c r="E3157" s="26">
        <v>0</v>
      </c>
      <c r="F3157" s="29" t="s">
        <v>232</v>
      </c>
    </row>
    <row r="3158" spans="1:6" ht="43.5" x14ac:dyDescent="0.35">
      <c r="A3158" s="26" t="s">
        <v>216</v>
      </c>
      <c r="B3158" s="26" t="s">
        <v>6532</v>
      </c>
      <c r="C3158" s="26" t="s">
        <v>15</v>
      </c>
      <c r="D3158" s="28" t="s">
        <v>218</v>
      </c>
      <c r="E3158" s="26" t="s">
        <v>6533</v>
      </c>
      <c r="F3158" s="29" t="s">
        <v>220</v>
      </c>
    </row>
    <row r="3159" spans="1:6" ht="29" x14ac:dyDescent="0.35">
      <c r="A3159" s="26" t="s">
        <v>216</v>
      </c>
      <c r="B3159" s="26" t="s">
        <v>6534</v>
      </c>
      <c r="C3159" s="26" t="s">
        <v>17</v>
      </c>
      <c r="D3159" s="28" t="s">
        <v>6535</v>
      </c>
      <c r="E3159" s="26">
        <v>13436</v>
      </c>
      <c r="F3159" s="29" t="s">
        <v>247</v>
      </c>
    </row>
    <row r="3160" spans="1:6" ht="29" x14ac:dyDescent="0.35">
      <c r="A3160" s="26" t="s">
        <v>216</v>
      </c>
      <c r="B3160" s="26" t="s">
        <v>6536</v>
      </c>
      <c r="C3160" s="26" t="s">
        <v>20</v>
      </c>
      <c r="D3160" s="28" t="s">
        <v>6537</v>
      </c>
      <c r="E3160" s="26">
        <v>13436</v>
      </c>
      <c r="F3160" s="29" t="s">
        <v>223</v>
      </c>
    </row>
    <row r="3161" spans="1:6" ht="58" x14ac:dyDescent="0.35">
      <c r="A3161" s="26" t="s">
        <v>216</v>
      </c>
      <c r="B3161" s="26" t="s">
        <v>6538</v>
      </c>
      <c r="C3161" s="26" t="s">
        <v>25</v>
      </c>
      <c r="D3161" s="28" t="s">
        <v>6539</v>
      </c>
      <c r="E3161" s="26">
        <v>0</v>
      </c>
      <c r="F3161" s="29" t="s">
        <v>226</v>
      </c>
    </row>
    <row r="3162" spans="1:6" ht="43.5" x14ac:dyDescent="0.35">
      <c r="A3162" s="26" t="s">
        <v>216</v>
      </c>
      <c r="B3162" s="26" t="s">
        <v>6540</v>
      </c>
      <c r="C3162" s="26" t="s">
        <v>27</v>
      </c>
      <c r="D3162" s="28" t="s">
        <v>6541</v>
      </c>
      <c r="E3162" s="26">
        <v>0</v>
      </c>
      <c r="F3162" s="29" t="s">
        <v>229</v>
      </c>
    </row>
    <row r="3163" spans="1:6" ht="29" x14ac:dyDescent="0.35">
      <c r="A3163" s="26" t="s">
        <v>216</v>
      </c>
      <c r="B3163" s="26" t="s">
        <v>6542</v>
      </c>
      <c r="C3163" s="26" t="s">
        <v>24</v>
      </c>
      <c r="D3163" s="28" t="s">
        <v>6543</v>
      </c>
      <c r="E3163" s="26">
        <v>0</v>
      </c>
      <c r="F3163" s="29" t="s">
        <v>232</v>
      </c>
    </row>
    <row r="3164" spans="1:6" ht="43.5" x14ac:dyDescent="0.35">
      <c r="A3164" s="26" t="s">
        <v>216</v>
      </c>
      <c r="B3164" s="26" t="s">
        <v>6544</v>
      </c>
      <c r="C3164" s="26" t="s">
        <v>15</v>
      </c>
      <c r="D3164" s="28" t="s">
        <v>218</v>
      </c>
      <c r="E3164" s="26" t="s">
        <v>6545</v>
      </c>
      <c r="F3164" s="29" t="s">
        <v>220</v>
      </c>
    </row>
    <row r="3165" spans="1:6" ht="29" x14ac:dyDescent="0.35">
      <c r="A3165" s="26" t="s">
        <v>216</v>
      </c>
      <c r="B3165" s="26" t="s">
        <v>6546</v>
      </c>
      <c r="C3165" s="26" t="s">
        <v>17</v>
      </c>
      <c r="D3165" s="28" t="s">
        <v>6547</v>
      </c>
      <c r="E3165" s="26">
        <v>13436</v>
      </c>
      <c r="F3165" s="29" t="s">
        <v>247</v>
      </c>
    </row>
    <row r="3166" spans="1:6" ht="29" x14ac:dyDescent="0.35">
      <c r="A3166" s="26" t="s">
        <v>216</v>
      </c>
      <c r="B3166" s="26" t="s">
        <v>6548</v>
      </c>
      <c r="C3166" s="26" t="s">
        <v>20</v>
      </c>
      <c r="D3166" s="28" t="s">
        <v>6549</v>
      </c>
      <c r="E3166" s="26">
        <v>13436</v>
      </c>
      <c r="F3166" s="29" t="s">
        <v>223</v>
      </c>
    </row>
    <row r="3167" spans="1:6" ht="58" x14ac:dyDescent="0.35">
      <c r="A3167" s="26" t="s">
        <v>216</v>
      </c>
      <c r="B3167" s="26" t="s">
        <v>6550</v>
      </c>
      <c r="C3167" s="26" t="s">
        <v>25</v>
      </c>
      <c r="D3167" s="28" t="s">
        <v>6551</v>
      </c>
      <c r="E3167" s="26">
        <v>0</v>
      </c>
      <c r="F3167" s="29" t="s">
        <v>226</v>
      </c>
    </row>
    <row r="3168" spans="1:6" ht="43.5" x14ac:dyDescent="0.35">
      <c r="A3168" s="26" t="s">
        <v>216</v>
      </c>
      <c r="B3168" s="26" t="s">
        <v>6552</v>
      </c>
      <c r="C3168" s="26" t="s">
        <v>27</v>
      </c>
      <c r="D3168" s="28" t="s">
        <v>6553</v>
      </c>
      <c r="E3168" s="26">
        <v>0</v>
      </c>
      <c r="F3168" s="29" t="s">
        <v>229</v>
      </c>
    </row>
    <row r="3169" spans="1:6" ht="29" x14ac:dyDescent="0.35">
      <c r="A3169" s="26" t="s">
        <v>216</v>
      </c>
      <c r="B3169" s="26" t="s">
        <v>6554</v>
      </c>
      <c r="C3169" s="26" t="s">
        <v>24</v>
      </c>
      <c r="D3169" s="28" t="s">
        <v>6555</v>
      </c>
      <c r="E3169" s="26">
        <v>0</v>
      </c>
      <c r="F3169" s="29" t="s">
        <v>232</v>
      </c>
    </row>
    <row r="3170" spans="1:6" ht="43.5" x14ac:dyDescent="0.35">
      <c r="A3170" s="26" t="s">
        <v>216</v>
      </c>
      <c r="B3170" s="26" t="s">
        <v>6556</v>
      </c>
      <c r="C3170" s="26" t="s">
        <v>15</v>
      </c>
      <c r="D3170" s="28" t="s">
        <v>218</v>
      </c>
      <c r="E3170" s="26" t="s">
        <v>6557</v>
      </c>
      <c r="F3170" s="29" t="s">
        <v>220</v>
      </c>
    </row>
    <row r="3171" spans="1:6" ht="29" x14ac:dyDescent="0.35">
      <c r="A3171" s="26" t="s">
        <v>216</v>
      </c>
      <c r="B3171" s="26" t="s">
        <v>6558</v>
      </c>
      <c r="C3171" s="26" t="s">
        <v>17</v>
      </c>
      <c r="D3171" s="28" t="s">
        <v>6559</v>
      </c>
      <c r="E3171" s="26">
        <v>13436</v>
      </c>
      <c r="F3171" s="29" t="s">
        <v>247</v>
      </c>
    </row>
    <row r="3172" spans="1:6" ht="29" x14ac:dyDescent="0.35">
      <c r="A3172" s="26" t="s">
        <v>216</v>
      </c>
      <c r="B3172" s="26" t="s">
        <v>6560</v>
      </c>
      <c r="C3172" s="26" t="s">
        <v>20</v>
      </c>
      <c r="D3172" s="28" t="s">
        <v>6561</v>
      </c>
      <c r="E3172" s="26">
        <v>13436</v>
      </c>
      <c r="F3172" s="29" t="s">
        <v>223</v>
      </c>
    </row>
    <row r="3173" spans="1:6" ht="58" x14ac:dyDescent="0.35">
      <c r="A3173" s="26" t="s">
        <v>216</v>
      </c>
      <c r="B3173" s="26" t="s">
        <v>6562</v>
      </c>
      <c r="C3173" s="26" t="s">
        <v>25</v>
      </c>
      <c r="D3173" s="28" t="s">
        <v>6563</v>
      </c>
      <c r="E3173" s="26">
        <v>0</v>
      </c>
      <c r="F3173" s="29" t="s">
        <v>226</v>
      </c>
    </row>
    <row r="3174" spans="1:6" ht="43.5" x14ac:dyDescent="0.35">
      <c r="A3174" s="26" t="s">
        <v>216</v>
      </c>
      <c r="B3174" s="26" t="s">
        <v>6564</v>
      </c>
      <c r="C3174" s="26" t="s">
        <v>27</v>
      </c>
      <c r="D3174" s="28" t="s">
        <v>6565</v>
      </c>
      <c r="E3174" s="26">
        <v>0</v>
      </c>
      <c r="F3174" s="29" t="s">
        <v>229</v>
      </c>
    </row>
    <row r="3175" spans="1:6" ht="29" x14ac:dyDescent="0.35">
      <c r="A3175" s="26" t="s">
        <v>216</v>
      </c>
      <c r="B3175" s="26" t="s">
        <v>6566</v>
      </c>
      <c r="C3175" s="26" t="s">
        <v>24</v>
      </c>
      <c r="D3175" s="28" t="s">
        <v>6567</v>
      </c>
      <c r="E3175" s="26">
        <v>0</v>
      </c>
      <c r="F3175" s="29" t="s">
        <v>232</v>
      </c>
    </row>
    <row r="3176" spans="1:6" ht="43.5" x14ac:dyDescent="0.35">
      <c r="A3176" s="26" t="s">
        <v>216</v>
      </c>
      <c r="B3176" s="26" t="s">
        <v>6568</v>
      </c>
      <c r="C3176" s="26" t="s">
        <v>15</v>
      </c>
      <c r="D3176" s="28" t="s">
        <v>218</v>
      </c>
      <c r="E3176" s="26" t="s">
        <v>6569</v>
      </c>
      <c r="F3176" s="29" t="s">
        <v>220</v>
      </c>
    </row>
    <row r="3177" spans="1:6" ht="29" x14ac:dyDescent="0.35">
      <c r="A3177" s="26" t="s">
        <v>216</v>
      </c>
      <c r="B3177" s="26" t="s">
        <v>6570</v>
      </c>
      <c r="C3177" s="26" t="s">
        <v>17</v>
      </c>
      <c r="D3177" s="28" t="s">
        <v>6571</v>
      </c>
      <c r="E3177" s="26">
        <v>13436</v>
      </c>
      <c r="F3177" s="29" t="s">
        <v>247</v>
      </c>
    </row>
    <row r="3178" spans="1:6" ht="29" x14ac:dyDescent="0.35">
      <c r="A3178" s="26" t="s">
        <v>216</v>
      </c>
      <c r="B3178" s="26" t="s">
        <v>6572</v>
      </c>
      <c r="C3178" s="26" t="s">
        <v>20</v>
      </c>
      <c r="D3178" s="28" t="s">
        <v>6573</v>
      </c>
      <c r="E3178" s="26">
        <v>13436</v>
      </c>
      <c r="F3178" s="29" t="s">
        <v>223</v>
      </c>
    </row>
    <row r="3179" spans="1:6" ht="58" x14ac:dyDescent="0.35">
      <c r="A3179" s="26" t="s">
        <v>216</v>
      </c>
      <c r="B3179" s="26" t="s">
        <v>6574</v>
      </c>
      <c r="C3179" s="26" t="s">
        <v>25</v>
      </c>
      <c r="D3179" s="28" t="s">
        <v>6575</v>
      </c>
      <c r="E3179" s="26">
        <v>0</v>
      </c>
      <c r="F3179" s="29" t="s">
        <v>226</v>
      </c>
    </row>
    <row r="3180" spans="1:6" ht="43.5" x14ac:dyDescent="0.35">
      <c r="A3180" s="26" t="s">
        <v>216</v>
      </c>
      <c r="B3180" s="26" t="s">
        <v>6576</v>
      </c>
      <c r="C3180" s="26" t="s">
        <v>27</v>
      </c>
      <c r="D3180" s="28" t="s">
        <v>6577</v>
      </c>
      <c r="E3180" s="26">
        <v>0</v>
      </c>
      <c r="F3180" s="29" t="s">
        <v>229</v>
      </c>
    </row>
    <row r="3181" spans="1:6" ht="29" x14ac:dyDescent="0.35">
      <c r="A3181" s="26" t="s">
        <v>216</v>
      </c>
      <c r="B3181" s="26" t="s">
        <v>6578</v>
      </c>
      <c r="C3181" s="26" t="s">
        <v>24</v>
      </c>
      <c r="D3181" s="28" t="s">
        <v>6579</v>
      </c>
      <c r="E3181" s="26">
        <v>0</v>
      </c>
      <c r="F3181" s="29" t="s">
        <v>232</v>
      </c>
    </row>
    <row r="3182" spans="1:6" ht="43.5" x14ac:dyDescent="0.35">
      <c r="A3182" s="26" t="s">
        <v>216</v>
      </c>
      <c r="B3182" s="26" t="s">
        <v>6580</v>
      </c>
      <c r="C3182" s="26" t="s">
        <v>15</v>
      </c>
      <c r="D3182" s="28" t="s">
        <v>218</v>
      </c>
      <c r="E3182" s="26" t="s">
        <v>6581</v>
      </c>
      <c r="F3182" s="29" t="s">
        <v>220</v>
      </c>
    </row>
    <row r="3183" spans="1:6" ht="29" x14ac:dyDescent="0.35">
      <c r="A3183" s="26" t="s">
        <v>216</v>
      </c>
      <c r="B3183" s="26" t="s">
        <v>6582</v>
      </c>
      <c r="C3183" s="26" t="s">
        <v>17</v>
      </c>
      <c r="D3183" s="28" t="s">
        <v>6583</v>
      </c>
      <c r="E3183" s="26">
        <v>13436</v>
      </c>
      <c r="F3183" s="29" t="s">
        <v>247</v>
      </c>
    </row>
    <row r="3184" spans="1:6" ht="29" x14ac:dyDescent="0.35">
      <c r="A3184" s="26" t="s">
        <v>216</v>
      </c>
      <c r="B3184" s="26" t="s">
        <v>6584</v>
      </c>
      <c r="C3184" s="26" t="s">
        <v>20</v>
      </c>
      <c r="D3184" s="28" t="s">
        <v>6585</v>
      </c>
      <c r="E3184" s="26">
        <v>13436</v>
      </c>
      <c r="F3184" s="29" t="s">
        <v>223</v>
      </c>
    </row>
    <row r="3185" spans="1:6" ht="58" x14ac:dyDescent="0.35">
      <c r="A3185" s="26" t="s">
        <v>216</v>
      </c>
      <c r="B3185" s="26" t="s">
        <v>6586</v>
      </c>
      <c r="C3185" s="26" t="s">
        <v>25</v>
      </c>
      <c r="D3185" s="28" t="s">
        <v>6587</v>
      </c>
      <c r="E3185" s="26">
        <v>0</v>
      </c>
      <c r="F3185" s="29" t="s">
        <v>226</v>
      </c>
    </row>
    <row r="3186" spans="1:6" ht="43.5" x14ac:dyDescent="0.35">
      <c r="A3186" s="26" t="s">
        <v>216</v>
      </c>
      <c r="B3186" s="26" t="s">
        <v>6588</v>
      </c>
      <c r="C3186" s="26" t="s">
        <v>27</v>
      </c>
      <c r="D3186" s="28" t="s">
        <v>6589</v>
      </c>
      <c r="E3186" s="26">
        <v>0</v>
      </c>
      <c r="F3186" s="29" t="s">
        <v>229</v>
      </c>
    </row>
    <row r="3187" spans="1:6" ht="29" x14ac:dyDescent="0.35">
      <c r="A3187" s="26" t="s">
        <v>216</v>
      </c>
      <c r="B3187" s="26" t="s">
        <v>6590</v>
      </c>
      <c r="C3187" s="26" t="s">
        <v>24</v>
      </c>
      <c r="D3187" s="28" t="s">
        <v>6591</v>
      </c>
      <c r="E3187" s="26">
        <v>0</v>
      </c>
      <c r="F3187" s="29" t="s">
        <v>232</v>
      </c>
    </row>
    <row r="3188" spans="1:6" ht="43.5" x14ac:dyDescent="0.35">
      <c r="A3188" s="26" t="s">
        <v>216</v>
      </c>
      <c r="B3188" s="26" t="s">
        <v>6592</v>
      </c>
      <c r="C3188" s="26" t="s">
        <v>15</v>
      </c>
      <c r="D3188" s="28" t="s">
        <v>218</v>
      </c>
      <c r="E3188" s="26" t="s">
        <v>6593</v>
      </c>
      <c r="F3188" s="29" t="s">
        <v>220</v>
      </c>
    </row>
    <row r="3189" spans="1:6" ht="29" x14ac:dyDescent="0.35">
      <c r="A3189" s="26" t="s">
        <v>216</v>
      </c>
      <c r="B3189" s="26" t="s">
        <v>6594</v>
      </c>
      <c r="C3189" s="26" t="s">
        <v>17</v>
      </c>
      <c r="D3189" s="28" t="s">
        <v>6595</v>
      </c>
      <c r="E3189" s="26">
        <v>13436</v>
      </c>
      <c r="F3189" s="29" t="s">
        <v>247</v>
      </c>
    </row>
    <row r="3190" spans="1:6" ht="29" x14ac:dyDescent="0.35">
      <c r="A3190" s="26" t="s">
        <v>216</v>
      </c>
      <c r="B3190" s="26" t="s">
        <v>6596</v>
      </c>
      <c r="C3190" s="26" t="s">
        <v>20</v>
      </c>
      <c r="D3190" s="28" t="s">
        <v>6597</v>
      </c>
      <c r="E3190" s="26">
        <v>13436</v>
      </c>
      <c r="F3190" s="29" t="s">
        <v>223</v>
      </c>
    </row>
    <row r="3191" spans="1:6" ht="58" x14ac:dyDescent="0.35">
      <c r="A3191" s="26" t="s">
        <v>216</v>
      </c>
      <c r="B3191" s="26" t="s">
        <v>6598</v>
      </c>
      <c r="C3191" s="26" t="s">
        <v>25</v>
      </c>
      <c r="D3191" s="28" t="s">
        <v>6599</v>
      </c>
      <c r="E3191" s="26">
        <v>0</v>
      </c>
      <c r="F3191" s="29" t="s">
        <v>226</v>
      </c>
    </row>
    <row r="3192" spans="1:6" ht="43.5" x14ac:dyDescent="0.35">
      <c r="A3192" s="26" t="s">
        <v>216</v>
      </c>
      <c r="B3192" s="26" t="s">
        <v>6600</v>
      </c>
      <c r="C3192" s="26" t="s">
        <v>27</v>
      </c>
      <c r="D3192" s="28" t="s">
        <v>6601</v>
      </c>
      <c r="E3192" s="26">
        <v>0</v>
      </c>
      <c r="F3192" s="29" t="s">
        <v>229</v>
      </c>
    </row>
    <row r="3193" spans="1:6" ht="29" x14ac:dyDescent="0.35">
      <c r="A3193" s="26" t="s">
        <v>216</v>
      </c>
      <c r="B3193" s="26" t="s">
        <v>6602</v>
      </c>
      <c r="C3193" s="26" t="s">
        <v>24</v>
      </c>
      <c r="D3193" s="28" t="s">
        <v>6603</v>
      </c>
      <c r="E3193" s="26">
        <v>0</v>
      </c>
      <c r="F3193" s="29" t="s">
        <v>232</v>
      </c>
    </row>
    <row r="3194" spans="1:6" ht="43.5" x14ac:dyDescent="0.35">
      <c r="A3194" s="26" t="s">
        <v>216</v>
      </c>
      <c r="B3194" s="26" t="s">
        <v>6604</v>
      </c>
      <c r="C3194" s="26" t="s">
        <v>15</v>
      </c>
      <c r="D3194" s="28" t="s">
        <v>218</v>
      </c>
      <c r="E3194" s="26" t="s">
        <v>6605</v>
      </c>
      <c r="F3194" s="29" t="s">
        <v>220</v>
      </c>
    </row>
    <row r="3195" spans="1:6" ht="29" x14ac:dyDescent="0.35">
      <c r="A3195" s="26" t="s">
        <v>216</v>
      </c>
      <c r="B3195" s="26" t="s">
        <v>6606</v>
      </c>
      <c r="C3195" s="26" t="s">
        <v>17</v>
      </c>
      <c r="D3195" s="28" t="s">
        <v>6607</v>
      </c>
      <c r="E3195" s="26">
        <v>13436</v>
      </c>
      <c r="F3195" s="29" t="s">
        <v>247</v>
      </c>
    </row>
    <row r="3196" spans="1:6" ht="29" x14ac:dyDescent="0.35">
      <c r="A3196" s="26" t="s">
        <v>216</v>
      </c>
      <c r="B3196" s="26" t="s">
        <v>6608</v>
      </c>
      <c r="C3196" s="26" t="s">
        <v>20</v>
      </c>
      <c r="D3196" s="28" t="s">
        <v>6609</v>
      </c>
      <c r="E3196" s="26">
        <v>13436</v>
      </c>
      <c r="F3196" s="29" t="s">
        <v>223</v>
      </c>
    </row>
    <row r="3197" spans="1:6" ht="58" x14ac:dyDescent="0.35">
      <c r="A3197" s="26" t="s">
        <v>216</v>
      </c>
      <c r="B3197" s="26" t="s">
        <v>6610</v>
      </c>
      <c r="C3197" s="26" t="s">
        <v>25</v>
      </c>
      <c r="D3197" s="28" t="s">
        <v>6611</v>
      </c>
      <c r="E3197" s="26">
        <v>0</v>
      </c>
      <c r="F3197" s="29" t="s">
        <v>226</v>
      </c>
    </row>
    <row r="3198" spans="1:6" ht="43.5" x14ac:dyDescent="0.35">
      <c r="A3198" s="26" t="s">
        <v>216</v>
      </c>
      <c r="B3198" s="26" t="s">
        <v>6612</v>
      </c>
      <c r="C3198" s="26" t="s">
        <v>27</v>
      </c>
      <c r="D3198" s="28" t="s">
        <v>6613</v>
      </c>
      <c r="E3198" s="26">
        <v>0</v>
      </c>
      <c r="F3198" s="29" t="s">
        <v>229</v>
      </c>
    </row>
    <row r="3199" spans="1:6" ht="29" x14ac:dyDescent="0.35">
      <c r="A3199" s="26" t="s">
        <v>216</v>
      </c>
      <c r="B3199" s="26" t="s">
        <v>6614</v>
      </c>
      <c r="C3199" s="26" t="s">
        <v>24</v>
      </c>
      <c r="D3199" s="28" t="s">
        <v>6615</v>
      </c>
      <c r="E3199" s="26">
        <v>0</v>
      </c>
      <c r="F3199" s="29" t="s">
        <v>232</v>
      </c>
    </row>
    <row r="3200" spans="1:6" ht="43.5" x14ac:dyDescent="0.35">
      <c r="A3200" s="26" t="s">
        <v>216</v>
      </c>
      <c r="B3200" s="26" t="s">
        <v>6616</v>
      </c>
      <c r="C3200" s="26" t="s">
        <v>15</v>
      </c>
      <c r="D3200" s="28" t="s">
        <v>218</v>
      </c>
      <c r="E3200" s="26" t="s">
        <v>6617</v>
      </c>
      <c r="F3200" s="29" t="s">
        <v>220</v>
      </c>
    </row>
    <row r="3201" spans="1:6" ht="29" x14ac:dyDescent="0.35">
      <c r="A3201" s="26" t="s">
        <v>216</v>
      </c>
      <c r="B3201" s="26" t="s">
        <v>6618</v>
      </c>
      <c r="C3201" s="26" t="s">
        <v>17</v>
      </c>
      <c r="D3201" s="28" t="s">
        <v>6619</v>
      </c>
      <c r="E3201" s="26">
        <v>13436</v>
      </c>
      <c r="F3201" s="29" t="s">
        <v>247</v>
      </c>
    </row>
    <row r="3202" spans="1:6" ht="29" x14ac:dyDescent="0.35">
      <c r="A3202" s="26" t="s">
        <v>216</v>
      </c>
      <c r="B3202" s="26" t="s">
        <v>6620</v>
      </c>
      <c r="C3202" s="26" t="s">
        <v>20</v>
      </c>
      <c r="D3202" s="28" t="s">
        <v>6621</v>
      </c>
      <c r="E3202" s="26">
        <v>13436</v>
      </c>
      <c r="F3202" s="29" t="s">
        <v>223</v>
      </c>
    </row>
    <row r="3203" spans="1:6" ht="58" x14ac:dyDescent="0.35">
      <c r="A3203" s="26" t="s">
        <v>216</v>
      </c>
      <c r="B3203" s="26" t="s">
        <v>6622</v>
      </c>
      <c r="C3203" s="26" t="s">
        <v>25</v>
      </c>
      <c r="D3203" s="28" t="s">
        <v>6623</v>
      </c>
      <c r="E3203" s="26">
        <v>0</v>
      </c>
      <c r="F3203" s="29" t="s">
        <v>226</v>
      </c>
    </row>
    <row r="3204" spans="1:6" ht="43.5" x14ac:dyDescent="0.35">
      <c r="A3204" s="26" t="s">
        <v>216</v>
      </c>
      <c r="B3204" s="26" t="s">
        <v>6624</v>
      </c>
      <c r="C3204" s="26" t="s">
        <v>27</v>
      </c>
      <c r="D3204" s="28" t="s">
        <v>6625</v>
      </c>
      <c r="E3204" s="26">
        <v>0</v>
      </c>
      <c r="F3204" s="29" t="s">
        <v>229</v>
      </c>
    </row>
    <row r="3205" spans="1:6" ht="29" x14ac:dyDescent="0.35">
      <c r="A3205" s="26" t="s">
        <v>216</v>
      </c>
      <c r="B3205" s="26" t="s">
        <v>6626</v>
      </c>
      <c r="C3205" s="26" t="s">
        <v>24</v>
      </c>
      <c r="D3205" s="28" t="s">
        <v>6627</v>
      </c>
      <c r="E3205" s="26">
        <v>0</v>
      </c>
      <c r="F3205" s="29" t="s">
        <v>232</v>
      </c>
    </row>
    <row r="3206" spans="1:6" ht="43.5" x14ac:dyDescent="0.35">
      <c r="A3206" s="26" t="s">
        <v>216</v>
      </c>
      <c r="B3206" s="26" t="s">
        <v>6628</v>
      </c>
      <c r="C3206" s="26" t="s">
        <v>15</v>
      </c>
      <c r="D3206" s="28" t="s">
        <v>218</v>
      </c>
      <c r="E3206" s="26" t="s">
        <v>6629</v>
      </c>
      <c r="F3206" s="29" t="s">
        <v>220</v>
      </c>
    </row>
    <row r="3207" spans="1:6" ht="29" x14ac:dyDescent="0.35">
      <c r="A3207" s="26" t="s">
        <v>216</v>
      </c>
      <c r="B3207" s="26" t="s">
        <v>6630</v>
      </c>
      <c r="C3207" s="26" t="s">
        <v>17</v>
      </c>
      <c r="D3207" s="28" t="s">
        <v>6631</v>
      </c>
      <c r="E3207" s="26">
        <v>13436</v>
      </c>
      <c r="F3207" s="29" t="s">
        <v>247</v>
      </c>
    </row>
    <row r="3208" spans="1:6" ht="29" x14ac:dyDescent="0.35">
      <c r="A3208" s="26" t="s">
        <v>216</v>
      </c>
      <c r="B3208" s="26" t="s">
        <v>6632</v>
      </c>
      <c r="C3208" s="26" t="s">
        <v>20</v>
      </c>
      <c r="D3208" s="28" t="s">
        <v>6633</v>
      </c>
      <c r="E3208" s="26">
        <v>13436</v>
      </c>
      <c r="F3208" s="29" t="s">
        <v>223</v>
      </c>
    </row>
    <row r="3209" spans="1:6" ht="58" x14ac:dyDescent="0.35">
      <c r="A3209" s="26" t="s">
        <v>216</v>
      </c>
      <c r="B3209" s="26" t="s">
        <v>6634</v>
      </c>
      <c r="C3209" s="26" t="s">
        <v>25</v>
      </c>
      <c r="D3209" s="28" t="s">
        <v>6635</v>
      </c>
      <c r="E3209" s="26">
        <v>0</v>
      </c>
      <c r="F3209" s="29" t="s">
        <v>226</v>
      </c>
    </row>
    <row r="3210" spans="1:6" ht="43.5" x14ac:dyDescent="0.35">
      <c r="A3210" s="26" t="s">
        <v>216</v>
      </c>
      <c r="B3210" s="26" t="s">
        <v>6636</v>
      </c>
      <c r="C3210" s="26" t="s">
        <v>27</v>
      </c>
      <c r="D3210" s="28" t="s">
        <v>6637</v>
      </c>
      <c r="E3210" s="26">
        <v>0</v>
      </c>
      <c r="F3210" s="29" t="s">
        <v>229</v>
      </c>
    </row>
    <row r="3211" spans="1:6" ht="29" x14ac:dyDescent="0.35">
      <c r="A3211" s="26" t="s">
        <v>216</v>
      </c>
      <c r="B3211" s="26" t="s">
        <v>6638</v>
      </c>
      <c r="C3211" s="26" t="s">
        <v>24</v>
      </c>
      <c r="D3211" s="28" t="s">
        <v>6639</v>
      </c>
      <c r="E3211" s="26">
        <v>0</v>
      </c>
      <c r="F3211" s="29" t="s">
        <v>232</v>
      </c>
    </row>
    <row r="3212" spans="1:6" ht="43.5" x14ac:dyDescent="0.35">
      <c r="A3212" s="26" t="s">
        <v>216</v>
      </c>
      <c r="B3212" s="26" t="s">
        <v>6640</v>
      </c>
      <c r="C3212" s="26" t="s">
        <v>15</v>
      </c>
      <c r="D3212" s="28" t="s">
        <v>218</v>
      </c>
      <c r="E3212" s="26" t="s">
        <v>6641</v>
      </c>
      <c r="F3212" s="29" t="s">
        <v>220</v>
      </c>
    </row>
    <row r="3213" spans="1:6" ht="29" x14ac:dyDescent="0.35">
      <c r="A3213" s="26" t="s">
        <v>216</v>
      </c>
      <c r="B3213" s="26" t="s">
        <v>6642</v>
      </c>
      <c r="C3213" s="26" t="s">
        <v>17</v>
      </c>
      <c r="D3213" s="28" t="s">
        <v>6643</v>
      </c>
      <c r="E3213" s="26">
        <v>13436</v>
      </c>
      <c r="F3213" s="29" t="s">
        <v>247</v>
      </c>
    </row>
    <row r="3214" spans="1:6" ht="29" x14ac:dyDescent="0.35">
      <c r="A3214" s="26" t="s">
        <v>216</v>
      </c>
      <c r="B3214" s="26" t="s">
        <v>6644</v>
      </c>
      <c r="C3214" s="26" t="s">
        <v>20</v>
      </c>
      <c r="D3214" s="28" t="s">
        <v>6645</v>
      </c>
      <c r="E3214" s="26">
        <v>13436</v>
      </c>
      <c r="F3214" s="29" t="s">
        <v>223</v>
      </c>
    </row>
    <row r="3215" spans="1:6" ht="58" x14ac:dyDescent="0.35">
      <c r="A3215" s="26" t="s">
        <v>216</v>
      </c>
      <c r="B3215" s="26" t="s">
        <v>6646</v>
      </c>
      <c r="C3215" s="26" t="s">
        <v>25</v>
      </c>
      <c r="D3215" s="28" t="s">
        <v>6647</v>
      </c>
      <c r="E3215" s="26">
        <v>0</v>
      </c>
      <c r="F3215" s="29" t="s">
        <v>226</v>
      </c>
    </row>
    <row r="3216" spans="1:6" ht="43.5" x14ac:dyDescent="0.35">
      <c r="A3216" s="26" t="s">
        <v>216</v>
      </c>
      <c r="B3216" s="26" t="s">
        <v>6648</v>
      </c>
      <c r="C3216" s="26" t="s">
        <v>27</v>
      </c>
      <c r="D3216" s="28" t="s">
        <v>6649</v>
      </c>
      <c r="E3216" s="26">
        <v>0</v>
      </c>
      <c r="F3216" s="29" t="s">
        <v>229</v>
      </c>
    </row>
    <row r="3217" spans="1:6" ht="29" x14ac:dyDescent="0.35">
      <c r="A3217" s="26" t="s">
        <v>216</v>
      </c>
      <c r="B3217" s="26" t="s">
        <v>6650</v>
      </c>
      <c r="C3217" s="26" t="s">
        <v>24</v>
      </c>
      <c r="D3217" s="28" t="s">
        <v>6651</v>
      </c>
      <c r="E3217" s="26">
        <v>0</v>
      </c>
      <c r="F3217" s="29" t="s">
        <v>232</v>
      </c>
    </row>
    <row r="3218" spans="1:6" ht="43.5" x14ac:dyDescent="0.35">
      <c r="A3218" s="26" t="s">
        <v>216</v>
      </c>
      <c r="B3218" s="26" t="s">
        <v>6652</v>
      </c>
      <c r="C3218" s="26" t="s">
        <v>15</v>
      </c>
      <c r="D3218" s="28" t="s">
        <v>218</v>
      </c>
      <c r="E3218" s="26" t="s">
        <v>6653</v>
      </c>
      <c r="F3218" s="29" t="s">
        <v>220</v>
      </c>
    </row>
    <row r="3219" spans="1:6" ht="29" x14ac:dyDescent="0.35">
      <c r="A3219" s="26" t="s">
        <v>216</v>
      </c>
      <c r="B3219" s="26" t="s">
        <v>6654</v>
      </c>
      <c r="C3219" s="26" t="s">
        <v>17</v>
      </c>
      <c r="D3219" s="28" t="s">
        <v>6655</v>
      </c>
      <c r="E3219" s="26">
        <v>13436</v>
      </c>
      <c r="F3219" s="29" t="s">
        <v>247</v>
      </c>
    </row>
    <row r="3220" spans="1:6" ht="29" x14ac:dyDescent="0.35">
      <c r="A3220" s="26" t="s">
        <v>216</v>
      </c>
      <c r="B3220" s="26" t="s">
        <v>6656</v>
      </c>
      <c r="C3220" s="26" t="s">
        <v>20</v>
      </c>
      <c r="D3220" s="28" t="s">
        <v>6657</v>
      </c>
      <c r="E3220" s="26">
        <v>13436</v>
      </c>
      <c r="F3220" s="29" t="s">
        <v>223</v>
      </c>
    </row>
    <row r="3221" spans="1:6" ht="58" x14ac:dyDescent="0.35">
      <c r="A3221" s="26" t="s">
        <v>216</v>
      </c>
      <c r="B3221" s="26" t="s">
        <v>6658</v>
      </c>
      <c r="C3221" s="26" t="s">
        <v>25</v>
      </c>
      <c r="D3221" s="28" t="s">
        <v>6659</v>
      </c>
      <c r="E3221" s="26">
        <v>0</v>
      </c>
      <c r="F3221" s="29" t="s">
        <v>226</v>
      </c>
    </row>
    <row r="3222" spans="1:6" ht="43.5" x14ac:dyDescent="0.35">
      <c r="A3222" s="26" t="s">
        <v>216</v>
      </c>
      <c r="B3222" s="26" t="s">
        <v>6660</v>
      </c>
      <c r="C3222" s="26" t="s">
        <v>27</v>
      </c>
      <c r="D3222" s="28" t="s">
        <v>6661</v>
      </c>
      <c r="E3222" s="26">
        <v>0</v>
      </c>
      <c r="F3222" s="29" t="s">
        <v>229</v>
      </c>
    </row>
    <row r="3223" spans="1:6" ht="29" x14ac:dyDescent="0.35">
      <c r="A3223" s="26" t="s">
        <v>216</v>
      </c>
      <c r="B3223" s="26" t="s">
        <v>6662</v>
      </c>
      <c r="C3223" s="26" t="s">
        <v>24</v>
      </c>
      <c r="D3223" s="28" t="s">
        <v>6663</v>
      </c>
      <c r="E3223" s="26">
        <v>0</v>
      </c>
      <c r="F3223" s="29" t="s">
        <v>232</v>
      </c>
    </row>
    <row r="3224" spans="1:6" ht="43.5" x14ac:dyDescent="0.35">
      <c r="A3224" s="26" t="s">
        <v>216</v>
      </c>
      <c r="B3224" s="26" t="s">
        <v>6664</v>
      </c>
      <c r="C3224" s="26" t="s">
        <v>15</v>
      </c>
      <c r="D3224" s="28" t="s">
        <v>218</v>
      </c>
      <c r="E3224" s="26" t="s">
        <v>6665</v>
      </c>
      <c r="F3224" s="29" t="s">
        <v>220</v>
      </c>
    </row>
    <row r="3225" spans="1:6" ht="29" x14ac:dyDescent="0.35">
      <c r="A3225" s="26" t="s">
        <v>216</v>
      </c>
      <c r="B3225" s="26" t="s">
        <v>6666</v>
      </c>
      <c r="C3225" s="26" t="s">
        <v>17</v>
      </c>
      <c r="D3225" s="28" t="s">
        <v>6667</v>
      </c>
      <c r="E3225" s="26">
        <v>13436</v>
      </c>
      <c r="F3225" s="29" t="s">
        <v>247</v>
      </c>
    </row>
    <row r="3226" spans="1:6" ht="29" x14ac:dyDescent="0.35">
      <c r="A3226" s="26" t="s">
        <v>216</v>
      </c>
      <c r="B3226" s="26" t="s">
        <v>6668</v>
      </c>
      <c r="C3226" s="26" t="s">
        <v>20</v>
      </c>
      <c r="D3226" s="28" t="s">
        <v>6669</v>
      </c>
      <c r="E3226" s="26">
        <v>13436</v>
      </c>
      <c r="F3226" s="29" t="s">
        <v>223</v>
      </c>
    </row>
    <row r="3227" spans="1:6" ht="58" x14ac:dyDescent="0.35">
      <c r="A3227" s="26" t="s">
        <v>216</v>
      </c>
      <c r="B3227" s="26" t="s">
        <v>6670</v>
      </c>
      <c r="C3227" s="26" t="s">
        <v>25</v>
      </c>
      <c r="D3227" s="28" t="s">
        <v>6671</v>
      </c>
      <c r="E3227" s="26">
        <v>0</v>
      </c>
      <c r="F3227" s="29" t="s">
        <v>226</v>
      </c>
    </row>
    <row r="3228" spans="1:6" ht="43.5" x14ac:dyDescent="0.35">
      <c r="A3228" s="26" t="s">
        <v>216</v>
      </c>
      <c r="B3228" s="26" t="s">
        <v>6672</v>
      </c>
      <c r="C3228" s="26" t="s">
        <v>27</v>
      </c>
      <c r="D3228" s="28" t="s">
        <v>6673</v>
      </c>
      <c r="E3228" s="26">
        <v>0</v>
      </c>
      <c r="F3228" s="29" t="s">
        <v>229</v>
      </c>
    </row>
    <row r="3229" spans="1:6" ht="29" x14ac:dyDescent="0.35">
      <c r="A3229" s="26" t="s">
        <v>216</v>
      </c>
      <c r="B3229" s="26" t="s">
        <v>6674</v>
      </c>
      <c r="C3229" s="26" t="s">
        <v>24</v>
      </c>
      <c r="D3229" s="28" t="s">
        <v>6675</v>
      </c>
      <c r="E3229" s="26">
        <v>0</v>
      </c>
      <c r="F3229" s="29" t="s">
        <v>232</v>
      </c>
    </row>
    <row r="3230" spans="1:6" ht="43.5" x14ac:dyDescent="0.35">
      <c r="A3230" s="26" t="s">
        <v>216</v>
      </c>
      <c r="B3230" s="26" t="s">
        <v>6676</v>
      </c>
      <c r="C3230" s="26" t="s">
        <v>15</v>
      </c>
      <c r="D3230" s="28" t="s">
        <v>218</v>
      </c>
      <c r="E3230" s="26" t="s">
        <v>6677</v>
      </c>
      <c r="F3230" s="29" t="s">
        <v>220</v>
      </c>
    </row>
    <row r="3231" spans="1:6" ht="29" x14ac:dyDescent="0.35">
      <c r="A3231" s="26" t="s">
        <v>216</v>
      </c>
      <c r="B3231" s="26" t="s">
        <v>6678</v>
      </c>
      <c r="C3231" s="26" t="s">
        <v>17</v>
      </c>
      <c r="D3231" s="28" t="s">
        <v>6679</v>
      </c>
      <c r="E3231" s="26">
        <v>13436</v>
      </c>
      <c r="F3231" s="29" t="s">
        <v>247</v>
      </c>
    </row>
    <row r="3232" spans="1:6" ht="29" x14ac:dyDescent="0.35">
      <c r="A3232" s="26" t="s">
        <v>216</v>
      </c>
      <c r="B3232" s="26" t="s">
        <v>6680</v>
      </c>
      <c r="C3232" s="26" t="s">
        <v>20</v>
      </c>
      <c r="D3232" s="28" t="s">
        <v>6681</v>
      </c>
      <c r="E3232" s="26">
        <v>13436</v>
      </c>
      <c r="F3232" s="29" t="s">
        <v>223</v>
      </c>
    </row>
    <row r="3233" spans="1:6" ht="58" x14ac:dyDescent="0.35">
      <c r="A3233" s="26" t="s">
        <v>216</v>
      </c>
      <c r="B3233" s="26" t="s">
        <v>6682</v>
      </c>
      <c r="C3233" s="26" t="s">
        <v>25</v>
      </c>
      <c r="D3233" s="28" t="s">
        <v>6683</v>
      </c>
      <c r="E3233" s="26">
        <v>0</v>
      </c>
      <c r="F3233" s="29" t="s">
        <v>226</v>
      </c>
    </row>
    <row r="3234" spans="1:6" ht="43.5" x14ac:dyDescent="0.35">
      <c r="A3234" s="26" t="s">
        <v>216</v>
      </c>
      <c r="B3234" s="26" t="s">
        <v>6684</v>
      </c>
      <c r="C3234" s="26" t="s">
        <v>27</v>
      </c>
      <c r="D3234" s="28" t="s">
        <v>6685</v>
      </c>
      <c r="E3234" s="26">
        <v>0</v>
      </c>
      <c r="F3234" s="29" t="s">
        <v>229</v>
      </c>
    </row>
    <row r="3235" spans="1:6" ht="29" x14ac:dyDescent="0.35">
      <c r="A3235" s="26" t="s">
        <v>216</v>
      </c>
      <c r="B3235" s="26" t="s">
        <v>6686</v>
      </c>
      <c r="C3235" s="26" t="s">
        <v>24</v>
      </c>
      <c r="D3235" s="28" t="s">
        <v>6687</v>
      </c>
      <c r="E3235" s="26">
        <v>0</v>
      </c>
      <c r="F3235" s="29" t="s">
        <v>232</v>
      </c>
    </row>
    <row r="3236" spans="1:6" ht="43.5" x14ac:dyDescent="0.35">
      <c r="A3236" s="26" t="s">
        <v>216</v>
      </c>
      <c r="B3236" s="26" t="s">
        <v>6688</v>
      </c>
      <c r="C3236" s="26" t="s">
        <v>15</v>
      </c>
      <c r="D3236" s="28" t="s">
        <v>218</v>
      </c>
      <c r="E3236" s="26" t="s">
        <v>6689</v>
      </c>
      <c r="F3236" s="29" t="s">
        <v>220</v>
      </c>
    </row>
    <row r="3237" spans="1:6" ht="29" x14ac:dyDescent="0.35">
      <c r="A3237" s="26" t="s">
        <v>216</v>
      </c>
      <c r="B3237" s="26" t="s">
        <v>6690</v>
      </c>
      <c r="C3237" s="26" t="s">
        <v>17</v>
      </c>
      <c r="D3237" s="28" t="s">
        <v>6691</v>
      </c>
      <c r="E3237" s="26">
        <v>13436</v>
      </c>
      <c r="F3237" s="29" t="s">
        <v>247</v>
      </c>
    </row>
    <row r="3238" spans="1:6" ht="29" x14ac:dyDescent="0.35">
      <c r="A3238" s="26" t="s">
        <v>216</v>
      </c>
      <c r="B3238" s="26" t="s">
        <v>6692</v>
      </c>
      <c r="C3238" s="26" t="s">
        <v>20</v>
      </c>
      <c r="D3238" s="28" t="s">
        <v>6693</v>
      </c>
      <c r="E3238" s="26">
        <v>13436</v>
      </c>
      <c r="F3238" s="29" t="s">
        <v>223</v>
      </c>
    </row>
    <row r="3239" spans="1:6" ht="58" x14ac:dyDescent="0.35">
      <c r="A3239" s="26" t="s">
        <v>216</v>
      </c>
      <c r="B3239" s="26" t="s">
        <v>6694</v>
      </c>
      <c r="C3239" s="26" t="s">
        <v>25</v>
      </c>
      <c r="D3239" s="28" t="s">
        <v>6695</v>
      </c>
      <c r="E3239" s="26">
        <v>0</v>
      </c>
      <c r="F3239" s="29" t="s">
        <v>226</v>
      </c>
    </row>
    <row r="3240" spans="1:6" ht="43.5" x14ac:dyDescent="0.35">
      <c r="A3240" s="26" t="s">
        <v>216</v>
      </c>
      <c r="B3240" s="26" t="s">
        <v>6696</v>
      </c>
      <c r="C3240" s="26" t="s">
        <v>27</v>
      </c>
      <c r="D3240" s="28" t="s">
        <v>6697</v>
      </c>
      <c r="E3240" s="26">
        <v>0</v>
      </c>
      <c r="F3240" s="29" t="s">
        <v>229</v>
      </c>
    </row>
    <row r="3241" spans="1:6" ht="29" x14ac:dyDescent="0.35">
      <c r="A3241" s="26" t="s">
        <v>216</v>
      </c>
      <c r="B3241" s="26" t="s">
        <v>6698</v>
      </c>
      <c r="C3241" s="26" t="s">
        <v>24</v>
      </c>
      <c r="D3241" s="28" t="s">
        <v>6699</v>
      </c>
      <c r="E3241" s="26">
        <v>0</v>
      </c>
      <c r="F3241" s="29" t="s">
        <v>232</v>
      </c>
    </row>
    <row r="3242" spans="1:6" ht="43.5" x14ac:dyDescent="0.35">
      <c r="A3242" s="26" t="s">
        <v>216</v>
      </c>
      <c r="B3242" s="26" t="s">
        <v>6700</v>
      </c>
      <c r="C3242" s="26" t="s">
        <v>15</v>
      </c>
      <c r="D3242" s="28" t="s">
        <v>218</v>
      </c>
      <c r="E3242" s="26" t="s">
        <v>6701</v>
      </c>
      <c r="F3242" s="29" t="s">
        <v>220</v>
      </c>
    </row>
    <row r="3243" spans="1:6" ht="29" x14ac:dyDescent="0.35">
      <c r="A3243" s="26" t="s">
        <v>216</v>
      </c>
      <c r="B3243" s="26" t="s">
        <v>6702</v>
      </c>
      <c r="C3243" s="26" t="s">
        <v>17</v>
      </c>
      <c r="D3243" s="28" t="s">
        <v>6703</v>
      </c>
      <c r="E3243" s="26">
        <v>13436</v>
      </c>
      <c r="F3243" s="29" t="s">
        <v>247</v>
      </c>
    </row>
    <row r="3244" spans="1:6" ht="29" x14ac:dyDescent="0.35">
      <c r="A3244" s="26" t="s">
        <v>216</v>
      </c>
      <c r="B3244" s="26" t="s">
        <v>6704</v>
      </c>
      <c r="C3244" s="26" t="s">
        <v>20</v>
      </c>
      <c r="D3244" s="28" t="s">
        <v>6705</v>
      </c>
      <c r="E3244" s="26">
        <v>13436</v>
      </c>
      <c r="F3244" s="29" t="s">
        <v>223</v>
      </c>
    </row>
    <row r="3245" spans="1:6" ht="58" x14ac:dyDescent="0.35">
      <c r="A3245" s="26" t="s">
        <v>216</v>
      </c>
      <c r="B3245" s="26" t="s">
        <v>6706</v>
      </c>
      <c r="C3245" s="26" t="s">
        <v>25</v>
      </c>
      <c r="D3245" s="28" t="s">
        <v>6707</v>
      </c>
      <c r="E3245" s="26">
        <v>0</v>
      </c>
      <c r="F3245" s="29" t="s">
        <v>226</v>
      </c>
    </row>
    <row r="3246" spans="1:6" ht="43.5" x14ac:dyDescent="0.35">
      <c r="A3246" s="26" t="s">
        <v>216</v>
      </c>
      <c r="B3246" s="26" t="s">
        <v>6708</v>
      </c>
      <c r="C3246" s="26" t="s">
        <v>27</v>
      </c>
      <c r="D3246" s="28" t="s">
        <v>6709</v>
      </c>
      <c r="E3246" s="26">
        <v>0</v>
      </c>
      <c r="F3246" s="29" t="s">
        <v>229</v>
      </c>
    </row>
    <row r="3247" spans="1:6" ht="29" x14ac:dyDescent="0.35">
      <c r="A3247" s="26" t="s">
        <v>216</v>
      </c>
      <c r="B3247" s="26" t="s">
        <v>6710</v>
      </c>
      <c r="C3247" s="26" t="s">
        <v>24</v>
      </c>
      <c r="D3247" s="28" t="s">
        <v>6711</v>
      </c>
      <c r="E3247" s="26">
        <v>0</v>
      </c>
      <c r="F3247" s="29" t="s">
        <v>232</v>
      </c>
    </row>
    <row r="3248" spans="1:6" ht="43.5" x14ac:dyDescent="0.35">
      <c r="A3248" s="26" t="s">
        <v>216</v>
      </c>
      <c r="B3248" s="26" t="s">
        <v>6712</v>
      </c>
      <c r="C3248" s="26" t="s">
        <v>15</v>
      </c>
      <c r="D3248" s="28" t="s">
        <v>218</v>
      </c>
      <c r="E3248" s="26" t="s">
        <v>6713</v>
      </c>
      <c r="F3248" s="29" t="s">
        <v>220</v>
      </c>
    </row>
    <row r="3249" spans="1:6" ht="29" x14ac:dyDescent="0.35">
      <c r="A3249" s="26" t="s">
        <v>216</v>
      </c>
      <c r="B3249" s="26" t="s">
        <v>6714</v>
      </c>
      <c r="C3249" s="26" t="s">
        <v>17</v>
      </c>
      <c r="D3249" s="28" t="s">
        <v>6715</v>
      </c>
      <c r="E3249" s="26">
        <v>13436</v>
      </c>
      <c r="F3249" s="29" t="s">
        <v>247</v>
      </c>
    </row>
    <row r="3250" spans="1:6" ht="29" x14ac:dyDescent="0.35">
      <c r="A3250" s="26" t="s">
        <v>216</v>
      </c>
      <c r="B3250" s="26" t="s">
        <v>6716</v>
      </c>
      <c r="C3250" s="26" t="s">
        <v>20</v>
      </c>
      <c r="D3250" s="28" t="s">
        <v>6717</v>
      </c>
      <c r="E3250" s="26">
        <v>13436</v>
      </c>
      <c r="F3250" s="29" t="s">
        <v>223</v>
      </c>
    </row>
    <row r="3251" spans="1:6" ht="58" x14ac:dyDescent="0.35">
      <c r="A3251" s="26" t="s">
        <v>216</v>
      </c>
      <c r="B3251" s="26" t="s">
        <v>6718</v>
      </c>
      <c r="C3251" s="26" t="s">
        <v>25</v>
      </c>
      <c r="D3251" s="28" t="s">
        <v>6719</v>
      </c>
      <c r="E3251" s="26">
        <v>0</v>
      </c>
      <c r="F3251" s="29" t="s">
        <v>226</v>
      </c>
    </row>
    <row r="3252" spans="1:6" ht="43.5" x14ac:dyDescent="0.35">
      <c r="A3252" s="26" t="s">
        <v>216</v>
      </c>
      <c r="B3252" s="26" t="s">
        <v>6720</v>
      </c>
      <c r="C3252" s="26" t="s">
        <v>27</v>
      </c>
      <c r="D3252" s="28" t="s">
        <v>6721</v>
      </c>
      <c r="E3252" s="26">
        <v>0</v>
      </c>
      <c r="F3252" s="29" t="s">
        <v>229</v>
      </c>
    </row>
    <row r="3253" spans="1:6" ht="29" x14ac:dyDescent="0.35">
      <c r="A3253" s="26" t="s">
        <v>216</v>
      </c>
      <c r="B3253" s="26" t="s">
        <v>6722</v>
      </c>
      <c r="C3253" s="26" t="s">
        <v>24</v>
      </c>
      <c r="D3253" s="28" t="s">
        <v>6723</v>
      </c>
      <c r="E3253" s="26">
        <v>0</v>
      </c>
      <c r="F3253" s="29" t="s">
        <v>232</v>
      </c>
    </row>
    <row r="3254" spans="1:6" ht="43.5" x14ac:dyDescent="0.35">
      <c r="A3254" s="26" t="s">
        <v>216</v>
      </c>
      <c r="B3254" s="26" t="s">
        <v>6724</v>
      </c>
      <c r="C3254" s="26" t="s">
        <v>15</v>
      </c>
      <c r="D3254" s="28" t="s">
        <v>218</v>
      </c>
      <c r="E3254" s="26" t="s">
        <v>6725</v>
      </c>
      <c r="F3254" s="29" t="s">
        <v>220</v>
      </c>
    </row>
    <row r="3255" spans="1:6" ht="29" x14ac:dyDescent="0.35">
      <c r="A3255" s="26" t="s">
        <v>216</v>
      </c>
      <c r="B3255" s="26" t="s">
        <v>6726</v>
      </c>
      <c r="C3255" s="26" t="s">
        <v>17</v>
      </c>
      <c r="D3255" s="28" t="s">
        <v>6727</v>
      </c>
      <c r="E3255" s="26">
        <v>13436</v>
      </c>
      <c r="F3255" s="29" t="s">
        <v>247</v>
      </c>
    </row>
    <row r="3256" spans="1:6" ht="29" x14ac:dyDescent="0.35">
      <c r="A3256" s="26" t="s">
        <v>216</v>
      </c>
      <c r="B3256" s="26" t="s">
        <v>6728</v>
      </c>
      <c r="C3256" s="26" t="s">
        <v>20</v>
      </c>
      <c r="D3256" s="28" t="s">
        <v>6729</v>
      </c>
      <c r="E3256" s="26">
        <v>13436</v>
      </c>
      <c r="F3256" s="29" t="s">
        <v>223</v>
      </c>
    </row>
    <row r="3257" spans="1:6" ht="58" x14ac:dyDescent="0.35">
      <c r="A3257" s="26" t="s">
        <v>216</v>
      </c>
      <c r="B3257" s="26" t="s">
        <v>6730</v>
      </c>
      <c r="C3257" s="26" t="s">
        <v>25</v>
      </c>
      <c r="D3257" s="28" t="s">
        <v>6731</v>
      </c>
      <c r="E3257" s="26">
        <v>0</v>
      </c>
      <c r="F3257" s="29" t="s">
        <v>226</v>
      </c>
    </row>
    <row r="3258" spans="1:6" ht="43.5" x14ac:dyDescent="0.35">
      <c r="A3258" s="26" t="s">
        <v>216</v>
      </c>
      <c r="B3258" s="26" t="s">
        <v>6732</v>
      </c>
      <c r="C3258" s="26" t="s">
        <v>27</v>
      </c>
      <c r="D3258" s="28" t="s">
        <v>6733</v>
      </c>
      <c r="E3258" s="26">
        <v>0</v>
      </c>
      <c r="F3258" s="29" t="s">
        <v>229</v>
      </c>
    </row>
    <row r="3259" spans="1:6" ht="29" x14ac:dyDescent="0.35">
      <c r="A3259" s="26" t="s">
        <v>216</v>
      </c>
      <c r="B3259" s="26" t="s">
        <v>6734</v>
      </c>
      <c r="C3259" s="26" t="s">
        <v>24</v>
      </c>
      <c r="D3259" s="28" t="s">
        <v>6735</v>
      </c>
      <c r="E3259" s="26">
        <v>0</v>
      </c>
      <c r="F3259" s="29" t="s">
        <v>232</v>
      </c>
    </row>
    <row r="3260" spans="1:6" ht="43.5" x14ac:dyDescent="0.35">
      <c r="A3260" s="26" t="s">
        <v>216</v>
      </c>
      <c r="B3260" s="26" t="s">
        <v>6736</v>
      </c>
      <c r="C3260" s="26" t="s">
        <v>15</v>
      </c>
      <c r="D3260" s="28" t="s">
        <v>218</v>
      </c>
      <c r="E3260" s="26" t="s">
        <v>6737</v>
      </c>
      <c r="F3260" s="29" t="s">
        <v>220</v>
      </c>
    </row>
    <row r="3261" spans="1:6" ht="29" x14ac:dyDescent="0.35">
      <c r="A3261" s="26" t="s">
        <v>216</v>
      </c>
      <c r="B3261" s="26" t="s">
        <v>6738</v>
      </c>
      <c r="C3261" s="26" t="s">
        <v>17</v>
      </c>
      <c r="D3261" s="28" t="s">
        <v>6739</v>
      </c>
      <c r="E3261" s="26">
        <v>13436</v>
      </c>
      <c r="F3261" s="29" t="s">
        <v>247</v>
      </c>
    </row>
    <row r="3262" spans="1:6" ht="29" x14ac:dyDescent="0.35">
      <c r="A3262" s="26" t="s">
        <v>216</v>
      </c>
      <c r="B3262" s="26" t="s">
        <v>6740</v>
      </c>
      <c r="C3262" s="26" t="s">
        <v>20</v>
      </c>
      <c r="D3262" s="28" t="s">
        <v>6741</v>
      </c>
      <c r="E3262" s="26">
        <v>13436</v>
      </c>
      <c r="F3262" s="29" t="s">
        <v>223</v>
      </c>
    </row>
    <row r="3263" spans="1:6" ht="58" x14ac:dyDescent="0.35">
      <c r="A3263" s="26" t="s">
        <v>216</v>
      </c>
      <c r="B3263" s="26" t="s">
        <v>6742</v>
      </c>
      <c r="C3263" s="26" t="s">
        <v>25</v>
      </c>
      <c r="D3263" s="28" t="s">
        <v>6743</v>
      </c>
      <c r="E3263" s="26">
        <v>0</v>
      </c>
      <c r="F3263" s="29" t="s">
        <v>226</v>
      </c>
    </row>
    <row r="3264" spans="1:6" ht="43.5" x14ac:dyDescent="0.35">
      <c r="A3264" s="26" t="s">
        <v>216</v>
      </c>
      <c r="B3264" s="26" t="s">
        <v>6744</v>
      </c>
      <c r="C3264" s="26" t="s">
        <v>27</v>
      </c>
      <c r="D3264" s="28" t="s">
        <v>6745</v>
      </c>
      <c r="E3264" s="26">
        <v>0</v>
      </c>
      <c r="F3264" s="29" t="s">
        <v>229</v>
      </c>
    </row>
    <row r="3265" spans="1:6" ht="29" x14ac:dyDescent="0.35">
      <c r="A3265" s="26" t="s">
        <v>216</v>
      </c>
      <c r="B3265" s="26" t="s">
        <v>6746</v>
      </c>
      <c r="C3265" s="26" t="s">
        <v>24</v>
      </c>
      <c r="D3265" s="28" t="s">
        <v>6747</v>
      </c>
      <c r="E3265" s="26">
        <v>0</v>
      </c>
      <c r="F3265" s="29" t="s">
        <v>232</v>
      </c>
    </row>
    <row r="3266" spans="1:6" ht="43.5" x14ac:dyDescent="0.35">
      <c r="A3266" s="26" t="s">
        <v>216</v>
      </c>
      <c r="B3266" s="26" t="s">
        <v>6748</v>
      </c>
      <c r="C3266" s="26" t="s">
        <v>15</v>
      </c>
      <c r="D3266" s="28" t="s">
        <v>218</v>
      </c>
      <c r="E3266" s="26" t="s">
        <v>6749</v>
      </c>
      <c r="F3266" s="29" t="s">
        <v>220</v>
      </c>
    </row>
    <row r="3267" spans="1:6" ht="29" x14ac:dyDescent="0.35">
      <c r="A3267" s="26" t="s">
        <v>216</v>
      </c>
      <c r="B3267" s="26" t="s">
        <v>6750</v>
      </c>
      <c r="C3267" s="26" t="s">
        <v>17</v>
      </c>
      <c r="D3267" s="28" t="s">
        <v>6751</v>
      </c>
      <c r="E3267" s="26">
        <v>13436</v>
      </c>
      <c r="F3267" s="29" t="s">
        <v>247</v>
      </c>
    </row>
    <row r="3268" spans="1:6" ht="29" x14ac:dyDescent="0.35">
      <c r="A3268" s="26" t="s">
        <v>216</v>
      </c>
      <c r="B3268" s="26" t="s">
        <v>6752</v>
      </c>
      <c r="C3268" s="26" t="s">
        <v>20</v>
      </c>
      <c r="D3268" s="28" t="s">
        <v>6753</v>
      </c>
      <c r="E3268" s="26">
        <v>13436</v>
      </c>
      <c r="F3268" s="29" t="s">
        <v>223</v>
      </c>
    </row>
    <row r="3269" spans="1:6" ht="58" x14ac:dyDescent="0.35">
      <c r="A3269" s="26" t="s">
        <v>216</v>
      </c>
      <c r="B3269" s="26" t="s">
        <v>6754</v>
      </c>
      <c r="C3269" s="26" t="s">
        <v>25</v>
      </c>
      <c r="D3269" s="28" t="s">
        <v>6755</v>
      </c>
      <c r="E3269" s="26">
        <v>0</v>
      </c>
      <c r="F3269" s="29" t="s">
        <v>226</v>
      </c>
    </row>
    <row r="3270" spans="1:6" ht="43.5" x14ac:dyDescent="0.35">
      <c r="A3270" s="26" t="s">
        <v>216</v>
      </c>
      <c r="B3270" s="26" t="s">
        <v>6756</v>
      </c>
      <c r="C3270" s="26" t="s">
        <v>27</v>
      </c>
      <c r="D3270" s="28" t="s">
        <v>6757</v>
      </c>
      <c r="E3270" s="26">
        <v>0</v>
      </c>
      <c r="F3270" s="29" t="s">
        <v>229</v>
      </c>
    </row>
    <row r="3271" spans="1:6" ht="29" x14ac:dyDescent="0.35">
      <c r="A3271" s="26" t="s">
        <v>216</v>
      </c>
      <c r="B3271" s="26" t="s">
        <v>6758</v>
      </c>
      <c r="C3271" s="26" t="s">
        <v>24</v>
      </c>
      <c r="D3271" s="28" t="s">
        <v>6759</v>
      </c>
      <c r="E3271" s="26">
        <v>0</v>
      </c>
      <c r="F3271" s="29" t="s">
        <v>232</v>
      </c>
    </row>
    <row r="3272" spans="1:6" ht="43.5" x14ac:dyDescent="0.35">
      <c r="A3272" s="26" t="s">
        <v>216</v>
      </c>
      <c r="B3272" s="26" t="s">
        <v>6760</v>
      </c>
      <c r="C3272" s="26" t="s">
        <v>15</v>
      </c>
      <c r="D3272" s="28" t="s">
        <v>218</v>
      </c>
      <c r="E3272" s="26" t="s">
        <v>6761</v>
      </c>
      <c r="F3272" s="29" t="s">
        <v>220</v>
      </c>
    </row>
    <row r="3273" spans="1:6" ht="29" x14ac:dyDescent="0.35">
      <c r="A3273" s="26" t="s">
        <v>216</v>
      </c>
      <c r="B3273" s="26" t="s">
        <v>6762</v>
      </c>
      <c r="C3273" s="26" t="s">
        <v>17</v>
      </c>
      <c r="D3273" s="28" t="s">
        <v>6763</v>
      </c>
      <c r="E3273" s="26">
        <v>13436</v>
      </c>
      <c r="F3273" s="29" t="s">
        <v>247</v>
      </c>
    </row>
    <row r="3274" spans="1:6" ht="29" x14ac:dyDescent="0.35">
      <c r="A3274" s="26" t="s">
        <v>216</v>
      </c>
      <c r="B3274" s="26" t="s">
        <v>6764</v>
      </c>
      <c r="C3274" s="26" t="s">
        <v>20</v>
      </c>
      <c r="D3274" s="28" t="s">
        <v>6765</v>
      </c>
      <c r="E3274" s="26">
        <v>13436</v>
      </c>
      <c r="F3274" s="29" t="s">
        <v>223</v>
      </c>
    </row>
    <row r="3275" spans="1:6" ht="58" x14ac:dyDescent="0.35">
      <c r="A3275" s="26" t="s">
        <v>216</v>
      </c>
      <c r="B3275" s="26" t="s">
        <v>6766</v>
      </c>
      <c r="C3275" s="26" t="s">
        <v>25</v>
      </c>
      <c r="D3275" s="28" t="s">
        <v>6767</v>
      </c>
      <c r="E3275" s="26">
        <v>0</v>
      </c>
      <c r="F3275" s="29" t="s">
        <v>226</v>
      </c>
    </row>
    <row r="3276" spans="1:6" ht="43.5" x14ac:dyDescent="0.35">
      <c r="A3276" s="26" t="s">
        <v>216</v>
      </c>
      <c r="B3276" s="26" t="s">
        <v>6768</v>
      </c>
      <c r="C3276" s="26" t="s">
        <v>27</v>
      </c>
      <c r="D3276" s="28" t="s">
        <v>6769</v>
      </c>
      <c r="E3276" s="26">
        <v>0</v>
      </c>
      <c r="F3276" s="29" t="s">
        <v>229</v>
      </c>
    </row>
    <row r="3277" spans="1:6" ht="29" x14ac:dyDescent="0.35">
      <c r="A3277" s="26" t="s">
        <v>216</v>
      </c>
      <c r="B3277" s="26" t="s">
        <v>6770</v>
      </c>
      <c r="C3277" s="26" t="s">
        <v>24</v>
      </c>
      <c r="D3277" s="28" t="s">
        <v>6771</v>
      </c>
      <c r="E3277" s="26">
        <v>0</v>
      </c>
      <c r="F3277" s="29" t="s">
        <v>232</v>
      </c>
    </row>
    <row r="3278" spans="1:6" ht="43.5" x14ac:dyDescent="0.35">
      <c r="A3278" s="26" t="s">
        <v>216</v>
      </c>
      <c r="B3278" s="26" t="s">
        <v>6772</v>
      </c>
      <c r="C3278" s="26" t="s">
        <v>15</v>
      </c>
      <c r="D3278" s="28" t="s">
        <v>218</v>
      </c>
      <c r="E3278" s="26" t="s">
        <v>6773</v>
      </c>
      <c r="F3278" s="29" t="s">
        <v>220</v>
      </c>
    </row>
    <row r="3279" spans="1:6" ht="29" x14ac:dyDescent="0.35">
      <c r="A3279" s="26" t="s">
        <v>216</v>
      </c>
      <c r="B3279" s="26" t="s">
        <v>6774</v>
      </c>
      <c r="C3279" s="26" t="s">
        <v>17</v>
      </c>
      <c r="D3279" s="28" t="s">
        <v>6775</v>
      </c>
      <c r="E3279" s="26">
        <v>13436</v>
      </c>
      <c r="F3279" s="29" t="s">
        <v>247</v>
      </c>
    </row>
    <row r="3280" spans="1:6" ht="29" x14ac:dyDescent="0.35">
      <c r="A3280" s="26" t="s">
        <v>216</v>
      </c>
      <c r="B3280" s="26" t="s">
        <v>6776</v>
      </c>
      <c r="C3280" s="26" t="s">
        <v>20</v>
      </c>
      <c r="D3280" s="28" t="s">
        <v>6777</v>
      </c>
      <c r="E3280" s="26">
        <v>13436</v>
      </c>
      <c r="F3280" s="29" t="s">
        <v>223</v>
      </c>
    </row>
    <row r="3281" spans="1:6" ht="58" x14ac:dyDescent="0.35">
      <c r="A3281" s="26" t="s">
        <v>216</v>
      </c>
      <c r="B3281" s="26" t="s">
        <v>6778</v>
      </c>
      <c r="C3281" s="26" t="s">
        <v>25</v>
      </c>
      <c r="D3281" s="28" t="s">
        <v>6779</v>
      </c>
      <c r="E3281" s="26">
        <v>0</v>
      </c>
      <c r="F3281" s="29" t="s">
        <v>226</v>
      </c>
    </row>
    <row r="3282" spans="1:6" ht="43.5" x14ac:dyDescent="0.35">
      <c r="A3282" s="26" t="s">
        <v>216</v>
      </c>
      <c r="B3282" s="26" t="s">
        <v>6780</v>
      </c>
      <c r="C3282" s="26" t="s">
        <v>27</v>
      </c>
      <c r="D3282" s="28" t="s">
        <v>6781</v>
      </c>
      <c r="E3282" s="26">
        <v>0</v>
      </c>
      <c r="F3282" s="29" t="s">
        <v>229</v>
      </c>
    </row>
    <row r="3283" spans="1:6" ht="29" x14ac:dyDescent="0.35">
      <c r="A3283" s="26" t="s">
        <v>216</v>
      </c>
      <c r="B3283" s="26" t="s">
        <v>6782</v>
      </c>
      <c r="C3283" s="26" t="s">
        <v>24</v>
      </c>
      <c r="D3283" s="28" t="s">
        <v>6783</v>
      </c>
      <c r="E3283" s="26">
        <v>0</v>
      </c>
      <c r="F3283" s="29" t="s">
        <v>232</v>
      </c>
    </row>
    <row r="3284" spans="1:6" ht="43.5" x14ac:dyDescent="0.35">
      <c r="A3284" s="26" t="s">
        <v>216</v>
      </c>
      <c r="B3284" s="26" t="s">
        <v>6784</v>
      </c>
      <c r="C3284" s="26" t="s">
        <v>15</v>
      </c>
      <c r="D3284" s="28" t="s">
        <v>218</v>
      </c>
      <c r="E3284" s="26" t="s">
        <v>6785</v>
      </c>
      <c r="F3284" s="29" t="s">
        <v>220</v>
      </c>
    </row>
    <row r="3285" spans="1:6" ht="29" x14ac:dyDescent="0.35">
      <c r="A3285" s="26" t="s">
        <v>216</v>
      </c>
      <c r="B3285" s="26" t="s">
        <v>6786</v>
      </c>
      <c r="C3285" s="26" t="s">
        <v>17</v>
      </c>
      <c r="D3285" s="28" t="s">
        <v>6787</v>
      </c>
      <c r="E3285" s="26">
        <v>13436</v>
      </c>
      <c r="F3285" s="29" t="s">
        <v>247</v>
      </c>
    </row>
    <row r="3286" spans="1:6" ht="29" x14ac:dyDescent="0.35">
      <c r="A3286" s="26" t="s">
        <v>216</v>
      </c>
      <c r="B3286" s="26" t="s">
        <v>6788</v>
      </c>
      <c r="C3286" s="26" t="s">
        <v>20</v>
      </c>
      <c r="D3286" s="28" t="s">
        <v>6789</v>
      </c>
      <c r="E3286" s="26">
        <v>13436</v>
      </c>
      <c r="F3286" s="29" t="s">
        <v>223</v>
      </c>
    </row>
    <row r="3287" spans="1:6" ht="58" x14ac:dyDescent="0.35">
      <c r="A3287" s="26" t="s">
        <v>216</v>
      </c>
      <c r="B3287" s="26" t="s">
        <v>6790</v>
      </c>
      <c r="C3287" s="26" t="s">
        <v>25</v>
      </c>
      <c r="D3287" s="28" t="s">
        <v>6791</v>
      </c>
      <c r="E3287" s="26">
        <v>0</v>
      </c>
      <c r="F3287" s="29" t="s">
        <v>226</v>
      </c>
    </row>
    <row r="3288" spans="1:6" ht="43.5" x14ac:dyDescent="0.35">
      <c r="A3288" s="26" t="s">
        <v>216</v>
      </c>
      <c r="B3288" s="26" t="s">
        <v>6792</v>
      </c>
      <c r="C3288" s="26" t="s">
        <v>27</v>
      </c>
      <c r="D3288" s="28" t="s">
        <v>6793</v>
      </c>
      <c r="E3288" s="26">
        <v>0</v>
      </c>
      <c r="F3288" s="29" t="s">
        <v>229</v>
      </c>
    </row>
    <row r="3289" spans="1:6" ht="29" x14ac:dyDescent="0.35">
      <c r="A3289" s="26" t="s">
        <v>216</v>
      </c>
      <c r="B3289" s="26" t="s">
        <v>6794</v>
      </c>
      <c r="C3289" s="26" t="s">
        <v>24</v>
      </c>
      <c r="D3289" s="28" t="s">
        <v>6795</v>
      </c>
      <c r="E3289" s="26">
        <v>0</v>
      </c>
      <c r="F3289" s="29" t="s">
        <v>232</v>
      </c>
    </row>
    <row r="3290" spans="1:6" ht="43.5" x14ac:dyDescent="0.35">
      <c r="A3290" s="26" t="s">
        <v>216</v>
      </c>
      <c r="B3290" s="26" t="s">
        <v>6796</v>
      </c>
      <c r="C3290" s="26" t="s">
        <v>15</v>
      </c>
      <c r="D3290" s="28" t="s">
        <v>218</v>
      </c>
      <c r="E3290" s="26" t="s">
        <v>6797</v>
      </c>
      <c r="F3290" s="29" t="s">
        <v>220</v>
      </c>
    </row>
    <row r="3291" spans="1:6" ht="29" x14ac:dyDescent="0.35">
      <c r="A3291" s="26" t="s">
        <v>216</v>
      </c>
      <c r="B3291" s="26" t="s">
        <v>6798</v>
      </c>
      <c r="C3291" s="26" t="s">
        <v>17</v>
      </c>
      <c r="D3291" s="28" t="s">
        <v>6799</v>
      </c>
      <c r="E3291" s="26">
        <v>13436</v>
      </c>
      <c r="F3291" s="29" t="s">
        <v>247</v>
      </c>
    </row>
    <row r="3292" spans="1:6" ht="29" x14ac:dyDescent="0.35">
      <c r="A3292" s="26" t="s">
        <v>216</v>
      </c>
      <c r="B3292" s="26" t="s">
        <v>6800</v>
      </c>
      <c r="C3292" s="26" t="s">
        <v>20</v>
      </c>
      <c r="D3292" s="28" t="s">
        <v>6801</v>
      </c>
      <c r="E3292" s="26">
        <v>13436</v>
      </c>
      <c r="F3292" s="29" t="s">
        <v>223</v>
      </c>
    </row>
    <row r="3293" spans="1:6" ht="58" x14ac:dyDescent="0.35">
      <c r="A3293" s="26" t="s">
        <v>216</v>
      </c>
      <c r="B3293" s="26" t="s">
        <v>6802</v>
      </c>
      <c r="C3293" s="26" t="s">
        <v>25</v>
      </c>
      <c r="D3293" s="28" t="s">
        <v>6803</v>
      </c>
      <c r="E3293" s="26">
        <v>0</v>
      </c>
      <c r="F3293" s="29" t="s">
        <v>226</v>
      </c>
    </row>
    <row r="3294" spans="1:6" ht="43.5" x14ac:dyDescent="0.35">
      <c r="A3294" s="26" t="s">
        <v>216</v>
      </c>
      <c r="B3294" s="26" t="s">
        <v>6804</v>
      </c>
      <c r="C3294" s="26" t="s">
        <v>27</v>
      </c>
      <c r="D3294" s="28" t="s">
        <v>6805</v>
      </c>
      <c r="E3294" s="26">
        <v>0</v>
      </c>
      <c r="F3294" s="29" t="s">
        <v>229</v>
      </c>
    </row>
    <row r="3295" spans="1:6" ht="29" x14ac:dyDescent="0.35">
      <c r="A3295" s="26" t="s">
        <v>216</v>
      </c>
      <c r="B3295" s="26" t="s">
        <v>6806</v>
      </c>
      <c r="C3295" s="26" t="s">
        <v>24</v>
      </c>
      <c r="D3295" s="28" t="s">
        <v>6807</v>
      </c>
      <c r="E3295" s="26">
        <v>0</v>
      </c>
      <c r="F3295" s="29" t="s">
        <v>232</v>
      </c>
    </row>
    <row r="3296" spans="1:6" ht="43.5" x14ac:dyDescent="0.35">
      <c r="A3296" s="26" t="s">
        <v>216</v>
      </c>
      <c r="B3296" s="26" t="s">
        <v>6808</v>
      </c>
      <c r="C3296" s="26" t="s">
        <v>15</v>
      </c>
      <c r="D3296" s="28" t="s">
        <v>218</v>
      </c>
      <c r="E3296" s="26" t="s">
        <v>6809</v>
      </c>
      <c r="F3296" s="29" t="s">
        <v>220</v>
      </c>
    </row>
    <row r="3297" spans="1:6" ht="29" x14ac:dyDescent="0.35">
      <c r="A3297" s="26" t="s">
        <v>216</v>
      </c>
      <c r="B3297" s="26" t="s">
        <v>6810</v>
      </c>
      <c r="C3297" s="26" t="s">
        <v>17</v>
      </c>
      <c r="D3297" s="28" t="s">
        <v>6811</v>
      </c>
      <c r="E3297" s="26">
        <v>13436</v>
      </c>
      <c r="F3297" s="29" t="s">
        <v>247</v>
      </c>
    </row>
    <row r="3298" spans="1:6" ht="29" x14ac:dyDescent="0.35">
      <c r="A3298" s="26" t="s">
        <v>216</v>
      </c>
      <c r="B3298" s="26" t="s">
        <v>6812</v>
      </c>
      <c r="C3298" s="26" t="s">
        <v>20</v>
      </c>
      <c r="D3298" s="28" t="s">
        <v>6813</v>
      </c>
      <c r="E3298" s="26">
        <v>13436</v>
      </c>
      <c r="F3298" s="29" t="s">
        <v>223</v>
      </c>
    </row>
    <row r="3299" spans="1:6" ht="58" x14ac:dyDescent="0.35">
      <c r="A3299" s="26" t="s">
        <v>216</v>
      </c>
      <c r="B3299" s="26" t="s">
        <v>6814</v>
      </c>
      <c r="C3299" s="26" t="s">
        <v>25</v>
      </c>
      <c r="D3299" s="28" t="s">
        <v>6815</v>
      </c>
      <c r="E3299" s="26">
        <v>0</v>
      </c>
      <c r="F3299" s="29" t="s">
        <v>226</v>
      </c>
    </row>
    <row r="3300" spans="1:6" ht="43.5" x14ac:dyDescent="0.35">
      <c r="A3300" s="26" t="s">
        <v>216</v>
      </c>
      <c r="B3300" s="26" t="s">
        <v>6816</v>
      </c>
      <c r="C3300" s="26" t="s">
        <v>27</v>
      </c>
      <c r="D3300" s="28" t="s">
        <v>6817</v>
      </c>
      <c r="E3300" s="26">
        <v>0</v>
      </c>
      <c r="F3300" s="29" t="s">
        <v>229</v>
      </c>
    </row>
    <row r="3301" spans="1:6" ht="29" x14ac:dyDescent="0.35">
      <c r="A3301" s="26" t="s">
        <v>216</v>
      </c>
      <c r="B3301" s="26" t="s">
        <v>6818</v>
      </c>
      <c r="C3301" s="26" t="s">
        <v>24</v>
      </c>
      <c r="D3301" s="28" t="s">
        <v>6819</v>
      </c>
      <c r="E3301" s="26">
        <v>0</v>
      </c>
      <c r="F3301" s="29" t="s">
        <v>232</v>
      </c>
    </row>
    <row r="3302" spans="1:6" ht="43.5" x14ac:dyDescent="0.35">
      <c r="A3302" s="26" t="s">
        <v>216</v>
      </c>
      <c r="B3302" s="26" t="s">
        <v>6820</v>
      </c>
      <c r="C3302" s="26" t="s">
        <v>15</v>
      </c>
      <c r="D3302" s="28" t="s">
        <v>218</v>
      </c>
      <c r="E3302" s="26" t="s">
        <v>6821</v>
      </c>
      <c r="F3302" s="29" t="s">
        <v>220</v>
      </c>
    </row>
    <row r="3303" spans="1:6" ht="29" x14ac:dyDescent="0.35">
      <c r="A3303" s="26" t="s">
        <v>216</v>
      </c>
      <c r="B3303" s="26" t="s">
        <v>6822</v>
      </c>
      <c r="C3303" s="26" t="s">
        <v>17</v>
      </c>
      <c r="D3303" s="28" t="s">
        <v>6823</v>
      </c>
      <c r="E3303" s="26">
        <v>13436</v>
      </c>
      <c r="F3303" s="29" t="s">
        <v>247</v>
      </c>
    </row>
    <row r="3304" spans="1:6" ht="29" x14ac:dyDescent="0.35">
      <c r="A3304" s="26" t="s">
        <v>216</v>
      </c>
      <c r="B3304" s="26" t="s">
        <v>6824</v>
      </c>
      <c r="C3304" s="26" t="s">
        <v>20</v>
      </c>
      <c r="D3304" s="28" t="s">
        <v>6825</v>
      </c>
      <c r="E3304" s="26">
        <v>13436</v>
      </c>
      <c r="F3304" s="29" t="s">
        <v>223</v>
      </c>
    </row>
    <row r="3305" spans="1:6" ht="58" x14ac:dyDescent="0.35">
      <c r="A3305" s="26" t="s">
        <v>216</v>
      </c>
      <c r="B3305" s="26" t="s">
        <v>6826</v>
      </c>
      <c r="C3305" s="26" t="s">
        <v>25</v>
      </c>
      <c r="D3305" s="28" t="s">
        <v>6827</v>
      </c>
      <c r="E3305" s="26">
        <v>0</v>
      </c>
      <c r="F3305" s="29" t="s">
        <v>226</v>
      </c>
    </row>
    <row r="3306" spans="1:6" ht="43.5" x14ac:dyDescent="0.35">
      <c r="A3306" s="26" t="s">
        <v>216</v>
      </c>
      <c r="B3306" s="26" t="s">
        <v>6828</v>
      </c>
      <c r="C3306" s="26" t="s">
        <v>27</v>
      </c>
      <c r="D3306" s="28" t="s">
        <v>6829</v>
      </c>
      <c r="E3306" s="26">
        <v>0</v>
      </c>
      <c r="F3306" s="29" t="s">
        <v>229</v>
      </c>
    </row>
    <row r="3307" spans="1:6" ht="29" x14ac:dyDescent="0.35">
      <c r="A3307" s="26" t="s">
        <v>216</v>
      </c>
      <c r="B3307" s="26" t="s">
        <v>6830</v>
      </c>
      <c r="C3307" s="26" t="s">
        <v>24</v>
      </c>
      <c r="D3307" s="28" t="s">
        <v>6831</v>
      </c>
      <c r="E3307" s="26">
        <v>0</v>
      </c>
      <c r="F3307" s="29" t="s">
        <v>232</v>
      </c>
    </row>
    <row r="3308" spans="1:6" ht="43.5" x14ac:dyDescent="0.35">
      <c r="A3308" s="26" t="s">
        <v>216</v>
      </c>
      <c r="B3308" s="26" t="s">
        <v>6832</v>
      </c>
      <c r="C3308" s="26" t="s">
        <v>15</v>
      </c>
      <c r="D3308" s="28" t="s">
        <v>218</v>
      </c>
      <c r="E3308" s="26" t="s">
        <v>6833</v>
      </c>
      <c r="F3308" s="29" t="s">
        <v>220</v>
      </c>
    </row>
    <row r="3309" spans="1:6" ht="29" x14ac:dyDescent="0.35">
      <c r="A3309" s="26" t="s">
        <v>216</v>
      </c>
      <c r="B3309" s="26" t="s">
        <v>6834</v>
      </c>
      <c r="C3309" s="26" t="s">
        <v>17</v>
      </c>
      <c r="D3309" s="28" t="s">
        <v>6835</v>
      </c>
      <c r="E3309" s="26">
        <v>13436</v>
      </c>
      <c r="F3309" s="29" t="s">
        <v>247</v>
      </c>
    </row>
    <row r="3310" spans="1:6" ht="29" x14ac:dyDescent="0.35">
      <c r="A3310" s="26" t="s">
        <v>216</v>
      </c>
      <c r="B3310" s="26" t="s">
        <v>6836</v>
      </c>
      <c r="C3310" s="26" t="s">
        <v>20</v>
      </c>
      <c r="D3310" s="28" t="s">
        <v>6837</v>
      </c>
      <c r="E3310" s="26">
        <v>13436</v>
      </c>
      <c r="F3310" s="29" t="s">
        <v>223</v>
      </c>
    </row>
    <row r="3311" spans="1:6" ht="58" x14ac:dyDescent="0.35">
      <c r="A3311" s="26" t="s">
        <v>216</v>
      </c>
      <c r="B3311" s="26" t="s">
        <v>6838</v>
      </c>
      <c r="C3311" s="26" t="s">
        <v>25</v>
      </c>
      <c r="D3311" s="28" t="s">
        <v>6839</v>
      </c>
      <c r="E3311" s="26">
        <v>0</v>
      </c>
      <c r="F3311" s="29" t="s">
        <v>226</v>
      </c>
    </row>
    <row r="3312" spans="1:6" ht="43.5" x14ac:dyDescent="0.35">
      <c r="A3312" s="26" t="s">
        <v>216</v>
      </c>
      <c r="B3312" s="26" t="s">
        <v>6840</v>
      </c>
      <c r="C3312" s="26" t="s">
        <v>27</v>
      </c>
      <c r="D3312" s="28" t="s">
        <v>6841</v>
      </c>
      <c r="E3312" s="26">
        <v>0</v>
      </c>
      <c r="F3312" s="29" t="s">
        <v>229</v>
      </c>
    </row>
    <row r="3313" spans="1:6" ht="29" x14ac:dyDescent="0.35">
      <c r="A3313" s="26" t="s">
        <v>216</v>
      </c>
      <c r="B3313" s="26" t="s">
        <v>6842</v>
      </c>
      <c r="C3313" s="26" t="s">
        <v>24</v>
      </c>
      <c r="D3313" s="28" t="s">
        <v>6843</v>
      </c>
      <c r="E3313" s="26">
        <v>0</v>
      </c>
      <c r="F3313" s="29" t="s">
        <v>232</v>
      </c>
    </row>
    <row r="3314" spans="1:6" ht="43.5" x14ac:dyDescent="0.35">
      <c r="A3314" s="26" t="s">
        <v>216</v>
      </c>
      <c r="B3314" s="26" t="s">
        <v>6844</v>
      </c>
      <c r="C3314" s="26" t="s">
        <v>15</v>
      </c>
      <c r="D3314" s="28" t="s">
        <v>218</v>
      </c>
      <c r="E3314" s="26" t="s">
        <v>6845</v>
      </c>
      <c r="F3314" s="29" t="s">
        <v>220</v>
      </c>
    </row>
    <row r="3315" spans="1:6" ht="29" x14ac:dyDescent="0.35">
      <c r="A3315" s="26" t="s">
        <v>216</v>
      </c>
      <c r="B3315" s="26" t="s">
        <v>6846</v>
      </c>
      <c r="C3315" s="26" t="s">
        <v>17</v>
      </c>
      <c r="D3315" s="28" t="s">
        <v>6847</v>
      </c>
      <c r="E3315" s="26">
        <v>13436</v>
      </c>
      <c r="F3315" s="29" t="s">
        <v>247</v>
      </c>
    </row>
    <row r="3316" spans="1:6" ht="29" x14ac:dyDescent="0.35">
      <c r="A3316" s="26" t="s">
        <v>216</v>
      </c>
      <c r="B3316" s="26" t="s">
        <v>6848</v>
      </c>
      <c r="C3316" s="26" t="s">
        <v>20</v>
      </c>
      <c r="D3316" s="28" t="s">
        <v>6849</v>
      </c>
      <c r="E3316" s="26">
        <v>13436</v>
      </c>
      <c r="F3316" s="29" t="s">
        <v>223</v>
      </c>
    </row>
    <row r="3317" spans="1:6" ht="58" x14ac:dyDescent="0.35">
      <c r="A3317" s="26" t="s">
        <v>216</v>
      </c>
      <c r="B3317" s="26" t="s">
        <v>6850</v>
      </c>
      <c r="C3317" s="26" t="s">
        <v>25</v>
      </c>
      <c r="D3317" s="28" t="s">
        <v>6851</v>
      </c>
      <c r="E3317" s="26">
        <v>0</v>
      </c>
      <c r="F3317" s="29" t="s">
        <v>226</v>
      </c>
    </row>
    <row r="3318" spans="1:6" ht="43.5" x14ac:dyDescent="0.35">
      <c r="A3318" s="26" t="s">
        <v>216</v>
      </c>
      <c r="B3318" s="26" t="s">
        <v>6852</v>
      </c>
      <c r="C3318" s="26" t="s">
        <v>27</v>
      </c>
      <c r="D3318" s="28" t="s">
        <v>6853</v>
      </c>
      <c r="E3318" s="26">
        <v>0</v>
      </c>
      <c r="F3318" s="29" t="s">
        <v>229</v>
      </c>
    </row>
    <row r="3319" spans="1:6" ht="29" x14ac:dyDescent="0.35">
      <c r="A3319" s="26" t="s">
        <v>216</v>
      </c>
      <c r="B3319" s="26" t="s">
        <v>6854</v>
      </c>
      <c r="C3319" s="26" t="s">
        <v>24</v>
      </c>
      <c r="D3319" s="28" t="s">
        <v>6855</v>
      </c>
      <c r="E3319" s="26">
        <v>0</v>
      </c>
      <c r="F3319" s="29" t="s">
        <v>232</v>
      </c>
    </row>
    <row r="3320" spans="1:6" ht="43.5" x14ac:dyDescent="0.35">
      <c r="A3320" s="26" t="s">
        <v>216</v>
      </c>
      <c r="B3320" s="26" t="s">
        <v>6856</v>
      </c>
      <c r="C3320" s="26" t="s">
        <v>15</v>
      </c>
      <c r="D3320" s="28" t="s">
        <v>218</v>
      </c>
      <c r="E3320" s="26" t="s">
        <v>6857</v>
      </c>
      <c r="F3320" s="29" t="s">
        <v>220</v>
      </c>
    </row>
    <row r="3321" spans="1:6" ht="29" x14ac:dyDescent="0.35">
      <c r="A3321" s="26" t="s">
        <v>216</v>
      </c>
      <c r="B3321" s="26" t="s">
        <v>6858</v>
      </c>
      <c r="C3321" s="26" t="s">
        <v>17</v>
      </c>
      <c r="D3321" s="28" t="s">
        <v>6859</v>
      </c>
      <c r="E3321" s="26">
        <v>13436</v>
      </c>
      <c r="F3321" s="29" t="s">
        <v>247</v>
      </c>
    </row>
    <row r="3322" spans="1:6" ht="29" x14ac:dyDescent="0.35">
      <c r="A3322" s="26" t="s">
        <v>216</v>
      </c>
      <c r="B3322" s="26" t="s">
        <v>6860</v>
      </c>
      <c r="C3322" s="26" t="s">
        <v>20</v>
      </c>
      <c r="D3322" s="28" t="s">
        <v>6861</v>
      </c>
      <c r="E3322" s="26">
        <v>13436</v>
      </c>
      <c r="F3322" s="29" t="s">
        <v>223</v>
      </c>
    </row>
    <row r="3323" spans="1:6" ht="58" x14ac:dyDescent="0.35">
      <c r="A3323" s="26" t="s">
        <v>216</v>
      </c>
      <c r="B3323" s="26" t="s">
        <v>6862</v>
      </c>
      <c r="C3323" s="26" t="s">
        <v>25</v>
      </c>
      <c r="D3323" s="28" t="s">
        <v>6863</v>
      </c>
      <c r="E3323" s="26">
        <v>0</v>
      </c>
      <c r="F3323" s="29" t="s">
        <v>226</v>
      </c>
    </row>
    <row r="3324" spans="1:6" ht="43.5" x14ac:dyDescent="0.35">
      <c r="A3324" s="26" t="s">
        <v>216</v>
      </c>
      <c r="B3324" s="26" t="s">
        <v>6864</v>
      </c>
      <c r="C3324" s="26" t="s">
        <v>27</v>
      </c>
      <c r="D3324" s="28" t="s">
        <v>6865</v>
      </c>
      <c r="E3324" s="26">
        <v>0</v>
      </c>
      <c r="F3324" s="29" t="s">
        <v>229</v>
      </c>
    </row>
    <row r="3325" spans="1:6" ht="29" x14ac:dyDescent="0.35">
      <c r="A3325" s="26" t="s">
        <v>216</v>
      </c>
      <c r="B3325" s="26" t="s">
        <v>6866</v>
      </c>
      <c r="C3325" s="26" t="s">
        <v>24</v>
      </c>
      <c r="D3325" s="28" t="s">
        <v>6867</v>
      </c>
      <c r="E3325" s="26">
        <v>0</v>
      </c>
      <c r="F3325" s="29" t="s">
        <v>232</v>
      </c>
    </row>
    <row r="3326" spans="1:6" ht="43.5" x14ac:dyDescent="0.35">
      <c r="A3326" s="26" t="s">
        <v>216</v>
      </c>
      <c r="B3326" s="26" t="s">
        <v>6868</v>
      </c>
      <c r="C3326" s="26" t="s">
        <v>15</v>
      </c>
      <c r="D3326" s="28" t="s">
        <v>218</v>
      </c>
      <c r="E3326" s="26" t="s">
        <v>6869</v>
      </c>
      <c r="F3326" s="29" t="s">
        <v>220</v>
      </c>
    </row>
    <row r="3327" spans="1:6" ht="29" x14ac:dyDescent="0.35">
      <c r="A3327" s="26" t="s">
        <v>216</v>
      </c>
      <c r="B3327" s="26" t="s">
        <v>6870</v>
      </c>
      <c r="C3327" s="26" t="s">
        <v>17</v>
      </c>
      <c r="D3327" s="28" t="s">
        <v>6871</v>
      </c>
      <c r="E3327" s="26">
        <v>13436</v>
      </c>
      <c r="F3327" s="29" t="s">
        <v>247</v>
      </c>
    </row>
    <row r="3328" spans="1:6" ht="29" x14ac:dyDescent="0.35">
      <c r="A3328" s="26" t="s">
        <v>216</v>
      </c>
      <c r="B3328" s="26" t="s">
        <v>6872</v>
      </c>
      <c r="C3328" s="26" t="s">
        <v>20</v>
      </c>
      <c r="D3328" s="28" t="s">
        <v>6873</v>
      </c>
      <c r="E3328" s="26">
        <v>13436</v>
      </c>
      <c r="F3328" s="29" t="s">
        <v>223</v>
      </c>
    </row>
    <row r="3329" spans="1:6" ht="58" x14ac:dyDescent="0.35">
      <c r="A3329" s="26" t="s">
        <v>216</v>
      </c>
      <c r="B3329" s="26" t="s">
        <v>6874</v>
      </c>
      <c r="C3329" s="26" t="s">
        <v>25</v>
      </c>
      <c r="D3329" s="28" t="s">
        <v>6875</v>
      </c>
      <c r="E3329" s="26">
        <v>0</v>
      </c>
      <c r="F3329" s="29" t="s">
        <v>226</v>
      </c>
    </row>
    <row r="3330" spans="1:6" ht="43.5" x14ac:dyDescent="0.35">
      <c r="A3330" s="26" t="s">
        <v>216</v>
      </c>
      <c r="B3330" s="26" t="s">
        <v>6876</v>
      </c>
      <c r="C3330" s="26" t="s">
        <v>27</v>
      </c>
      <c r="D3330" s="28" t="s">
        <v>6877</v>
      </c>
      <c r="E3330" s="26">
        <v>0</v>
      </c>
      <c r="F3330" s="29" t="s">
        <v>229</v>
      </c>
    </row>
    <row r="3331" spans="1:6" ht="29" x14ac:dyDescent="0.35">
      <c r="A3331" s="26" t="s">
        <v>216</v>
      </c>
      <c r="B3331" s="26" t="s">
        <v>6878</v>
      </c>
      <c r="C3331" s="26" t="s">
        <v>24</v>
      </c>
      <c r="D3331" s="28" t="s">
        <v>6879</v>
      </c>
      <c r="E3331" s="26">
        <v>0</v>
      </c>
      <c r="F3331" s="29" t="s">
        <v>232</v>
      </c>
    </row>
    <row r="3332" spans="1:6" ht="43.5" x14ac:dyDescent="0.35">
      <c r="A3332" s="26" t="s">
        <v>216</v>
      </c>
      <c r="B3332" s="26" t="s">
        <v>6880</v>
      </c>
      <c r="C3332" s="26" t="s">
        <v>15</v>
      </c>
      <c r="D3332" s="28" t="s">
        <v>218</v>
      </c>
      <c r="E3332" s="26" t="s">
        <v>6881</v>
      </c>
      <c r="F3332" s="29" t="s">
        <v>220</v>
      </c>
    </row>
    <row r="3333" spans="1:6" ht="29" x14ac:dyDescent="0.35">
      <c r="A3333" s="26" t="s">
        <v>216</v>
      </c>
      <c r="B3333" s="26" t="s">
        <v>6882</v>
      </c>
      <c r="C3333" s="26" t="s">
        <v>17</v>
      </c>
      <c r="D3333" s="28" t="s">
        <v>6883</v>
      </c>
      <c r="E3333" s="26">
        <v>13436</v>
      </c>
      <c r="F3333" s="29" t="s">
        <v>247</v>
      </c>
    </row>
    <row r="3334" spans="1:6" ht="29" x14ac:dyDescent="0.35">
      <c r="A3334" s="26" t="s">
        <v>216</v>
      </c>
      <c r="B3334" s="26" t="s">
        <v>6884</v>
      </c>
      <c r="C3334" s="26" t="s">
        <v>20</v>
      </c>
      <c r="D3334" s="28" t="s">
        <v>6885</v>
      </c>
      <c r="E3334" s="26">
        <v>13436</v>
      </c>
      <c r="F3334" s="29" t="s">
        <v>223</v>
      </c>
    </row>
    <row r="3335" spans="1:6" ht="58" x14ac:dyDescent="0.35">
      <c r="A3335" s="26" t="s">
        <v>216</v>
      </c>
      <c r="B3335" s="26" t="s">
        <v>6886</v>
      </c>
      <c r="C3335" s="26" t="s">
        <v>25</v>
      </c>
      <c r="D3335" s="28" t="s">
        <v>6887</v>
      </c>
      <c r="E3335" s="26">
        <v>0</v>
      </c>
      <c r="F3335" s="29" t="s">
        <v>226</v>
      </c>
    </row>
    <row r="3336" spans="1:6" ht="43.5" x14ac:dyDescent="0.35">
      <c r="A3336" s="26" t="s">
        <v>216</v>
      </c>
      <c r="B3336" s="26" t="s">
        <v>6888</v>
      </c>
      <c r="C3336" s="26" t="s">
        <v>27</v>
      </c>
      <c r="D3336" s="28" t="s">
        <v>6889</v>
      </c>
      <c r="E3336" s="26">
        <v>0</v>
      </c>
      <c r="F3336" s="29" t="s">
        <v>229</v>
      </c>
    </row>
    <row r="3337" spans="1:6" ht="29" x14ac:dyDescent="0.35">
      <c r="A3337" s="26" t="s">
        <v>216</v>
      </c>
      <c r="B3337" s="26" t="s">
        <v>6890</v>
      </c>
      <c r="C3337" s="26" t="s">
        <v>24</v>
      </c>
      <c r="D3337" s="28" t="s">
        <v>6891</v>
      </c>
      <c r="E3337" s="26">
        <v>0</v>
      </c>
      <c r="F3337" s="29" t="s">
        <v>232</v>
      </c>
    </row>
    <row r="3338" spans="1:6" ht="43.5" x14ac:dyDescent="0.35">
      <c r="A3338" s="26" t="s">
        <v>216</v>
      </c>
      <c r="B3338" s="26" t="s">
        <v>6892</v>
      </c>
      <c r="C3338" s="26" t="s">
        <v>15</v>
      </c>
      <c r="D3338" s="28" t="s">
        <v>218</v>
      </c>
      <c r="E3338" s="26" t="s">
        <v>6893</v>
      </c>
      <c r="F3338" s="29" t="s">
        <v>220</v>
      </c>
    </row>
    <row r="3339" spans="1:6" ht="29" x14ac:dyDescent="0.35">
      <c r="A3339" s="26" t="s">
        <v>216</v>
      </c>
      <c r="B3339" s="26" t="s">
        <v>6894</v>
      </c>
      <c r="C3339" s="26" t="s">
        <v>17</v>
      </c>
      <c r="D3339" s="28" t="s">
        <v>6895</v>
      </c>
      <c r="E3339" s="26">
        <v>13436</v>
      </c>
      <c r="F3339" s="29" t="s">
        <v>247</v>
      </c>
    </row>
    <row r="3340" spans="1:6" ht="29" x14ac:dyDescent="0.35">
      <c r="A3340" s="26" t="s">
        <v>216</v>
      </c>
      <c r="B3340" s="26" t="s">
        <v>6896</v>
      </c>
      <c r="C3340" s="26" t="s">
        <v>20</v>
      </c>
      <c r="D3340" s="28" t="s">
        <v>6897</v>
      </c>
      <c r="E3340" s="26">
        <v>13436</v>
      </c>
      <c r="F3340" s="29" t="s">
        <v>223</v>
      </c>
    </row>
    <row r="3341" spans="1:6" ht="58" x14ac:dyDescent="0.35">
      <c r="A3341" s="26" t="s">
        <v>216</v>
      </c>
      <c r="B3341" s="26" t="s">
        <v>6898</v>
      </c>
      <c r="C3341" s="26" t="s">
        <v>25</v>
      </c>
      <c r="D3341" s="28" t="s">
        <v>6899</v>
      </c>
      <c r="E3341" s="26">
        <v>0</v>
      </c>
      <c r="F3341" s="29" t="s">
        <v>226</v>
      </c>
    </row>
    <row r="3342" spans="1:6" ht="43.5" x14ac:dyDescent="0.35">
      <c r="A3342" s="26" t="s">
        <v>216</v>
      </c>
      <c r="B3342" s="26" t="s">
        <v>6900</v>
      </c>
      <c r="C3342" s="26" t="s">
        <v>27</v>
      </c>
      <c r="D3342" s="28" t="s">
        <v>6901</v>
      </c>
      <c r="E3342" s="26">
        <v>0</v>
      </c>
      <c r="F3342" s="29" t="s">
        <v>229</v>
      </c>
    </row>
    <row r="3343" spans="1:6" ht="29" x14ac:dyDescent="0.35">
      <c r="A3343" s="26" t="s">
        <v>216</v>
      </c>
      <c r="B3343" s="26" t="s">
        <v>6902</v>
      </c>
      <c r="C3343" s="26" t="s">
        <v>24</v>
      </c>
      <c r="D3343" s="28" t="s">
        <v>6903</v>
      </c>
      <c r="E3343" s="26">
        <v>0</v>
      </c>
      <c r="F3343" s="29" t="s">
        <v>232</v>
      </c>
    </row>
    <row r="3344" spans="1:6" ht="43.5" x14ac:dyDescent="0.35">
      <c r="A3344" s="26" t="s">
        <v>216</v>
      </c>
      <c r="B3344" s="26" t="s">
        <v>6904</v>
      </c>
      <c r="C3344" s="26" t="s">
        <v>15</v>
      </c>
      <c r="D3344" s="28" t="s">
        <v>218</v>
      </c>
      <c r="E3344" s="26" t="s">
        <v>6905</v>
      </c>
      <c r="F3344" s="29" t="s">
        <v>220</v>
      </c>
    </row>
    <row r="3345" spans="1:6" ht="29" x14ac:dyDescent="0.35">
      <c r="A3345" s="26" t="s">
        <v>216</v>
      </c>
      <c r="B3345" s="26" t="s">
        <v>6906</v>
      </c>
      <c r="C3345" s="26" t="s">
        <v>17</v>
      </c>
      <c r="D3345" s="28" t="s">
        <v>6907</v>
      </c>
      <c r="E3345" s="26">
        <v>13436</v>
      </c>
      <c r="F3345" s="29" t="s">
        <v>247</v>
      </c>
    </row>
    <row r="3346" spans="1:6" ht="29" x14ac:dyDescent="0.35">
      <c r="A3346" s="26" t="s">
        <v>216</v>
      </c>
      <c r="B3346" s="26" t="s">
        <v>6908</v>
      </c>
      <c r="C3346" s="26" t="s">
        <v>20</v>
      </c>
      <c r="D3346" s="28" t="s">
        <v>6909</v>
      </c>
      <c r="E3346" s="26">
        <v>13436</v>
      </c>
      <c r="F3346" s="29" t="s">
        <v>223</v>
      </c>
    </row>
    <row r="3347" spans="1:6" ht="58" x14ac:dyDescent="0.35">
      <c r="A3347" s="26" t="s">
        <v>216</v>
      </c>
      <c r="B3347" s="26" t="s">
        <v>6910</v>
      </c>
      <c r="C3347" s="26" t="s">
        <v>25</v>
      </c>
      <c r="D3347" s="28" t="s">
        <v>6911</v>
      </c>
      <c r="E3347" s="26">
        <v>0</v>
      </c>
      <c r="F3347" s="29" t="s">
        <v>226</v>
      </c>
    </row>
    <row r="3348" spans="1:6" ht="43.5" x14ac:dyDescent="0.35">
      <c r="A3348" s="26" t="s">
        <v>216</v>
      </c>
      <c r="B3348" s="26" t="s">
        <v>6912</v>
      </c>
      <c r="C3348" s="26" t="s">
        <v>27</v>
      </c>
      <c r="D3348" s="28" t="s">
        <v>6913</v>
      </c>
      <c r="E3348" s="26">
        <v>0</v>
      </c>
      <c r="F3348" s="29" t="s">
        <v>229</v>
      </c>
    </row>
    <row r="3349" spans="1:6" ht="29" x14ac:dyDescent="0.35">
      <c r="A3349" s="26" t="s">
        <v>216</v>
      </c>
      <c r="B3349" s="26" t="s">
        <v>6914</v>
      </c>
      <c r="C3349" s="26" t="s">
        <v>24</v>
      </c>
      <c r="D3349" s="28" t="s">
        <v>6915</v>
      </c>
      <c r="E3349" s="26">
        <v>0</v>
      </c>
      <c r="F3349" s="29" t="s">
        <v>232</v>
      </c>
    </row>
    <row r="3350" spans="1:6" ht="43.5" x14ac:dyDescent="0.35">
      <c r="A3350" s="26" t="s">
        <v>216</v>
      </c>
      <c r="B3350" s="26" t="s">
        <v>6916</v>
      </c>
      <c r="C3350" s="26" t="s">
        <v>15</v>
      </c>
      <c r="D3350" s="28" t="s">
        <v>218</v>
      </c>
      <c r="E3350" s="26" t="s">
        <v>6917</v>
      </c>
      <c r="F3350" s="29" t="s">
        <v>220</v>
      </c>
    </row>
    <row r="3351" spans="1:6" ht="29" x14ac:dyDescent="0.35">
      <c r="A3351" s="26" t="s">
        <v>216</v>
      </c>
      <c r="B3351" s="26" t="s">
        <v>6918</v>
      </c>
      <c r="C3351" s="26" t="s">
        <v>17</v>
      </c>
      <c r="D3351" s="28" t="s">
        <v>6919</v>
      </c>
      <c r="E3351" s="26">
        <v>13436</v>
      </c>
      <c r="F3351" s="29" t="s">
        <v>247</v>
      </c>
    </row>
    <row r="3352" spans="1:6" ht="29" x14ac:dyDescent="0.35">
      <c r="A3352" s="26" t="s">
        <v>216</v>
      </c>
      <c r="B3352" s="26" t="s">
        <v>6920</v>
      </c>
      <c r="C3352" s="26" t="s">
        <v>20</v>
      </c>
      <c r="D3352" s="28" t="s">
        <v>6921</v>
      </c>
      <c r="E3352" s="26">
        <v>13436</v>
      </c>
      <c r="F3352" s="29" t="s">
        <v>223</v>
      </c>
    </row>
    <row r="3353" spans="1:6" ht="58" x14ac:dyDescent="0.35">
      <c r="A3353" s="26" t="s">
        <v>216</v>
      </c>
      <c r="B3353" s="26" t="s">
        <v>6922</v>
      </c>
      <c r="C3353" s="26" t="s">
        <v>25</v>
      </c>
      <c r="D3353" s="28" t="s">
        <v>6923</v>
      </c>
      <c r="E3353" s="26">
        <v>0</v>
      </c>
      <c r="F3353" s="29" t="s">
        <v>226</v>
      </c>
    </row>
    <row r="3354" spans="1:6" ht="43.5" x14ac:dyDescent="0.35">
      <c r="A3354" s="26" t="s">
        <v>216</v>
      </c>
      <c r="B3354" s="26" t="s">
        <v>6924</v>
      </c>
      <c r="C3354" s="26" t="s">
        <v>27</v>
      </c>
      <c r="D3354" s="28" t="s">
        <v>6925</v>
      </c>
      <c r="E3354" s="26">
        <v>0</v>
      </c>
      <c r="F3354" s="29" t="s">
        <v>229</v>
      </c>
    </row>
    <row r="3355" spans="1:6" ht="29" x14ac:dyDescent="0.35">
      <c r="A3355" s="26" t="s">
        <v>216</v>
      </c>
      <c r="B3355" s="26" t="s">
        <v>6926</v>
      </c>
      <c r="C3355" s="26" t="s">
        <v>24</v>
      </c>
      <c r="D3355" s="28" t="s">
        <v>6927</v>
      </c>
      <c r="E3355" s="26">
        <v>0</v>
      </c>
      <c r="F3355" s="29" t="s">
        <v>232</v>
      </c>
    </row>
    <row r="3356" spans="1:6" ht="43.5" x14ac:dyDescent="0.35">
      <c r="A3356" s="26" t="s">
        <v>216</v>
      </c>
      <c r="B3356" s="26" t="s">
        <v>6928</v>
      </c>
      <c r="C3356" s="26" t="s">
        <v>15</v>
      </c>
      <c r="D3356" s="28" t="s">
        <v>218</v>
      </c>
      <c r="E3356" s="26" t="s">
        <v>6929</v>
      </c>
      <c r="F3356" s="29" t="s">
        <v>220</v>
      </c>
    </row>
    <row r="3357" spans="1:6" ht="29" x14ac:dyDescent="0.35">
      <c r="A3357" s="26" t="s">
        <v>216</v>
      </c>
      <c r="B3357" s="26" t="s">
        <v>6930</v>
      </c>
      <c r="C3357" s="26" t="s">
        <v>17</v>
      </c>
      <c r="D3357" s="28" t="s">
        <v>6931</v>
      </c>
      <c r="E3357" s="26">
        <v>13436</v>
      </c>
      <c r="F3357" s="29" t="s">
        <v>247</v>
      </c>
    </row>
    <row r="3358" spans="1:6" ht="29" x14ac:dyDescent="0.35">
      <c r="A3358" s="26" t="s">
        <v>216</v>
      </c>
      <c r="B3358" s="26" t="s">
        <v>6932</v>
      </c>
      <c r="C3358" s="26" t="s">
        <v>20</v>
      </c>
      <c r="D3358" s="28" t="s">
        <v>6933</v>
      </c>
      <c r="E3358" s="26">
        <v>13436</v>
      </c>
      <c r="F3358" s="29" t="s">
        <v>223</v>
      </c>
    </row>
    <row r="3359" spans="1:6" ht="58" x14ac:dyDescent="0.35">
      <c r="A3359" s="26" t="s">
        <v>216</v>
      </c>
      <c r="B3359" s="26" t="s">
        <v>6934</v>
      </c>
      <c r="C3359" s="26" t="s">
        <v>25</v>
      </c>
      <c r="D3359" s="28" t="s">
        <v>6935</v>
      </c>
      <c r="E3359" s="26">
        <v>0</v>
      </c>
      <c r="F3359" s="29" t="s">
        <v>226</v>
      </c>
    </row>
    <row r="3360" spans="1:6" ht="43.5" x14ac:dyDescent="0.35">
      <c r="A3360" s="26" t="s">
        <v>216</v>
      </c>
      <c r="B3360" s="26" t="s">
        <v>6936</v>
      </c>
      <c r="C3360" s="26" t="s">
        <v>27</v>
      </c>
      <c r="D3360" s="28" t="s">
        <v>6937</v>
      </c>
      <c r="E3360" s="26">
        <v>0</v>
      </c>
      <c r="F3360" s="29" t="s">
        <v>229</v>
      </c>
    </row>
    <row r="3361" spans="1:6" ht="29" x14ac:dyDescent="0.35">
      <c r="A3361" s="26" t="s">
        <v>216</v>
      </c>
      <c r="B3361" s="26" t="s">
        <v>6938</v>
      </c>
      <c r="C3361" s="26" t="s">
        <v>24</v>
      </c>
      <c r="D3361" s="28" t="s">
        <v>6939</v>
      </c>
      <c r="E3361" s="26">
        <v>0</v>
      </c>
      <c r="F3361" s="29" t="s">
        <v>232</v>
      </c>
    </row>
    <row r="3362" spans="1:6" ht="43.5" x14ac:dyDescent="0.35">
      <c r="A3362" s="26" t="s">
        <v>216</v>
      </c>
      <c r="B3362" s="26" t="s">
        <v>6940</v>
      </c>
      <c r="C3362" s="26" t="s">
        <v>15</v>
      </c>
      <c r="D3362" s="28" t="s">
        <v>218</v>
      </c>
      <c r="E3362" s="26" t="s">
        <v>6941</v>
      </c>
      <c r="F3362" s="29" t="s">
        <v>220</v>
      </c>
    </row>
    <row r="3363" spans="1:6" ht="29" x14ac:dyDescent="0.35">
      <c r="A3363" s="26" t="s">
        <v>216</v>
      </c>
      <c r="B3363" s="26" t="s">
        <v>6942</v>
      </c>
      <c r="C3363" s="26" t="s">
        <v>17</v>
      </c>
      <c r="D3363" s="28" t="s">
        <v>6943</v>
      </c>
      <c r="E3363" s="26">
        <v>13436</v>
      </c>
      <c r="F3363" s="29" t="s">
        <v>247</v>
      </c>
    </row>
    <row r="3364" spans="1:6" ht="29" x14ac:dyDescent="0.35">
      <c r="A3364" s="26" t="s">
        <v>216</v>
      </c>
      <c r="B3364" s="26" t="s">
        <v>6944</v>
      </c>
      <c r="C3364" s="26" t="s">
        <v>20</v>
      </c>
      <c r="D3364" s="28" t="s">
        <v>6945</v>
      </c>
      <c r="E3364" s="26">
        <v>13436</v>
      </c>
      <c r="F3364" s="29" t="s">
        <v>223</v>
      </c>
    </row>
    <row r="3365" spans="1:6" ht="58" x14ac:dyDescent="0.35">
      <c r="A3365" s="26" t="s">
        <v>216</v>
      </c>
      <c r="B3365" s="26" t="s">
        <v>6946</v>
      </c>
      <c r="C3365" s="26" t="s">
        <v>25</v>
      </c>
      <c r="D3365" s="28" t="s">
        <v>6947</v>
      </c>
      <c r="E3365" s="26">
        <v>0</v>
      </c>
      <c r="F3365" s="29" t="s">
        <v>226</v>
      </c>
    </row>
    <row r="3366" spans="1:6" ht="43.5" x14ac:dyDescent="0.35">
      <c r="A3366" s="26" t="s">
        <v>216</v>
      </c>
      <c r="B3366" s="26" t="s">
        <v>6948</v>
      </c>
      <c r="C3366" s="26" t="s">
        <v>27</v>
      </c>
      <c r="D3366" s="28" t="s">
        <v>6949</v>
      </c>
      <c r="E3366" s="26">
        <v>0</v>
      </c>
      <c r="F3366" s="29" t="s">
        <v>229</v>
      </c>
    </row>
    <row r="3367" spans="1:6" ht="29" x14ac:dyDescent="0.35">
      <c r="A3367" s="26" t="s">
        <v>216</v>
      </c>
      <c r="B3367" s="26" t="s">
        <v>6950</v>
      </c>
      <c r="C3367" s="26" t="s">
        <v>24</v>
      </c>
      <c r="D3367" s="28" t="s">
        <v>6951</v>
      </c>
      <c r="E3367" s="26">
        <v>0</v>
      </c>
      <c r="F3367" s="29" t="s">
        <v>232</v>
      </c>
    </row>
    <row r="3368" spans="1:6" ht="43.5" x14ac:dyDescent="0.35">
      <c r="A3368" s="26" t="s">
        <v>216</v>
      </c>
      <c r="B3368" s="26" t="s">
        <v>6952</v>
      </c>
      <c r="C3368" s="26" t="s">
        <v>15</v>
      </c>
      <c r="D3368" s="28" t="s">
        <v>218</v>
      </c>
      <c r="E3368" s="26" t="s">
        <v>6953</v>
      </c>
      <c r="F3368" s="29" t="s">
        <v>220</v>
      </c>
    </row>
    <row r="3369" spans="1:6" ht="29" x14ac:dyDescent="0.35">
      <c r="A3369" s="26" t="s">
        <v>216</v>
      </c>
      <c r="B3369" s="26" t="s">
        <v>6954</v>
      </c>
      <c r="C3369" s="26" t="s">
        <v>17</v>
      </c>
      <c r="D3369" s="28" t="s">
        <v>6955</v>
      </c>
      <c r="E3369" s="26">
        <v>13436</v>
      </c>
      <c r="F3369" s="29" t="s">
        <v>247</v>
      </c>
    </row>
    <row r="3370" spans="1:6" ht="29" x14ac:dyDescent="0.35">
      <c r="A3370" s="26" t="s">
        <v>216</v>
      </c>
      <c r="B3370" s="26" t="s">
        <v>6956</v>
      </c>
      <c r="C3370" s="26" t="s">
        <v>20</v>
      </c>
      <c r="D3370" s="28" t="s">
        <v>6957</v>
      </c>
      <c r="E3370" s="26">
        <v>13436</v>
      </c>
      <c r="F3370" s="29" t="s">
        <v>223</v>
      </c>
    </row>
    <row r="3371" spans="1:6" ht="58" x14ac:dyDescent="0.35">
      <c r="A3371" s="26" t="s">
        <v>216</v>
      </c>
      <c r="B3371" s="26" t="s">
        <v>6958</v>
      </c>
      <c r="C3371" s="26" t="s">
        <v>25</v>
      </c>
      <c r="D3371" s="28" t="s">
        <v>6959</v>
      </c>
      <c r="E3371" s="26">
        <v>0</v>
      </c>
      <c r="F3371" s="29" t="s">
        <v>226</v>
      </c>
    </row>
    <row r="3372" spans="1:6" ht="43.5" x14ac:dyDescent="0.35">
      <c r="A3372" s="26" t="s">
        <v>216</v>
      </c>
      <c r="B3372" s="26" t="s">
        <v>6960</v>
      </c>
      <c r="C3372" s="26" t="s">
        <v>27</v>
      </c>
      <c r="D3372" s="28" t="s">
        <v>6961</v>
      </c>
      <c r="E3372" s="26">
        <v>0</v>
      </c>
      <c r="F3372" s="29" t="s">
        <v>229</v>
      </c>
    </row>
    <row r="3373" spans="1:6" ht="29" x14ac:dyDescent="0.35">
      <c r="A3373" s="26" t="s">
        <v>216</v>
      </c>
      <c r="B3373" s="26" t="s">
        <v>6962</v>
      </c>
      <c r="C3373" s="26" t="s">
        <v>24</v>
      </c>
      <c r="D3373" s="28" t="s">
        <v>6963</v>
      </c>
      <c r="E3373" s="26">
        <v>0</v>
      </c>
      <c r="F3373" s="29" t="s">
        <v>232</v>
      </c>
    </row>
    <row r="3374" spans="1:6" ht="43.5" x14ac:dyDescent="0.35">
      <c r="A3374" s="26" t="s">
        <v>216</v>
      </c>
      <c r="B3374" s="26" t="s">
        <v>6964</v>
      </c>
      <c r="C3374" s="26" t="s">
        <v>15</v>
      </c>
      <c r="D3374" s="28" t="s">
        <v>218</v>
      </c>
      <c r="E3374" s="26" t="s">
        <v>6965</v>
      </c>
      <c r="F3374" s="29" t="s">
        <v>220</v>
      </c>
    </row>
    <row r="3375" spans="1:6" ht="29" x14ac:dyDescent="0.35">
      <c r="A3375" s="26" t="s">
        <v>216</v>
      </c>
      <c r="B3375" s="26" t="s">
        <v>6966</v>
      </c>
      <c r="C3375" s="26" t="s">
        <v>17</v>
      </c>
      <c r="D3375" s="28" t="s">
        <v>6967</v>
      </c>
      <c r="E3375" s="26">
        <v>13436</v>
      </c>
      <c r="F3375" s="29" t="s">
        <v>247</v>
      </c>
    </row>
    <row r="3376" spans="1:6" ht="29" x14ac:dyDescent="0.35">
      <c r="A3376" s="26" t="s">
        <v>216</v>
      </c>
      <c r="B3376" s="26" t="s">
        <v>6968</v>
      </c>
      <c r="C3376" s="26" t="s">
        <v>20</v>
      </c>
      <c r="D3376" s="28" t="s">
        <v>6969</v>
      </c>
      <c r="E3376" s="26">
        <v>13436</v>
      </c>
      <c r="F3376" s="29" t="s">
        <v>223</v>
      </c>
    </row>
    <row r="3377" spans="1:6" ht="58" x14ac:dyDescent="0.35">
      <c r="A3377" s="26" t="s">
        <v>216</v>
      </c>
      <c r="B3377" s="26" t="s">
        <v>6970</v>
      </c>
      <c r="C3377" s="26" t="s">
        <v>25</v>
      </c>
      <c r="D3377" s="28" t="s">
        <v>6971</v>
      </c>
      <c r="E3377" s="26">
        <v>0</v>
      </c>
      <c r="F3377" s="29" t="s">
        <v>226</v>
      </c>
    </row>
    <row r="3378" spans="1:6" ht="43.5" x14ac:dyDescent="0.35">
      <c r="A3378" s="26" t="s">
        <v>216</v>
      </c>
      <c r="B3378" s="26" t="s">
        <v>6972</v>
      </c>
      <c r="C3378" s="26" t="s">
        <v>27</v>
      </c>
      <c r="D3378" s="28" t="s">
        <v>6973</v>
      </c>
      <c r="E3378" s="26">
        <v>0</v>
      </c>
      <c r="F3378" s="29" t="s">
        <v>229</v>
      </c>
    </row>
    <row r="3379" spans="1:6" ht="29" x14ac:dyDescent="0.35">
      <c r="A3379" s="26" t="s">
        <v>216</v>
      </c>
      <c r="B3379" s="26" t="s">
        <v>6974</v>
      </c>
      <c r="C3379" s="26" t="s">
        <v>24</v>
      </c>
      <c r="D3379" s="28" t="s">
        <v>6975</v>
      </c>
      <c r="E3379" s="26">
        <v>0</v>
      </c>
      <c r="F3379" s="29" t="s">
        <v>232</v>
      </c>
    </row>
    <row r="3380" spans="1:6" ht="43.5" x14ac:dyDescent="0.35">
      <c r="A3380" s="26" t="s">
        <v>216</v>
      </c>
      <c r="B3380" s="26" t="s">
        <v>6976</v>
      </c>
      <c r="C3380" s="26" t="s">
        <v>15</v>
      </c>
      <c r="D3380" s="28" t="s">
        <v>218</v>
      </c>
      <c r="E3380" s="26" t="s">
        <v>6977</v>
      </c>
      <c r="F3380" s="29" t="s">
        <v>220</v>
      </c>
    </row>
    <row r="3381" spans="1:6" ht="29" x14ac:dyDescent="0.35">
      <c r="A3381" s="26" t="s">
        <v>216</v>
      </c>
      <c r="B3381" s="26" t="s">
        <v>6978</v>
      </c>
      <c r="C3381" s="26" t="s">
        <v>17</v>
      </c>
      <c r="D3381" s="28" t="s">
        <v>6979</v>
      </c>
      <c r="E3381" s="26">
        <v>13436</v>
      </c>
      <c r="F3381" s="29" t="s">
        <v>247</v>
      </c>
    </row>
    <row r="3382" spans="1:6" ht="29" x14ac:dyDescent="0.35">
      <c r="A3382" s="26" t="s">
        <v>216</v>
      </c>
      <c r="B3382" s="26" t="s">
        <v>6980</v>
      </c>
      <c r="C3382" s="26" t="s">
        <v>20</v>
      </c>
      <c r="D3382" s="28" t="s">
        <v>6981</v>
      </c>
      <c r="E3382" s="26">
        <v>13436</v>
      </c>
      <c r="F3382" s="29" t="s">
        <v>223</v>
      </c>
    </row>
    <row r="3383" spans="1:6" ht="58" x14ac:dyDescent="0.35">
      <c r="A3383" s="26" t="s">
        <v>216</v>
      </c>
      <c r="B3383" s="26" t="s">
        <v>6982</v>
      </c>
      <c r="C3383" s="26" t="s">
        <v>25</v>
      </c>
      <c r="D3383" s="28" t="s">
        <v>6983</v>
      </c>
      <c r="E3383" s="26">
        <v>0</v>
      </c>
      <c r="F3383" s="29" t="s">
        <v>226</v>
      </c>
    </row>
    <row r="3384" spans="1:6" ht="43.5" x14ac:dyDescent="0.35">
      <c r="A3384" s="26" t="s">
        <v>216</v>
      </c>
      <c r="B3384" s="26" t="s">
        <v>6984</v>
      </c>
      <c r="C3384" s="26" t="s">
        <v>27</v>
      </c>
      <c r="D3384" s="28" t="s">
        <v>6985</v>
      </c>
      <c r="E3384" s="26">
        <v>0</v>
      </c>
      <c r="F3384" s="29" t="s">
        <v>229</v>
      </c>
    </row>
    <row r="3385" spans="1:6" ht="29" x14ac:dyDescent="0.35">
      <c r="A3385" s="26" t="s">
        <v>216</v>
      </c>
      <c r="B3385" s="26" t="s">
        <v>6986</v>
      </c>
      <c r="C3385" s="26" t="s">
        <v>24</v>
      </c>
      <c r="D3385" s="28" t="s">
        <v>6987</v>
      </c>
      <c r="E3385" s="26">
        <v>0</v>
      </c>
      <c r="F3385" s="29" t="s">
        <v>232</v>
      </c>
    </row>
    <row r="3386" spans="1:6" ht="43.5" x14ac:dyDescent="0.35">
      <c r="A3386" s="26" t="s">
        <v>216</v>
      </c>
      <c r="B3386" s="26" t="s">
        <v>6988</v>
      </c>
      <c r="C3386" s="26" t="s">
        <v>15</v>
      </c>
      <c r="D3386" s="28" t="s">
        <v>218</v>
      </c>
      <c r="E3386" s="26" t="s">
        <v>6989</v>
      </c>
      <c r="F3386" s="29" t="s">
        <v>220</v>
      </c>
    </row>
    <row r="3387" spans="1:6" ht="29" x14ac:dyDescent="0.35">
      <c r="A3387" s="26" t="s">
        <v>216</v>
      </c>
      <c r="B3387" s="26" t="s">
        <v>6990</v>
      </c>
      <c r="C3387" s="26" t="s">
        <v>17</v>
      </c>
      <c r="D3387" s="28" t="s">
        <v>6991</v>
      </c>
      <c r="E3387" s="26">
        <v>13436</v>
      </c>
      <c r="F3387" s="29" t="s">
        <v>247</v>
      </c>
    </row>
    <row r="3388" spans="1:6" ht="29" x14ac:dyDescent="0.35">
      <c r="A3388" s="26" t="s">
        <v>216</v>
      </c>
      <c r="B3388" s="26" t="s">
        <v>6992</v>
      </c>
      <c r="C3388" s="26" t="s">
        <v>20</v>
      </c>
      <c r="D3388" s="28" t="s">
        <v>6993</v>
      </c>
      <c r="E3388" s="26">
        <v>13436</v>
      </c>
      <c r="F3388" s="29" t="s">
        <v>223</v>
      </c>
    </row>
    <row r="3389" spans="1:6" ht="58" x14ac:dyDescent="0.35">
      <c r="A3389" s="26" t="s">
        <v>216</v>
      </c>
      <c r="B3389" s="26" t="s">
        <v>6994</v>
      </c>
      <c r="C3389" s="26" t="s">
        <v>25</v>
      </c>
      <c r="D3389" s="28" t="s">
        <v>6995</v>
      </c>
      <c r="E3389" s="26">
        <v>0</v>
      </c>
      <c r="F3389" s="29" t="s">
        <v>226</v>
      </c>
    </row>
    <row r="3390" spans="1:6" ht="43.5" x14ac:dyDescent="0.35">
      <c r="A3390" s="26" t="s">
        <v>216</v>
      </c>
      <c r="B3390" s="26" t="s">
        <v>6996</v>
      </c>
      <c r="C3390" s="26" t="s">
        <v>27</v>
      </c>
      <c r="D3390" s="28" t="s">
        <v>6997</v>
      </c>
      <c r="E3390" s="26">
        <v>0</v>
      </c>
      <c r="F3390" s="29" t="s">
        <v>229</v>
      </c>
    </row>
    <row r="3391" spans="1:6" ht="29" x14ac:dyDescent="0.35">
      <c r="A3391" s="26" t="s">
        <v>216</v>
      </c>
      <c r="B3391" s="26" t="s">
        <v>6998</v>
      </c>
      <c r="C3391" s="26" t="s">
        <v>24</v>
      </c>
      <c r="D3391" s="28" t="s">
        <v>6999</v>
      </c>
      <c r="E3391" s="26">
        <v>0</v>
      </c>
      <c r="F3391" s="29" t="s">
        <v>232</v>
      </c>
    </row>
    <row r="3392" spans="1:6" ht="43.5" x14ac:dyDescent="0.35">
      <c r="A3392" s="26" t="s">
        <v>216</v>
      </c>
      <c r="B3392" s="26" t="s">
        <v>7000</v>
      </c>
      <c r="C3392" s="26" t="s">
        <v>15</v>
      </c>
      <c r="D3392" s="28" t="s">
        <v>218</v>
      </c>
      <c r="E3392" s="26" t="s">
        <v>7001</v>
      </c>
      <c r="F3392" s="29" t="s">
        <v>220</v>
      </c>
    </row>
    <row r="3393" spans="1:6" ht="29" x14ac:dyDescent="0.35">
      <c r="A3393" s="26" t="s">
        <v>216</v>
      </c>
      <c r="B3393" s="26" t="s">
        <v>7002</v>
      </c>
      <c r="C3393" s="26" t="s">
        <v>17</v>
      </c>
      <c r="D3393" s="28" t="s">
        <v>7003</v>
      </c>
      <c r="E3393" s="26">
        <v>13436</v>
      </c>
      <c r="F3393" s="29" t="s">
        <v>247</v>
      </c>
    </row>
    <row r="3394" spans="1:6" ht="29" x14ac:dyDescent="0.35">
      <c r="A3394" s="26" t="s">
        <v>216</v>
      </c>
      <c r="B3394" s="26" t="s">
        <v>7004</v>
      </c>
      <c r="C3394" s="26" t="s">
        <v>20</v>
      </c>
      <c r="D3394" s="28" t="s">
        <v>7005</v>
      </c>
      <c r="E3394" s="26">
        <v>13436</v>
      </c>
      <c r="F3394" s="29" t="s">
        <v>223</v>
      </c>
    </row>
    <row r="3395" spans="1:6" ht="58" x14ac:dyDescent="0.35">
      <c r="A3395" s="26" t="s">
        <v>216</v>
      </c>
      <c r="B3395" s="26" t="s">
        <v>7006</v>
      </c>
      <c r="C3395" s="26" t="s">
        <v>25</v>
      </c>
      <c r="D3395" s="28" t="s">
        <v>7007</v>
      </c>
      <c r="E3395" s="26">
        <v>0</v>
      </c>
      <c r="F3395" s="29" t="s">
        <v>226</v>
      </c>
    </row>
    <row r="3396" spans="1:6" ht="43.5" x14ac:dyDescent="0.35">
      <c r="A3396" s="26" t="s">
        <v>216</v>
      </c>
      <c r="B3396" s="26" t="s">
        <v>7008</v>
      </c>
      <c r="C3396" s="26" t="s">
        <v>27</v>
      </c>
      <c r="D3396" s="28" t="s">
        <v>7009</v>
      </c>
      <c r="E3396" s="26">
        <v>0</v>
      </c>
      <c r="F3396" s="29" t="s">
        <v>229</v>
      </c>
    </row>
    <row r="3397" spans="1:6" ht="29" x14ac:dyDescent="0.35">
      <c r="A3397" s="26" t="s">
        <v>216</v>
      </c>
      <c r="B3397" s="26" t="s">
        <v>7010</v>
      </c>
      <c r="C3397" s="26" t="s">
        <v>24</v>
      </c>
      <c r="D3397" s="28" t="s">
        <v>7011</v>
      </c>
      <c r="E3397" s="26">
        <v>0</v>
      </c>
      <c r="F3397" s="29" t="s">
        <v>232</v>
      </c>
    </row>
    <row r="3398" spans="1:6" ht="43.5" x14ac:dyDescent="0.35">
      <c r="A3398" s="26" t="s">
        <v>216</v>
      </c>
      <c r="B3398" s="26" t="s">
        <v>7012</v>
      </c>
      <c r="C3398" s="26" t="s">
        <v>15</v>
      </c>
      <c r="D3398" s="28" t="s">
        <v>218</v>
      </c>
      <c r="E3398" s="26" t="s">
        <v>7013</v>
      </c>
      <c r="F3398" s="29" t="s">
        <v>220</v>
      </c>
    </row>
    <row r="3399" spans="1:6" ht="29" x14ac:dyDescent="0.35">
      <c r="A3399" s="26" t="s">
        <v>216</v>
      </c>
      <c r="B3399" s="26" t="s">
        <v>7014</v>
      </c>
      <c r="C3399" s="26" t="s">
        <v>17</v>
      </c>
      <c r="D3399" s="28" t="s">
        <v>7015</v>
      </c>
      <c r="E3399" s="26">
        <v>13436</v>
      </c>
      <c r="F3399" s="29" t="s">
        <v>247</v>
      </c>
    </row>
    <row r="3400" spans="1:6" ht="29" x14ac:dyDescent="0.35">
      <c r="A3400" s="26" t="s">
        <v>216</v>
      </c>
      <c r="B3400" s="26" t="s">
        <v>7016</v>
      </c>
      <c r="C3400" s="26" t="s">
        <v>20</v>
      </c>
      <c r="D3400" s="28" t="s">
        <v>7017</v>
      </c>
      <c r="E3400" s="26">
        <v>13436</v>
      </c>
      <c r="F3400" s="29" t="s">
        <v>223</v>
      </c>
    </row>
    <row r="3401" spans="1:6" ht="58" x14ac:dyDescent="0.35">
      <c r="A3401" s="26" t="s">
        <v>216</v>
      </c>
      <c r="B3401" s="26" t="s">
        <v>7018</v>
      </c>
      <c r="C3401" s="26" t="s">
        <v>25</v>
      </c>
      <c r="D3401" s="28" t="s">
        <v>7019</v>
      </c>
      <c r="E3401" s="26">
        <v>0</v>
      </c>
      <c r="F3401" s="29" t="s">
        <v>226</v>
      </c>
    </row>
    <row r="3402" spans="1:6" ht="43.5" x14ac:dyDescent="0.35">
      <c r="A3402" s="26" t="s">
        <v>216</v>
      </c>
      <c r="B3402" s="26" t="s">
        <v>7020</v>
      </c>
      <c r="C3402" s="26" t="s">
        <v>27</v>
      </c>
      <c r="D3402" s="28" t="s">
        <v>7021</v>
      </c>
      <c r="E3402" s="26">
        <v>0</v>
      </c>
      <c r="F3402" s="29" t="s">
        <v>229</v>
      </c>
    </row>
    <row r="3403" spans="1:6" ht="29" x14ac:dyDescent="0.35">
      <c r="A3403" s="26" t="s">
        <v>216</v>
      </c>
      <c r="B3403" s="26" t="s">
        <v>7022</v>
      </c>
      <c r="C3403" s="26" t="s">
        <v>24</v>
      </c>
      <c r="D3403" s="28" t="s">
        <v>7023</v>
      </c>
      <c r="E3403" s="26">
        <v>0</v>
      </c>
      <c r="F3403" s="29" t="s">
        <v>232</v>
      </c>
    </row>
    <row r="3404" spans="1:6" ht="43.5" x14ac:dyDescent="0.35">
      <c r="A3404" s="26" t="s">
        <v>216</v>
      </c>
      <c r="B3404" s="26" t="s">
        <v>7024</v>
      </c>
      <c r="C3404" s="26" t="s">
        <v>15</v>
      </c>
      <c r="D3404" s="28" t="s">
        <v>218</v>
      </c>
      <c r="E3404" s="26" t="s">
        <v>7025</v>
      </c>
      <c r="F3404" s="29" t="s">
        <v>220</v>
      </c>
    </row>
    <row r="3405" spans="1:6" ht="29" x14ac:dyDescent="0.35">
      <c r="A3405" s="26" t="s">
        <v>216</v>
      </c>
      <c r="B3405" s="26" t="s">
        <v>7026</v>
      </c>
      <c r="C3405" s="26" t="s">
        <v>17</v>
      </c>
      <c r="D3405" s="28" t="s">
        <v>7027</v>
      </c>
      <c r="E3405" s="26">
        <v>13436</v>
      </c>
      <c r="F3405" s="29" t="s">
        <v>247</v>
      </c>
    </row>
    <row r="3406" spans="1:6" ht="29" x14ac:dyDescent="0.35">
      <c r="A3406" s="26" t="s">
        <v>216</v>
      </c>
      <c r="B3406" s="26" t="s">
        <v>7028</v>
      </c>
      <c r="C3406" s="26" t="s">
        <v>20</v>
      </c>
      <c r="D3406" s="28" t="s">
        <v>7029</v>
      </c>
      <c r="E3406" s="26">
        <v>13436</v>
      </c>
      <c r="F3406" s="29" t="s">
        <v>223</v>
      </c>
    </row>
    <row r="3407" spans="1:6" ht="58" x14ac:dyDescent="0.35">
      <c r="A3407" s="26" t="s">
        <v>216</v>
      </c>
      <c r="B3407" s="26" t="s">
        <v>7030</v>
      </c>
      <c r="C3407" s="26" t="s">
        <v>25</v>
      </c>
      <c r="D3407" s="28" t="s">
        <v>7031</v>
      </c>
      <c r="E3407" s="26">
        <v>0</v>
      </c>
      <c r="F3407" s="29" t="s">
        <v>226</v>
      </c>
    </row>
    <row r="3408" spans="1:6" ht="43.5" x14ac:dyDescent="0.35">
      <c r="A3408" s="26" t="s">
        <v>216</v>
      </c>
      <c r="B3408" s="26" t="s">
        <v>7032</v>
      </c>
      <c r="C3408" s="26" t="s">
        <v>27</v>
      </c>
      <c r="D3408" s="28" t="s">
        <v>7033</v>
      </c>
      <c r="E3408" s="26">
        <v>0</v>
      </c>
      <c r="F3408" s="29" t="s">
        <v>229</v>
      </c>
    </row>
    <row r="3409" spans="1:6" ht="29" x14ac:dyDescent="0.35">
      <c r="A3409" s="26" t="s">
        <v>216</v>
      </c>
      <c r="B3409" s="26" t="s">
        <v>7034</v>
      </c>
      <c r="C3409" s="26" t="s">
        <v>24</v>
      </c>
      <c r="D3409" s="28" t="s">
        <v>7035</v>
      </c>
      <c r="E3409" s="26">
        <v>0</v>
      </c>
      <c r="F3409" s="29" t="s">
        <v>232</v>
      </c>
    </row>
    <row r="3410" spans="1:6" ht="43.5" x14ac:dyDescent="0.35">
      <c r="A3410" s="26" t="s">
        <v>216</v>
      </c>
      <c r="B3410" s="26" t="s">
        <v>7036</v>
      </c>
      <c r="C3410" s="26" t="s">
        <v>15</v>
      </c>
      <c r="D3410" s="28" t="s">
        <v>218</v>
      </c>
      <c r="E3410" s="26" t="s">
        <v>7037</v>
      </c>
      <c r="F3410" s="29" t="s">
        <v>220</v>
      </c>
    </row>
    <row r="3411" spans="1:6" ht="29" x14ac:dyDescent="0.35">
      <c r="A3411" s="26" t="s">
        <v>216</v>
      </c>
      <c r="B3411" s="26" t="s">
        <v>7038</v>
      </c>
      <c r="C3411" s="26" t="s">
        <v>17</v>
      </c>
      <c r="D3411" s="28" t="s">
        <v>7039</v>
      </c>
      <c r="E3411" s="26">
        <v>13436</v>
      </c>
      <c r="F3411" s="29" t="s">
        <v>247</v>
      </c>
    </row>
    <row r="3412" spans="1:6" ht="29" x14ac:dyDescent="0.35">
      <c r="A3412" s="26" t="s">
        <v>216</v>
      </c>
      <c r="B3412" s="26" t="s">
        <v>7040</v>
      </c>
      <c r="C3412" s="26" t="s">
        <v>20</v>
      </c>
      <c r="D3412" s="28" t="s">
        <v>7041</v>
      </c>
      <c r="E3412" s="26">
        <v>13436</v>
      </c>
      <c r="F3412" s="29" t="s">
        <v>223</v>
      </c>
    </row>
    <row r="3413" spans="1:6" ht="58" x14ac:dyDescent="0.35">
      <c r="A3413" s="26" t="s">
        <v>216</v>
      </c>
      <c r="B3413" s="26" t="s">
        <v>7042</v>
      </c>
      <c r="C3413" s="26" t="s">
        <v>25</v>
      </c>
      <c r="D3413" s="28" t="s">
        <v>7043</v>
      </c>
      <c r="E3413" s="26">
        <v>0</v>
      </c>
      <c r="F3413" s="29" t="s">
        <v>226</v>
      </c>
    </row>
    <row r="3414" spans="1:6" ht="43.5" x14ac:dyDescent="0.35">
      <c r="A3414" s="26" t="s">
        <v>216</v>
      </c>
      <c r="B3414" s="26" t="s">
        <v>7044</v>
      </c>
      <c r="C3414" s="26" t="s">
        <v>27</v>
      </c>
      <c r="D3414" s="28" t="s">
        <v>7045</v>
      </c>
      <c r="E3414" s="26">
        <v>0</v>
      </c>
      <c r="F3414" s="29" t="s">
        <v>229</v>
      </c>
    </row>
    <row r="3415" spans="1:6" ht="29" x14ac:dyDescent="0.35">
      <c r="A3415" s="26" t="s">
        <v>216</v>
      </c>
      <c r="B3415" s="26" t="s">
        <v>7046</v>
      </c>
      <c r="C3415" s="26" t="s">
        <v>24</v>
      </c>
      <c r="D3415" s="28" t="s">
        <v>7047</v>
      </c>
      <c r="E3415" s="26">
        <v>0</v>
      </c>
      <c r="F3415" s="29" t="s">
        <v>232</v>
      </c>
    </row>
    <row r="3416" spans="1:6" ht="43.5" x14ac:dyDescent="0.35">
      <c r="A3416" s="26" t="s">
        <v>216</v>
      </c>
      <c r="B3416" s="26" t="s">
        <v>7048</v>
      </c>
      <c r="C3416" s="26" t="s">
        <v>15</v>
      </c>
      <c r="D3416" s="28" t="s">
        <v>218</v>
      </c>
      <c r="E3416" s="26" t="s">
        <v>7049</v>
      </c>
      <c r="F3416" s="29" t="s">
        <v>220</v>
      </c>
    </row>
    <row r="3417" spans="1:6" ht="29" x14ac:dyDescent="0.35">
      <c r="A3417" s="26" t="s">
        <v>216</v>
      </c>
      <c r="B3417" s="26" t="s">
        <v>7050</v>
      </c>
      <c r="C3417" s="26" t="s">
        <v>17</v>
      </c>
      <c r="D3417" s="28" t="s">
        <v>7051</v>
      </c>
      <c r="E3417" s="26">
        <v>13436</v>
      </c>
      <c r="F3417" s="29" t="s">
        <v>247</v>
      </c>
    </row>
    <row r="3418" spans="1:6" ht="29" x14ac:dyDescent="0.35">
      <c r="A3418" s="26" t="s">
        <v>216</v>
      </c>
      <c r="B3418" s="26" t="s">
        <v>7052</v>
      </c>
      <c r="C3418" s="26" t="s">
        <v>20</v>
      </c>
      <c r="D3418" s="28" t="s">
        <v>7053</v>
      </c>
      <c r="E3418" s="26">
        <v>13436</v>
      </c>
      <c r="F3418" s="29" t="s">
        <v>223</v>
      </c>
    </row>
    <row r="3419" spans="1:6" ht="58" x14ac:dyDescent="0.35">
      <c r="A3419" s="26" t="s">
        <v>216</v>
      </c>
      <c r="B3419" s="26" t="s">
        <v>7054</v>
      </c>
      <c r="C3419" s="26" t="s">
        <v>25</v>
      </c>
      <c r="D3419" s="28" t="s">
        <v>7055</v>
      </c>
      <c r="E3419" s="26">
        <v>0</v>
      </c>
      <c r="F3419" s="29" t="s">
        <v>226</v>
      </c>
    </row>
    <row r="3420" spans="1:6" ht="43.5" x14ac:dyDescent="0.35">
      <c r="A3420" s="26" t="s">
        <v>216</v>
      </c>
      <c r="B3420" s="26" t="s">
        <v>7056</v>
      </c>
      <c r="C3420" s="26" t="s">
        <v>27</v>
      </c>
      <c r="D3420" s="28" t="s">
        <v>7057</v>
      </c>
      <c r="E3420" s="26">
        <v>0</v>
      </c>
      <c r="F3420" s="29" t="s">
        <v>229</v>
      </c>
    </row>
    <row r="3421" spans="1:6" ht="29" x14ac:dyDescent="0.35">
      <c r="A3421" s="26" t="s">
        <v>216</v>
      </c>
      <c r="B3421" s="26" t="s">
        <v>7058</v>
      </c>
      <c r="C3421" s="26" t="s">
        <v>24</v>
      </c>
      <c r="D3421" s="28" t="s">
        <v>7059</v>
      </c>
      <c r="E3421" s="26">
        <v>0</v>
      </c>
      <c r="F3421" s="29" t="s">
        <v>232</v>
      </c>
    </row>
    <row r="3422" spans="1:6" ht="43.5" x14ac:dyDescent="0.35">
      <c r="A3422" s="26" t="s">
        <v>216</v>
      </c>
      <c r="B3422" s="26" t="s">
        <v>7060</v>
      </c>
      <c r="C3422" s="26" t="s">
        <v>15</v>
      </c>
      <c r="D3422" s="28" t="s">
        <v>218</v>
      </c>
      <c r="E3422" s="26" t="s">
        <v>7061</v>
      </c>
      <c r="F3422" s="29" t="s">
        <v>220</v>
      </c>
    </row>
    <row r="3423" spans="1:6" ht="29" x14ac:dyDescent="0.35">
      <c r="A3423" s="26" t="s">
        <v>216</v>
      </c>
      <c r="B3423" s="26" t="s">
        <v>7062</v>
      </c>
      <c r="C3423" s="26" t="s">
        <v>17</v>
      </c>
      <c r="D3423" s="28" t="s">
        <v>7063</v>
      </c>
      <c r="E3423" s="26">
        <v>13436</v>
      </c>
      <c r="F3423" s="29" t="s">
        <v>247</v>
      </c>
    </row>
    <row r="3424" spans="1:6" ht="29" x14ac:dyDescent="0.35">
      <c r="A3424" s="26" t="s">
        <v>216</v>
      </c>
      <c r="B3424" s="26" t="s">
        <v>7064</v>
      </c>
      <c r="C3424" s="26" t="s">
        <v>20</v>
      </c>
      <c r="D3424" s="28" t="s">
        <v>7065</v>
      </c>
      <c r="E3424" s="26">
        <v>13436</v>
      </c>
      <c r="F3424" s="29" t="s">
        <v>223</v>
      </c>
    </row>
    <row r="3425" spans="1:6" ht="58" x14ac:dyDescent="0.35">
      <c r="A3425" s="26" t="s">
        <v>216</v>
      </c>
      <c r="B3425" s="26" t="s">
        <v>7066</v>
      </c>
      <c r="C3425" s="26" t="s">
        <v>25</v>
      </c>
      <c r="D3425" s="28" t="s">
        <v>7067</v>
      </c>
      <c r="E3425" s="26">
        <v>0</v>
      </c>
      <c r="F3425" s="29" t="s">
        <v>226</v>
      </c>
    </row>
    <row r="3426" spans="1:6" ht="43.5" x14ac:dyDescent="0.35">
      <c r="A3426" s="26" t="s">
        <v>216</v>
      </c>
      <c r="B3426" s="26" t="s">
        <v>7068</v>
      </c>
      <c r="C3426" s="26" t="s">
        <v>27</v>
      </c>
      <c r="D3426" s="28" t="s">
        <v>7069</v>
      </c>
      <c r="E3426" s="26">
        <v>0</v>
      </c>
      <c r="F3426" s="29" t="s">
        <v>229</v>
      </c>
    </row>
    <row r="3427" spans="1:6" ht="29" x14ac:dyDescent="0.35">
      <c r="A3427" s="26" t="s">
        <v>216</v>
      </c>
      <c r="B3427" s="26" t="s">
        <v>7070</v>
      </c>
      <c r="C3427" s="26" t="s">
        <v>24</v>
      </c>
      <c r="D3427" s="28" t="s">
        <v>7071</v>
      </c>
      <c r="E3427" s="26">
        <v>0</v>
      </c>
      <c r="F3427" s="29" t="s">
        <v>232</v>
      </c>
    </row>
    <row r="3428" spans="1:6" ht="43.5" x14ac:dyDescent="0.35">
      <c r="A3428" s="26" t="s">
        <v>216</v>
      </c>
      <c r="B3428" s="26" t="s">
        <v>7072</v>
      </c>
      <c r="C3428" s="26" t="s">
        <v>15</v>
      </c>
      <c r="D3428" s="28" t="s">
        <v>218</v>
      </c>
      <c r="E3428" s="26" t="s">
        <v>7073</v>
      </c>
      <c r="F3428" s="29" t="s">
        <v>220</v>
      </c>
    </row>
    <row r="3429" spans="1:6" ht="29" x14ac:dyDescent="0.35">
      <c r="A3429" s="26" t="s">
        <v>216</v>
      </c>
      <c r="B3429" s="26" t="s">
        <v>7074</v>
      </c>
      <c r="C3429" s="26" t="s">
        <v>17</v>
      </c>
      <c r="D3429" s="28" t="s">
        <v>7075</v>
      </c>
      <c r="E3429" s="26">
        <v>13436</v>
      </c>
      <c r="F3429" s="29" t="s">
        <v>247</v>
      </c>
    </row>
    <row r="3430" spans="1:6" ht="29" x14ac:dyDescent="0.35">
      <c r="A3430" s="26" t="s">
        <v>216</v>
      </c>
      <c r="B3430" s="26" t="s">
        <v>7076</v>
      </c>
      <c r="C3430" s="26" t="s">
        <v>20</v>
      </c>
      <c r="D3430" s="28" t="s">
        <v>7077</v>
      </c>
      <c r="E3430" s="26">
        <v>13436</v>
      </c>
      <c r="F3430" s="29" t="s">
        <v>223</v>
      </c>
    </row>
    <row r="3431" spans="1:6" ht="58" x14ac:dyDescent="0.35">
      <c r="A3431" s="26" t="s">
        <v>216</v>
      </c>
      <c r="B3431" s="26" t="s">
        <v>7078</v>
      </c>
      <c r="C3431" s="26" t="s">
        <v>25</v>
      </c>
      <c r="D3431" s="28" t="s">
        <v>7079</v>
      </c>
      <c r="E3431" s="26">
        <v>0</v>
      </c>
      <c r="F3431" s="29" t="s">
        <v>226</v>
      </c>
    </row>
    <row r="3432" spans="1:6" ht="43.5" x14ac:dyDescent="0.35">
      <c r="A3432" s="26" t="s">
        <v>216</v>
      </c>
      <c r="B3432" s="26" t="s">
        <v>7080</v>
      </c>
      <c r="C3432" s="26" t="s">
        <v>27</v>
      </c>
      <c r="D3432" s="28" t="s">
        <v>7081</v>
      </c>
      <c r="E3432" s="26">
        <v>0</v>
      </c>
      <c r="F3432" s="29" t="s">
        <v>229</v>
      </c>
    </row>
    <row r="3433" spans="1:6" ht="29" x14ac:dyDescent="0.35">
      <c r="A3433" s="26" t="s">
        <v>216</v>
      </c>
      <c r="B3433" s="26" t="s">
        <v>7082</v>
      </c>
      <c r="C3433" s="26" t="s">
        <v>24</v>
      </c>
      <c r="D3433" s="28" t="s">
        <v>7083</v>
      </c>
      <c r="E3433" s="26">
        <v>0</v>
      </c>
      <c r="F3433" s="29" t="s">
        <v>232</v>
      </c>
    </row>
    <row r="3434" spans="1:6" ht="43.5" x14ac:dyDescent="0.35">
      <c r="A3434" s="26" t="s">
        <v>216</v>
      </c>
      <c r="B3434" s="26" t="s">
        <v>7084</v>
      </c>
      <c r="C3434" s="26" t="s">
        <v>15</v>
      </c>
      <c r="D3434" s="28" t="s">
        <v>218</v>
      </c>
      <c r="E3434" s="26" t="s">
        <v>7085</v>
      </c>
      <c r="F3434" s="29" t="s">
        <v>220</v>
      </c>
    </row>
    <row r="3435" spans="1:6" ht="29" x14ac:dyDescent="0.35">
      <c r="A3435" s="26" t="s">
        <v>216</v>
      </c>
      <c r="B3435" s="26" t="s">
        <v>7086</v>
      </c>
      <c r="C3435" s="26" t="s">
        <v>17</v>
      </c>
      <c r="D3435" s="28" t="s">
        <v>7087</v>
      </c>
      <c r="E3435" s="26">
        <v>13436</v>
      </c>
      <c r="F3435" s="29" t="s">
        <v>247</v>
      </c>
    </row>
    <row r="3436" spans="1:6" ht="29" x14ac:dyDescent="0.35">
      <c r="A3436" s="26" t="s">
        <v>216</v>
      </c>
      <c r="B3436" s="26" t="s">
        <v>7088</v>
      </c>
      <c r="C3436" s="26" t="s">
        <v>20</v>
      </c>
      <c r="D3436" s="28" t="s">
        <v>7089</v>
      </c>
      <c r="E3436" s="26">
        <v>13436</v>
      </c>
      <c r="F3436" s="29" t="s">
        <v>223</v>
      </c>
    </row>
    <row r="3437" spans="1:6" ht="58" x14ac:dyDescent="0.35">
      <c r="A3437" s="26" t="s">
        <v>216</v>
      </c>
      <c r="B3437" s="26" t="s">
        <v>7090</v>
      </c>
      <c r="C3437" s="26" t="s">
        <v>25</v>
      </c>
      <c r="D3437" s="28" t="s">
        <v>7091</v>
      </c>
      <c r="E3437" s="26">
        <v>0</v>
      </c>
      <c r="F3437" s="29" t="s">
        <v>226</v>
      </c>
    </row>
    <row r="3438" spans="1:6" ht="43.5" x14ac:dyDescent="0.35">
      <c r="A3438" s="26" t="s">
        <v>216</v>
      </c>
      <c r="B3438" s="26" t="s">
        <v>7092</v>
      </c>
      <c r="C3438" s="26" t="s">
        <v>27</v>
      </c>
      <c r="D3438" s="28" t="s">
        <v>7093</v>
      </c>
      <c r="E3438" s="26">
        <v>0</v>
      </c>
      <c r="F3438" s="29" t="s">
        <v>229</v>
      </c>
    </row>
    <row r="3439" spans="1:6" ht="29" x14ac:dyDescent="0.35">
      <c r="A3439" s="26" t="s">
        <v>216</v>
      </c>
      <c r="B3439" s="26" t="s">
        <v>7094</v>
      </c>
      <c r="C3439" s="26" t="s">
        <v>24</v>
      </c>
      <c r="D3439" s="28" t="s">
        <v>7095</v>
      </c>
      <c r="E3439" s="26">
        <v>0</v>
      </c>
      <c r="F3439" s="29" t="s">
        <v>232</v>
      </c>
    </row>
    <row r="3440" spans="1:6" ht="43.5" x14ac:dyDescent="0.35">
      <c r="A3440" s="26" t="s">
        <v>216</v>
      </c>
      <c r="B3440" s="26" t="s">
        <v>7096</v>
      </c>
      <c r="C3440" s="26" t="s">
        <v>15</v>
      </c>
      <c r="D3440" s="28" t="s">
        <v>218</v>
      </c>
      <c r="E3440" s="26" t="s">
        <v>7097</v>
      </c>
      <c r="F3440" s="29" t="s">
        <v>220</v>
      </c>
    </row>
    <row r="3441" spans="1:6" ht="29" x14ac:dyDescent="0.35">
      <c r="A3441" s="26" t="s">
        <v>216</v>
      </c>
      <c r="B3441" s="26" t="s">
        <v>7098</v>
      </c>
      <c r="C3441" s="26" t="s">
        <v>17</v>
      </c>
      <c r="D3441" s="28" t="s">
        <v>7099</v>
      </c>
      <c r="E3441" s="26">
        <v>13436</v>
      </c>
      <c r="F3441" s="29" t="s">
        <v>247</v>
      </c>
    </row>
    <row r="3442" spans="1:6" ht="29" x14ac:dyDescent="0.35">
      <c r="A3442" s="26" t="s">
        <v>216</v>
      </c>
      <c r="B3442" s="26" t="s">
        <v>7100</v>
      </c>
      <c r="C3442" s="26" t="s">
        <v>20</v>
      </c>
      <c r="D3442" s="28" t="s">
        <v>7101</v>
      </c>
      <c r="E3442" s="26">
        <v>13436</v>
      </c>
      <c r="F3442" s="29" t="s">
        <v>223</v>
      </c>
    </row>
    <row r="3443" spans="1:6" ht="58" x14ac:dyDescent="0.35">
      <c r="A3443" s="26" t="s">
        <v>216</v>
      </c>
      <c r="B3443" s="26" t="s">
        <v>7102</v>
      </c>
      <c r="C3443" s="26" t="s">
        <v>25</v>
      </c>
      <c r="D3443" s="28" t="s">
        <v>7103</v>
      </c>
      <c r="E3443" s="26">
        <v>0</v>
      </c>
      <c r="F3443" s="29" t="s">
        <v>226</v>
      </c>
    </row>
    <row r="3444" spans="1:6" ht="43.5" x14ac:dyDescent="0.35">
      <c r="A3444" s="26" t="s">
        <v>216</v>
      </c>
      <c r="B3444" s="26" t="s">
        <v>7104</v>
      </c>
      <c r="C3444" s="26" t="s">
        <v>27</v>
      </c>
      <c r="D3444" s="28" t="s">
        <v>7105</v>
      </c>
      <c r="E3444" s="26">
        <v>0</v>
      </c>
      <c r="F3444" s="29" t="s">
        <v>229</v>
      </c>
    </row>
    <row r="3445" spans="1:6" ht="29" x14ac:dyDescent="0.35">
      <c r="A3445" s="26" t="s">
        <v>216</v>
      </c>
      <c r="B3445" s="26" t="s">
        <v>7106</v>
      </c>
      <c r="C3445" s="26" t="s">
        <v>24</v>
      </c>
      <c r="D3445" s="28" t="s">
        <v>7107</v>
      </c>
      <c r="E3445" s="26">
        <v>0</v>
      </c>
      <c r="F3445" s="29" t="s">
        <v>232</v>
      </c>
    </row>
    <row r="3446" spans="1:6" ht="43.5" x14ac:dyDescent="0.35">
      <c r="A3446" s="26" t="s">
        <v>216</v>
      </c>
      <c r="B3446" s="26" t="s">
        <v>7108</v>
      </c>
      <c r="C3446" s="26" t="s">
        <v>15</v>
      </c>
      <c r="D3446" s="28" t="s">
        <v>218</v>
      </c>
      <c r="E3446" s="26" t="s">
        <v>7109</v>
      </c>
      <c r="F3446" s="29" t="s">
        <v>220</v>
      </c>
    </row>
    <row r="3447" spans="1:6" ht="29" x14ac:dyDescent="0.35">
      <c r="A3447" s="26" t="s">
        <v>216</v>
      </c>
      <c r="B3447" s="26" t="s">
        <v>7110</v>
      </c>
      <c r="C3447" s="26" t="s">
        <v>17</v>
      </c>
      <c r="D3447" s="28" t="s">
        <v>7111</v>
      </c>
      <c r="E3447" s="26">
        <v>13436</v>
      </c>
      <c r="F3447" s="29" t="s">
        <v>247</v>
      </c>
    </row>
    <row r="3448" spans="1:6" ht="29" x14ac:dyDescent="0.35">
      <c r="A3448" s="26" t="s">
        <v>216</v>
      </c>
      <c r="B3448" s="26" t="s">
        <v>7112</v>
      </c>
      <c r="C3448" s="26" t="s">
        <v>20</v>
      </c>
      <c r="D3448" s="28" t="s">
        <v>7113</v>
      </c>
      <c r="E3448" s="26">
        <v>13436</v>
      </c>
      <c r="F3448" s="29" t="s">
        <v>223</v>
      </c>
    </row>
    <row r="3449" spans="1:6" ht="58" x14ac:dyDescent="0.35">
      <c r="A3449" s="26" t="s">
        <v>216</v>
      </c>
      <c r="B3449" s="26" t="s">
        <v>7114</v>
      </c>
      <c r="C3449" s="26" t="s">
        <v>25</v>
      </c>
      <c r="D3449" s="28" t="s">
        <v>7115</v>
      </c>
      <c r="E3449" s="26">
        <v>0</v>
      </c>
      <c r="F3449" s="29" t="s">
        <v>226</v>
      </c>
    </row>
    <row r="3450" spans="1:6" ht="43.5" x14ac:dyDescent="0.35">
      <c r="A3450" s="26" t="s">
        <v>216</v>
      </c>
      <c r="B3450" s="26" t="s">
        <v>7116</v>
      </c>
      <c r="C3450" s="26" t="s">
        <v>27</v>
      </c>
      <c r="D3450" s="28" t="s">
        <v>7117</v>
      </c>
      <c r="E3450" s="26">
        <v>0</v>
      </c>
      <c r="F3450" s="29" t="s">
        <v>229</v>
      </c>
    </row>
    <row r="3451" spans="1:6" ht="29" x14ac:dyDescent="0.35">
      <c r="A3451" s="26" t="s">
        <v>216</v>
      </c>
      <c r="B3451" s="26" t="s">
        <v>7118</v>
      </c>
      <c r="C3451" s="26" t="s">
        <v>24</v>
      </c>
      <c r="D3451" s="28" t="s">
        <v>7119</v>
      </c>
      <c r="E3451" s="26">
        <v>0</v>
      </c>
      <c r="F3451" s="29" t="s">
        <v>232</v>
      </c>
    </row>
    <row r="3452" spans="1:6" ht="43.5" x14ac:dyDescent="0.35">
      <c r="A3452" s="26" t="s">
        <v>216</v>
      </c>
      <c r="B3452" s="26" t="s">
        <v>7120</v>
      </c>
      <c r="C3452" s="26" t="s">
        <v>15</v>
      </c>
      <c r="D3452" s="28" t="s">
        <v>218</v>
      </c>
      <c r="E3452" s="26" t="s">
        <v>7121</v>
      </c>
      <c r="F3452" s="29" t="s">
        <v>220</v>
      </c>
    </row>
    <row r="3453" spans="1:6" ht="29" x14ac:dyDescent="0.35">
      <c r="A3453" s="26" t="s">
        <v>216</v>
      </c>
      <c r="B3453" s="26" t="s">
        <v>7122</v>
      </c>
      <c r="C3453" s="26" t="s">
        <v>17</v>
      </c>
      <c r="D3453" s="28" t="s">
        <v>7123</v>
      </c>
      <c r="E3453" s="26">
        <v>13436</v>
      </c>
      <c r="F3453" s="29" t="s">
        <v>247</v>
      </c>
    </row>
    <row r="3454" spans="1:6" ht="29" x14ac:dyDescent="0.35">
      <c r="A3454" s="26" t="s">
        <v>216</v>
      </c>
      <c r="B3454" s="26" t="s">
        <v>7124</v>
      </c>
      <c r="C3454" s="26" t="s">
        <v>20</v>
      </c>
      <c r="D3454" s="28" t="s">
        <v>7125</v>
      </c>
      <c r="E3454" s="26">
        <v>13436</v>
      </c>
      <c r="F3454" s="29" t="s">
        <v>223</v>
      </c>
    </row>
    <row r="3455" spans="1:6" ht="58" x14ac:dyDescent="0.35">
      <c r="A3455" s="26" t="s">
        <v>216</v>
      </c>
      <c r="B3455" s="26" t="s">
        <v>7126</v>
      </c>
      <c r="C3455" s="26" t="s">
        <v>25</v>
      </c>
      <c r="D3455" s="28" t="s">
        <v>7127</v>
      </c>
      <c r="E3455" s="26">
        <v>0</v>
      </c>
      <c r="F3455" s="29" t="s">
        <v>226</v>
      </c>
    </row>
    <row r="3456" spans="1:6" ht="43.5" x14ac:dyDescent="0.35">
      <c r="A3456" s="26" t="s">
        <v>216</v>
      </c>
      <c r="B3456" s="26" t="s">
        <v>7128</v>
      </c>
      <c r="C3456" s="26" t="s">
        <v>27</v>
      </c>
      <c r="D3456" s="28" t="s">
        <v>7129</v>
      </c>
      <c r="E3456" s="26">
        <v>0</v>
      </c>
      <c r="F3456" s="29" t="s">
        <v>229</v>
      </c>
    </row>
    <row r="3457" spans="1:6" ht="29" x14ac:dyDescent="0.35">
      <c r="A3457" s="26" t="s">
        <v>216</v>
      </c>
      <c r="B3457" s="26" t="s">
        <v>7130</v>
      </c>
      <c r="C3457" s="26" t="s">
        <v>24</v>
      </c>
      <c r="D3457" s="28" t="s">
        <v>7131</v>
      </c>
      <c r="E3457" s="26">
        <v>0</v>
      </c>
      <c r="F3457" s="29" t="s">
        <v>232</v>
      </c>
    </row>
    <row r="3458" spans="1:6" ht="43.5" x14ac:dyDescent="0.35">
      <c r="A3458" s="26" t="s">
        <v>216</v>
      </c>
      <c r="B3458" s="26" t="s">
        <v>7132</v>
      </c>
      <c r="C3458" s="26" t="s">
        <v>15</v>
      </c>
      <c r="D3458" s="28" t="s">
        <v>218</v>
      </c>
      <c r="E3458" s="26" t="s">
        <v>7133</v>
      </c>
      <c r="F3458" s="29" t="s">
        <v>220</v>
      </c>
    </row>
    <row r="3459" spans="1:6" ht="29" x14ac:dyDescent="0.35">
      <c r="A3459" s="26" t="s">
        <v>216</v>
      </c>
      <c r="B3459" s="26" t="s">
        <v>7134</v>
      </c>
      <c r="C3459" s="26" t="s">
        <v>17</v>
      </c>
      <c r="D3459" s="28" t="s">
        <v>7135</v>
      </c>
      <c r="E3459" s="26">
        <v>13436</v>
      </c>
      <c r="F3459" s="29" t="s">
        <v>247</v>
      </c>
    </row>
    <row r="3460" spans="1:6" ht="29" x14ac:dyDescent="0.35">
      <c r="A3460" s="26" t="s">
        <v>216</v>
      </c>
      <c r="B3460" s="26" t="s">
        <v>7136</v>
      </c>
      <c r="C3460" s="26" t="s">
        <v>20</v>
      </c>
      <c r="D3460" s="28" t="s">
        <v>7137</v>
      </c>
      <c r="E3460" s="26">
        <v>13436</v>
      </c>
      <c r="F3460" s="29" t="s">
        <v>223</v>
      </c>
    </row>
    <row r="3461" spans="1:6" ht="58" x14ac:dyDescent="0.35">
      <c r="A3461" s="26" t="s">
        <v>216</v>
      </c>
      <c r="B3461" s="26" t="s">
        <v>7138</v>
      </c>
      <c r="C3461" s="26" t="s">
        <v>25</v>
      </c>
      <c r="D3461" s="28" t="s">
        <v>7139</v>
      </c>
      <c r="E3461" s="26">
        <v>0</v>
      </c>
      <c r="F3461" s="29" t="s">
        <v>226</v>
      </c>
    </row>
    <row r="3462" spans="1:6" ht="43.5" x14ac:dyDescent="0.35">
      <c r="A3462" s="26" t="s">
        <v>216</v>
      </c>
      <c r="B3462" s="26" t="s">
        <v>7140</v>
      </c>
      <c r="C3462" s="26" t="s">
        <v>27</v>
      </c>
      <c r="D3462" s="28" t="s">
        <v>7141</v>
      </c>
      <c r="E3462" s="26">
        <v>0</v>
      </c>
      <c r="F3462" s="29" t="s">
        <v>229</v>
      </c>
    </row>
    <row r="3463" spans="1:6" ht="29" x14ac:dyDescent="0.35">
      <c r="A3463" s="26" t="s">
        <v>216</v>
      </c>
      <c r="B3463" s="26" t="s">
        <v>7142</v>
      </c>
      <c r="C3463" s="26" t="s">
        <v>24</v>
      </c>
      <c r="D3463" s="28" t="s">
        <v>7143</v>
      </c>
      <c r="E3463" s="26">
        <v>0</v>
      </c>
      <c r="F3463" s="29" t="s">
        <v>232</v>
      </c>
    </row>
    <row r="3464" spans="1:6" ht="43.5" x14ac:dyDescent="0.35">
      <c r="A3464" s="26" t="s">
        <v>216</v>
      </c>
      <c r="B3464" s="26" t="s">
        <v>7144</v>
      </c>
      <c r="C3464" s="26" t="s">
        <v>15</v>
      </c>
      <c r="D3464" s="28" t="s">
        <v>218</v>
      </c>
      <c r="E3464" s="26" t="s">
        <v>7145</v>
      </c>
      <c r="F3464" s="29" t="s">
        <v>220</v>
      </c>
    </row>
    <row r="3465" spans="1:6" ht="29" x14ac:dyDescent="0.35">
      <c r="A3465" s="26" t="s">
        <v>216</v>
      </c>
      <c r="B3465" s="26" t="s">
        <v>7146</v>
      </c>
      <c r="C3465" s="26" t="s">
        <v>17</v>
      </c>
      <c r="D3465" s="28" t="s">
        <v>7147</v>
      </c>
      <c r="E3465" s="26">
        <v>13436</v>
      </c>
      <c r="F3465" s="29" t="s">
        <v>247</v>
      </c>
    </row>
    <row r="3466" spans="1:6" ht="29" x14ac:dyDescent="0.35">
      <c r="A3466" s="26" t="s">
        <v>216</v>
      </c>
      <c r="B3466" s="26" t="s">
        <v>7148</v>
      </c>
      <c r="C3466" s="26" t="s">
        <v>20</v>
      </c>
      <c r="D3466" s="28" t="s">
        <v>7149</v>
      </c>
      <c r="E3466" s="26">
        <v>13436</v>
      </c>
      <c r="F3466" s="29" t="s">
        <v>223</v>
      </c>
    </row>
    <row r="3467" spans="1:6" ht="58" x14ac:dyDescent="0.35">
      <c r="A3467" s="26" t="s">
        <v>216</v>
      </c>
      <c r="B3467" s="26" t="s">
        <v>7150</v>
      </c>
      <c r="C3467" s="26" t="s">
        <v>25</v>
      </c>
      <c r="D3467" s="28" t="s">
        <v>7151</v>
      </c>
      <c r="E3467" s="26">
        <v>0</v>
      </c>
      <c r="F3467" s="29" t="s">
        <v>226</v>
      </c>
    </row>
    <row r="3468" spans="1:6" ht="43.5" x14ac:dyDescent="0.35">
      <c r="A3468" s="26" t="s">
        <v>216</v>
      </c>
      <c r="B3468" s="26" t="s">
        <v>7152</v>
      </c>
      <c r="C3468" s="26" t="s">
        <v>27</v>
      </c>
      <c r="D3468" s="28" t="s">
        <v>7153</v>
      </c>
      <c r="E3468" s="26">
        <v>0</v>
      </c>
      <c r="F3468" s="29" t="s">
        <v>229</v>
      </c>
    </row>
    <row r="3469" spans="1:6" ht="29" x14ac:dyDescent="0.35">
      <c r="A3469" s="26" t="s">
        <v>216</v>
      </c>
      <c r="B3469" s="26" t="s">
        <v>7154</v>
      </c>
      <c r="C3469" s="26" t="s">
        <v>24</v>
      </c>
      <c r="D3469" s="28" t="s">
        <v>7155</v>
      </c>
      <c r="E3469" s="26">
        <v>0</v>
      </c>
      <c r="F3469" s="29" t="s">
        <v>232</v>
      </c>
    </row>
    <row r="3470" spans="1:6" ht="43.5" x14ac:dyDescent="0.35">
      <c r="A3470" s="26" t="s">
        <v>216</v>
      </c>
      <c r="B3470" s="26" t="s">
        <v>7156</v>
      </c>
      <c r="C3470" s="26" t="s">
        <v>15</v>
      </c>
      <c r="D3470" s="28" t="s">
        <v>218</v>
      </c>
      <c r="E3470" s="26" t="s">
        <v>7157</v>
      </c>
      <c r="F3470" s="29" t="s">
        <v>220</v>
      </c>
    </row>
    <row r="3471" spans="1:6" ht="29" x14ac:dyDescent="0.35">
      <c r="A3471" s="26" t="s">
        <v>216</v>
      </c>
      <c r="B3471" s="26" t="s">
        <v>7158</v>
      </c>
      <c r="C3471" s="26" t="s">
        <v>17</v>
      </c>
      <c r="D3471" s="28" t="s">
        <v>7159</v>
      </c>
      <c r="E3471" s="26">
        <v>13436</v>
      </c>
      <c r="F3471" s="29" t="s">
        <v>247</v>
      </c>
    </row>
    <row r="3472" spans="1:6" ht="29" x14ac:dyDescent="0.35">
      <c r="A3472" s="26" t="s">
        <v>216</v>
      </c>
      <c r="B3472" s="26" t="s">
        <v>7160</v>
      </c>
      <c r="C3472" s="26" t="s">
        <v>20</v>
      </c>
      <c r="D3472" s="28" t="s">
        <v>7161</v>
      </c>
      <c r="E3472" s="26">
        <v>13436</v>
      </c>
      <c r="F3472" s="29" t="s">
        <v>223</v>
      </c>
    </row>
    <row r="3473" spans="1:6" ht="58" x14ac:dyDescent="0.35">
      <c r="A3473" s="26" t="s">
        <v>216</v>
      </c>
      <c r="B3473" s="26" t="s">
        <v>7162</v>
      </c>
      <c r="C3473" s="26" t="s">
        <v>25</v>
      </c>
      <c r="D3473" s="28" t="s">
        <v>7163</v>
      </c>
      <c r="E3473" s="26">
        <v>0</v>
      </c>
      <c r="F3473" s="29" t="s">
        <v>226</v>
      </c>
    </row>
    <row r="3474" spans="1:6" ht="43.5" x14ac:dyDescent="0.35">
      <c r="A3474" s="26" t="s">
        <v>216</v>
      </c>
      <c r="B3474" s="26" t="s">
        <v>7164</v>
      </c>
      <c r="C3474" s="26" t="s">
        <v>27</v>
      </c>
      <c r="D3474" s="28" t="s">
        <v>7165</v>
      </c>
      <c r="E3474" s="26">
        <v>0</v>
      </c>
      <c r="F3474" s="29" t="s">
        <v>229</v>
      </c>
    </row>
    <row r="3475" spans="1:6" ht="29" x14ac:dyDescent="0.35">
      <c r="A3475" s="26" t="s">
        <v>216</v>
      </c>
      <c r="B3475" s="26" t="s">
        <v>7166</v>
      </c>
      <c r="C3475" s="26" t="s">
        <v>24</v>
      </c>
      <c r="D3475" s="28" t="s">
        <v>7167</v>
      </c>
      <c r="E3475" s="26">
        <v>0</v>
      </c>
      <c r="F3475" s="29" t="s">
        <v>232</v>
      </c>
    </row>
    <row r="3476" spans="1:6" ht="43.5" x14ac:dyDescent="0.35">
      <c r="A3476" s="26" t="s">
        <v>216</v>
      </c>
      <c r="B3476" s="26" t="s">
        <v>7168</v>
      </c>
      <c r="C3476" s="26" t="s">
        <v>15</v>
      </c>
      <c r="D3476" s="28" t="s">
        <v>218</v>
      </c>
      <c r="E3476" s="26" t="s">
        <v>7169</v>
      </c>
      <c r="F3476" s="29" t="s">
        <v>220</v>
      </c>
    </row>
    <row r="3477" spans="1:6" ht="29" x14ac:dyDescent="0.35">
      <c r="A3477" s="26" t="s">
        <v>216</v>
      </c>
      <c r="B3477" s="26" t="s">
        <v>7170</v>
      </c>
      <c r="C3477" s="26" t="s">
        <v>17</v>
      </c>
      <c r="D3477" s="28" t="s">
        <v>7171</v>
      </c>
      <c r="E3477" s="26">
        <v>13436</v>
      </c>
      <c r="F3477" s="29" t="s">
        <v>247</v>
      </c>
    </row>
    <row r="3478" spans="1:6" ht="29" x14ac:dyDescent="0.35">
      <c r="A3478" s="26" t="s">
        <v>216</v>
      </c>
      <c r="B3478" s="26" t="s">
        <v>7172</v>
      </c>
      <c r="C3478" s="26" t="s">
        <v>20</v>
      </c>
      <c r="D3478" s="28" t="s">
        <v>7173</v>
      </c>
      <c r="E3478" s="26">
        <v>13436</v>
      </c>
      <c r="F3478" s="29" t="s">
        <v>223</v>
      </c>
    </row>
    <row r="3479" spans="1:6" ht="58" x14ac:dyDescent="0.35">
      <c r="A3479" s="26" t="s">
        <v>216</v>
      </c>
      <c r="B3479" s="26" t="s">
        <v>7174</v>
      </c>
      <c r="C3479" s="26" t="s">
        <v>25</v>
      </c>
      <c r="D3479" s="28" t="s">
        <v>7175</v>
      </c>
      <c r="E3479" s="26">
        <v>0</v>
      </c>
      <c r="F3479" s="29" t="s">
        <v>226</v>
      </c>
    </row>
    <row r="3480" spans="1:6" ht="43.5" x14ac:dyDescent="0.35">
      <c r="A3480" s="26" t="s">
        <v>216</v>
      </c>
      <c r="B3480" s="26" t="s">
        <v>7176</v>
      </c>
      <c r="C3480" s="26" t="s">
        <v>27</v>
      </c>
      <c r="D3480" s="28" t="s">
        <v>7177</v>
      </c>
      <c r="E3480" s="26">
        <v>0</v>
      </c>
      <c r="F3480" s="29" t="s">
        <v>229</v>
      </c>
    </row>
    <row r="3481" spans="1:6" ht="29" x14ac:dyDescent="0.35">
      <c r="A3481" s="26" t="s">
        <v>216</v>
      </c>
      <c r="B3481" s="26" t="s">
        <v>7178</v>
      </c>
      <c r="C3481" s="26" t="s">
        <v>24</v>
      </c>
      <c r="D3481" s="28" t="s">
        <v>7179</v>
      </c>
      <c r="E3481" s="26">
        <v>0</v>
      </c>
      <c r="F3481" s="29" t="s">
        <v>232</v>
      </c>
    </row>
    <row r="3482" spans="1:6" ht="43.5" x14ac:dyDescent="0.35">
      <c r="A3482" s="26" t="s">
        <v>216</v>
      </c>
      <c r="B3482" s="26" t="s">
        <v>7180</v>
      </c>
      <c r="C3482" s="26" t="s">
        <v>15</v>
      </c>
      <c r="D3482" s="28" t="s">
        <v>218</v>
      </c>
      <c r="E3482" s="26" t="s">
        <v>7181</v>
      </c>
      <c r="F3482" s="29" t="s">
        <v>220</v>
      </c>
    </row>
    <row r="3483" spans="1:6" ht="29" x14ac:dyDescent="0.35">
      <c r="A3483" s="26" t="s">
        <v>216</v>
      </c>
      <c r="B3483" s="26" t="s">
        <v>7182</v>
      </c>
      <c r="C3483" s="26" t="s">
        <v>17</v>
      </c>
      <c r="D3483" s="28" t="s">
        <v>7183</v>
      </c>
      <c r="E3483" s="26">
        <v>13436</v>
      </c>
      <c r="F3483" s="29" t="s">
        <v>247</v>
      </c>
    </row>
    <row r="3484" spans="1:6" ht="29" x14ac:dyDescent="0.35">
      <c r="A3484" s="26" t="s">
        <v>216</v>
      </c>
      <c r="B3484" s="26" t="s">
        <v>7184</v>
      </c>
      <c r="C3484" s="26" t="s">
        <v>20</v>
      </c>
      <c r="D3484" s="28" t="s">
        <v>7185</v>
      </c>
      <c r="E3484" s="26">
        <v>13436</v>
      </c>
      <c r="F3484" s="29" t="s">
        <v>223</v>
      </c>
    </row>
    <row r="3485" spans="1:6" ht="58" x14ac:dyDescent="0.35">
      <c r="A3485" s="26" t="s">
        <v>216</v>
      </c>
      <c r="B3485" s="26" t="s">
        <v>7186</v>
      </c>
      <c r="C3485" s="26" t="s">
        <v>25</v>
      </c>
      <c r="D3485" s="28" t="s">
        <v>7187</v>
      </c>
      <c r="E3485" s="26">
        <v>0</v>
      </c>
      <c r="F3485" s="29" t="s">
        <v>226</v>
      </c>
    </row>
    <row r="3486" spans="1:6" ht="43.5" x14ac:dyDescent="0.35">
      <c r="A3486" s="26" t="s">
        <v>216</v>
      </c>
      <c r="B3486" s="26" t="s">
        <v>7188</v>
      </c>
      <c r="C3486" s="26" t="s">
        <v>27</v>
      </c>
      <c r="D3486" s="28" t="s">
        <v>7189</v>
      </c>
      <c r="E3486" s="26">
        <v>0</v>
      </c>
      <c r="F3486" s="29" t="s">
        <v>229</v>
      </c>
    </row>
    <row r="3487" spans="1:6" ht="29" x14ac:dyDescent="0.35">
      <c r="A3487" s="26" t="s">
        <v>216</v>
      </c>
      <c r="B3487" s="26" t="s">
        <v>7190</v>
      </c>
      <c r="C3487" s="26" t="s">
        <v>24</v>
      </c>
      <c r="D3487" s="28" t="s">
        <v>7191</v>
      </c>
      <c r="E3487" s="26">
        <v>0</v>
      </c>
      <c r="F3487" s="29" t="s">
        <v>232</v>
      </c>
    </row>
    <row r="3488" spans="1:6" ht="43.5" x14ac:dyDescent="0.35">
      <c r="A3488" s="26" t="s">
        <v>216</v>
      </c>
      <c r="B3488" s="26" t="s">
        <v>7192</v>
      </c>
      <c r="C3488" s="26" t="s">
        <v>15</v>
      </c>
      <c r="D3488" s="28" t="s">
        <v>218</v>
      </c>
      <c r="E3488" s="26" t="s">
        <v>7193</v>
      </c>
      <c r="F3488" s="29" t="s">
        <v>220</v>
      </c>
    </row>
    <row r="3489" spans="1:6" ht="29" x14ac:dyDescent="0.35">
      <c r="A3489" s="26" t="s">
        <v>216</v>
      </c>
      <c r="B3489" s="26" t="s">
        <v>7194</v>
      </c>
      <c r="C3489" s="26" t="s">
        <v>17</v>
      </c>
      <c r="D3489" s="28" t="s">
        <v>7195</v>
      </c>
      <c r="E3489" s="26">
        <v>13436</v>
      </c>
      <c r="F3489" s="29" t="s">
        <v>247</v>
      </c>
    </row>
    <row r="3490" spans="1:6" ht="29" x14ac:dyDescent="0.35">
      <c r="A3490" s="26" t="s">
        <v>216</v>
      </c>
      <c r="B3490" s="26" t="s">
        <v>7196</v>
      </c>
      <c r="C3490" s="26" t="s">
        <v>20</v>
      </c>
      <c r="D3490" s="28" t="s">
        <v>7197</v>
      </c>
      <c r="E3490" s="26">
        <v>13436</v>
      </c>
      <c r="F3490" s="29" t="s">
        <v>223</v>
      </c>
    </row>
    <row r="3491" spans="1:6" ht="58" x14ac:dyDescent="0.35">
      <c r="A3491" s="26" t="s">
        <v>216</v>
      </c>
      <c r="B3491" s="26" t="s">
        <v>7198</v>
      </c>
      <c r="C3491" s="26" t="s">
        <v>25</v>
      </c>
      <c r="D3491" s="28" t="s">
        <v>7199</v>
      </c>
      <c r="E3491" s="26">
        <v>0</v>
      </c>
      <c r="F3491" s="29" t="s">
        <v>226</v>
      </c>
    </row>
    <row r="3492" spans="1:6" ht="43.5" x14ac:dyDescent="0.35">
      <c r="A3492" s="26" t="s">
        <v>216</v>
      </c>
      <c r="B3492" s="26" t="s">
        <v>7200</v>
      </c>
      <c r="C3492" s="26" t="s">
        <v>27</v>
      </c>
      <c r="D3492" s="28" t="s">
        <v>7201</v>
      </c>
      <c r="E3492" s="26">
        <v>0</v>
      </c>
      <c r="F3492" s="29" t="s">
        <v>229</v>
      </c>
    </row>
    <row r="3493" spans="1:6" ht="29" x14ac:dyDescent="0.35">
      <c r="A3493" s="26" t="s">
        <v>216</v>
      </c>
      <c r="B3493" s="26" t="s">
        <v>7202</v>
      </c>
      <c r="C3493" s="26" t="s">
        <v>24</v>
      </c>
      <c r="D3493" s="28" t="s">
        <v>7203</v>
      </c>
      <c r="E3493" s="26">
        <v>0</v>
      </c>
      <c r="F3493" s="29" t="s">
        <v>232</v>
      </c>
    </row>
    <row r="3494" spans="1:6" ht="43.5" x14ac:dyDescent="0.35">
      <c r="A3494" s="26" t="s">
        <v>216</v>
      </c>
      <c r="B3494" s="26" t="s">
        <v>7204</v>
      </c>
      <c r="C3494" s="26" t="s">
        <v>15</v>
      </c>
      <c r="D3494" s="28" t="s">
        <v>218</v>
      </c>
      <c r="E3494" s="26" t="s">
        <v>7205</v>
      </c>
      <c r="F3494" s="29" t="s">
        <v>220</v>
      </c>
    </row>
    <row r="3495" spans="1:6" ht="29" x14ac:dyDescent="0.35">
      <c r="A3495" s="26" t="s">
        <v>216</v>
      </c>
      <c r="B3495" s="26" t="s">
        <v>7206</v>
      </c>
      <c r="C3495" s="26" t="s">
        <v>17</v>
      </c>
      <c r="D3495" s="28" t="s">
        <v>7207</v>
      </c>
      <c r="E3495" s="26">
        <v>13436</v>
      </c>
      <c r="F3495" s="29" t="s">
        <v>247</v>
      </c>
    </row>
    <row r="3496" spans="1:6" ht="29" x14ac:dyDescent="0.35">
      <c r="A3496" s="26" t="s">
        <v>216</v>
      </c>
      <c r="B3496" s="26" t="s">
        <v>7208</v>
      </c>
      <c r="C3496" s="26" t="s">
        <v>20</v>
      </c>
      <c r="D3496" s="28" t="s">
        <v>7209</v>
      </c>
      <c r="E3496" s="26">
        <v>13436</v>
      </c>
      <c r="F3496" s="29" t="s">
        <v>223</v>
      </c>
    </row>
    <row r="3497" spans="1:6" ht="58" x14ac:dyDescent="0.35">
      <c r="A3497" s="26" t="s">
        <v>216</v>
      </c>
      <c r="B3497" s="26" t="s">
        <v>7210</v>
      </c>
      <c r="C3497" s="26" t="s">
        <v>25</v>
      </c>
      <c r="D3497" s="28" t="s">
        <v>7211</v>
      </c>
      <c r="E3497" s="26">
        <v>0</v>
      </c>
      <c r="F3497" s="29" t="s">
        <v>226</v>
      </c>
    </row>
    <row r="3498" spans="1:6" ht="43.5" x14ac:dyDescent="0.35">
      <c r="A3498" s="26" t="s">
        <v>216</v>
      </c>
      <c r="B3498" s="26" t="s">
        <v>7212</v>
      </c>
      <c r="C3498" s="26" t="s">
        <v>27</v>
      </c>
      <c r="D3498" s="28" t="s">
        <v>7213</v>
      </c>
      <c r="E3498" s="26">
        <v>0</v>
      </c>
      <c r="F3498" s="29" t="s">
        <v>229</v>
      </c>
    </row>
    <row r="3499" spans="1:6" ht="29" x14ac:dyDescent="0.35">
      <c r="A3499" s="26" t="s">
        <v>216</v>
      </c>
      <c r="B3499" s="26" t="s">
        <v>7214</v>
      </c>
      <c r="C3499" s="26" t="s">
        <v>24</v>
      </c>
      <c r="D3499" s="28" t="s">
        <v>7215</v>
      </c>
      <c r="E3499" s="26">
        <v>0</v>
      </c>
      <c r="F3499" s="29" t="s">
        <v>232</v>
      </c>
    </row>
    <row r="3500" spans="1:6" ht="43.5" x14ac:dyDescent="0.35">
      <c r="A3500" s="26" t="s">
        <v>216</v>
      </c>
      <c r="B3500" s="26" t="s">
        <v>7216</v>
      </c>
      <c r="C3500" s="26" t="s">
        <v>15</v>
      </c>
      <c r="D3500" s="28" t="s">
        <v>218</v>
      </c>
      <c r="E3500" s="26" t="s">
        <v>7217</v>
      </c>
      <c r="F3500" s="29" t="s">
        <v>220</v>
      </c>
    </row>
    <row r="3501" spans="1:6" ht="29" x14ac:dyDescent="0.35">
      <c r="A3501" s="26" t="s">
        <v>216</v>
      </c>
      <c r="B3501" s="26" t="s">
        <v>7218</v>
      </c>
      <c r="C3501" s="26" t="s">
        <v>17</v>
      </c>
      <c r="D3501" s="28" t="s">
        <v>7219</v>
      </c>
      <c r="E3501" s="26">
        <v>13436</v>
      </c>
      <c r="F3501" s="29" t="s">
        <v>247</v>
      </c>
    </row>
    <row r="3502" spans="1:6" ht="29" x14ac:dyDescent="0.35">
      <c r="A3502" s="26" t="s">
        <v>216</v>
      </c>
      <c r="B3502" s="26" t="s">
        <v>7220</v>
      </c>
      <c r="C3502" s="26" t="s">
        <v>20</v>
      </c>
      <c r="D3502" s="28" t="s">
        <v>7221</v>
      </c>
      <c r="E3502" s="26">
        <v>13436</v>
      </c>
      <c r="F3502" s="29" t="s">
        <v>223</v>
      </c>
    </row>
    <row r="3503" spans="1:6" ht="58" x14ac:dyDescent="0.35">
      <c r="A3503" s="26" t="s">
        <v>216</v>
      </c>
      <c r="B3503" s="26" t="s">
        <v>7222</v>
      </c>
      <c r="C3503" s="26" t="s">
        <v>25</v>
      </c>
      <c r="D3503" s="28" t="s">
        <v>7223</v>
      </c>
      <c r="E3503" s="26">
        <v>0</v>
      </c>
      <c r="F3503" s="29" t="s">
        <v>226</v>
      </c>
    </row>
    <row r="3504" spans="1:6" ht="43.5" x14ac:dyDescent="0.35">
      <c r="A3504" s="26" t="s">
        <v>216</v>
      </c>
      <c r="B3504" s="26" t="s">
        <v>7224</v>
      </c>
      <c r="C3504" s="26" t="s">
        <v>27</v>
      </c>
      <c r="D3504" s="28" t="s">
        <v>7225</v>
      </c>
      <c r="E3504" s="26">
        <v>0</v>
      </c>
      <c r="F3504" s="29" t="s">
        <v>229</v>
      </c>
    </row>
    <row r="3505" spans="1:6" ht="29" x14ac:dyDescent="0.35">
      <c r="A3505" s="26" t="s">
        <v>216</v>
      </c>
      <c r="B3505" s="26" t="s">
        <v>7226</v>
      </c>
      <c r="C3505" s="26" t="s">
        <v>24</v>
      </c>
      <c r="D3505" s="28" t="s">
        <v>7227</v>
      </c>
      <c r="E3505" s="26">
        <v>0</v>
      </c>
      <c r="F3505" s="29" t="s">
        <v>232</v>
      </c>
    </row>
    <row r="3506" spans="1:6" ht="43.5" x14ac:dyDescent="0.35">
      <c r="A3506" s="26" t="s">
        <v>216</v>
      </c>
      <c r="B3506" s="26" t="s">
        <v>7228</v>
      </c>
      <c r="C3506" s="26" t="s">
        <v>15</v>
      </c>
      <c r="D3506" s="28" t="s">
        <v>218</v>
      </c>
      <c r="E3506" s="26" t="s">
        <v>7229</v>
      </c>
      <c r="F3506" s="29" t="s">
        <v>220</v>
      </c>
    </row>
    <row r="3507" spans="1:6" ht="29" x14ac:dyDescent="0.35">
      <c r="A3507" s="26" t="s">
        <v>216</v>
      </c>
      <c r="B3507" s="26" t="s">
        <v>7230</v>
      </c>
      <c r="C3507" s="26" t="s">
        <v>17</v>
      </c>
      <c r="D3507" s="28" t="s">
        <v>7231</v>
      </c>
      <c r="E3507" s="26">
        <v>13436</v>
      </c>
      <c r="F3507" s="29" t="s">
        <v>247</v>
      </c>
    </row>
    <row r="3508" spans="1:6" ht="29" x14ac:dyDescent="0.35">
      <c r="A3508" s="26" t="s">
        <v>216</v>
      </c>
      <c r="B3508" s="26" t="s">
        <v>7232</v>
      </c>
      <c r="C3508" s="26" t="s">
        <v>20</v>
      </c>
      <c r="D3508" s="28" t="s">
        <v>7233</v>
      </c>
      <c r="E3508" s="26">
        <v>13436</v>
      </c>
      <c r="F3508" s="29" t="s">
        <v>223</v>
      </c>
    </row>
    <row r="3509" spans="1:6" ht="58" x14ac:dyDescent="0.35">
      <c r="A3509" s="26" t="s">
        <v>216</v>
      </c>
      <c r="B3509" s="26" t="s">
        <v>7234</v>
      </c>
      <c r="C3509" s="26" t="s">
        <v>25</v>
      </c>
      <c r="D3509" s="28" t="s">
        <v>7235</v>
      </c>
      <c r="E3509" s="26">
        <v>0</v>
      </c>
      <c r="F3509" s="29" t="s">
        <v>226</v>
      </c>
    </row>
    <row r="3510" spans="1:6" ht="43.5" x14ac:dyDescent="0.35">
      <c r="A3510" s="26" t="s">
        <v>216</v>
      </c>
      <c r="B3510" s="26" t="s">
        <v>7236</v>
      </c>
      <c r="C3510" s="26" t="s">
        <v>27</v>
      </c>
      <c r="D3510" s="28" t="s">
        <v>7237</v>
      </c>
      <c r="E3510" s="26">
        <v>0</v>
      </c>
      <c r="F3510" s="29" t="s">
        <v>229</v>
      </c>
    </row>
    <row r="3511" spans="1:6" ht="29" x14ac:dyDescent="0.35">
      <c r="A3511" s="26" t="s">
        <v>216</v>
      </c>
      <c r="B3511" s="26" t="s">
        <v>7238</v>
      </c>
      <c r="C3511" s="26" t="s">
        <v>24</v>
      </c>
      <c r="D3511" s="28" t="s">
        <v>7239</v>
      </c>
      <c r="E3511" s="26">
        <v>0</v>
      </c>
      <c r="F3511" s="29" t="s">
        <v>232</v>
      </c>
    </row>
    <row r="3512" spans="1:6" ht="43.5" x14ac:dyDescent="0.35">
      <c r="A3512" s="26" t="s">
        <v>216</v>
      </c>
      <c r="B3512" s="26" t="s">
        <v>7240</v>
      </c>
      <c r="C3512" s="26" t="s">
        <v>15</v>
      </c>
      <c r="D3512" s="28" t="s">
        <v>218</v>
      </c>
      <c r="E3512" s="26" t="s">
        <v>7241</v>
      </c>
      <c r="F3512" s="29" t="s">
        <v>220</v>
      </c>
    </row>
    <row r="3513" spans="1:6" ht="29" x14ac:dyDescent="0.35">
      <c r="A3513" s="26" t="s">
        <v>216</v>
      </c>
      <c r="B3513" s="26" t="s">
        <v>7242</v>
      </c>
      <c r="C3513" s="26" t="s">
        <v>17</v>
      </c>
      <c r="D3513" s="28" t="s">
        <v>7243</v>
      </c>
      <c r="E3513" s="26">
        <v>13436</v>
      </c>
      <c r="F3513" s="29" t="s">
        <v>247</v>
      </c>
    </row>
    <row r="3514" spans="1:6" ht="29" x14ac:dyDescent="0.35">
      <c r="A3514" s="26" t="s">
        <v>216</v>
      </c>
      <c r="B3514" s="26" t="s">
        <v>7244</v>
      </c>
      <c r="C3514" s="26" t="s">
        <v>20</v>
      </c>
      <c r="D3514" s="28" t="s">
        <v>7245</v>
      </c>
      <c r="E3514" s="26">
        <v>13436</v>
      </c>
      <c r="F3514" s="29" t="s">
        <v>223</v>
      </c>
    </row>
    <row r="3515" spans="1:6" ht="58" x14ac:dyDescent="0.35">
      <c r="A3515" s="26" t="s">
        <v>216</v>
      </c>
      <c r="B3515" s="26" t="s">
        <v>7246</v>
      </c>
      <c r="C3515" s="26" t="s">
        <v>25</v>
      </c>
      <c r="D3515" s="28" t="s">
        <v>7247</v>
      </c>
      <c r="E3515" s="26">
        <v>0</v>
      </c>
      <c r="F3515" s="29" t="s">
        <v>226</v>
      </c>
    </row>
    <row r="3516" spans="1:6" ht="43.5" x14ac:dyDescent="0.35">
      <c r="A3516" s="26" t="s">
        <v>216</v>
      </c>
      <c r="B3516" s="26" t="s">
        <v>7248</v>
      </c>
      <c r="C3516" s="26" t="s">
        <v>27</v>
      </c>
      <c r="D3516" s="28" t="s">
        <v>7249</v>
      </c>
      <c r="E3516" s="26">
        <v>0</v>
      </c>
      <c r="F3516" s="29" t="s">
        <v>229</v>
      </c>
    </row>
    <row r="3517" spans="1:6" ht="29" x14ac:dyDescent="0.35">
      <c r="A3517" s="26" t="s">
        <v>216</v>
      </c>
      <c r="B3517" s="26" t="s">
        <v>7250</v>
      </c>
      <c r="C3517" s="26" t="s">
        <v>24</v>
      </c>
      <c r="D3517" s="28" t="s">
        <v>7251</v>
      </c>
      <c r="E3517" s="26">
        <v>0</v>
      </c>
      <c r="F3517" s="29" t="s">
        <v>232</v>
      </c>
    </row>
    <row r="3518" spans="1:6" ht="43.5" x14ac:dyDescent="0.35">
      <c r="A3518" s="26" t="s">
        <v>216</v>
      </c>
      <c r="B3518" s="26" t="s">
        <v>7252</v>
      </c>
      <c r="C3518" s="26" t="s">
        <v>15</v>
      </c>
      <c r="D3518" s="28" t="s">
        <v>218</v>
      </c>
      <c r="E3518" s="26" t="s">
        <v>7253</v>
      </c>
      <c r="F3518" s="29" t="s">
        <v>220</v>
      </c>
    </row>
    <row r="3519" spans="1:6" ht="29" x14ac:dyDescent="0.35">
      <c r="A3519" s="26" t="s">
        <v>216</v>
      </c>
      <c r="B3519" s="26" t="s">
        <v>7254</v>
      </c>
      <c r="C3519" s="26" t="s">
        <v>17</v>
      </c>
      <c r="D3519" s="28" t="s">
        <v>7255</v>
      </c>
      <c r="E3519" s="26">
        <v>13436</v>
      </c>
      <c r="F3519" s="29" t="s">
        <v>247</v>
      </c>
    </row>
    <row r="3520" spans="1:6" ht="29" x14ac:dyDescent="0.35">
      <c r="A3520" s="26" t="s">
        <v>216</v>
      </c>
      <c r="B3520" s="26" t="s">
        <v>7256</v>
      </c>
      <c r="C3520" s="26" t="s">
        <v>20</v>
      </c>
      <c r="D3520" s="28" t="s">
        <v>7257</v>
      </c>
      <c r="E3520" s="26">
        <v>13436</v>
      </c>
      <c r="F3520" s="29" t="s">
        <v>223</v>
      </c>
    </row>
    <row r="3521" spans="1:6" ht="58" x14ac:dyDescent="0.35">
      <c r="A3521" s="26" t="s">
        <v>216</v>
      </c>
      <c r="B3521" s="26" t="s">
        <v>7258</v>
      </c>
      <c r="C3521" s="26" t="s">
        <v>25</v>
      </c>
      <c r="D3521" s="28" t="s">
        <v>7259</v>
      </c>
      <c r="E3521" s="26">
        <v>0</v>
      </c>
      <c r="F3521" s="29" t="s">
        <v>226</v>
      </c>
    </row>
    <row r="3522" spans="1:6" ht="43.5" x14ac:dyDescent="0.35">
      <c r="A3522" s="26" t="s">
        <v>216</v>
      </c>
      <c r="B3522" s="26" t="s">
        <v>7260</v>
      </c>
      <c r="C3522" s="26" t="s">
        <v>27</v>
      </c>
      <c r="D3522" s="28" t="s">
        <v>7261</v>
      </c>
      <c r="E3522" s="26">
        <v>0</v>
      </c>
      <c r="F3522" s="29" t="s">
        <v>229</v>
      </c>
    </row>
    <row r="3523" spans="1:6" ht="29" x14ac:dyDescent="0.35">
      <c r="A3523" s="26" t="s">
        <v>216</v>
      </c>
      <c r="B3523" s="26" t="s">
        <v>7262</v>
      </c>
      <c r="C3523" s="26" t="s">
        <v>24</v>
      </c>
      <c r="D3523" s="28" t="s">
        <v>7263</v>
      </c>
      <c r="E3523" s="26">
        <v>0</v>
      </c>
      <c r="F3523" s="29" t="s">
        <v>232</v>
      </c>
    </row>
    <row r="3524" spans="1:6" ht="43.5" x14ac:dyDescent="0.35">
      <c r="A3524" s="26" t="s">
        <v>216</v>
      </c>
      <c r="B3524" s="26" t="s">
        <v>7264</v>
      </c>
      <c r="C3524" s="26" t="s">
        <v>15</v>
      </c>
      <c r="D3524" s="28" t="s">
        <v>218</v>
      </c>
      <c r="E3524" s="26" t="s">
        <v>7265</v>
      </c>
      <c r="F3524" s="29" t="s">
        <v>220</v>
      </c>
    </row>
    <row r="3525" spans="1:6" ht="29" x14ac:dyDescent="0.35">
      <c r="A3525" s="26" t="s">
        <v>216</v>
      </c>
      <c r="B3525" s="26" t="s">
        <v>7266</v>
      </c>
      <c r="C3525" s="26" t="s">
        <v>17</v>
      </c>
      <c r="D3525" s="28" t="s">
        <v>7267</v>
      </c>
      <c r="E3525" s="26">
        <v>13436</v>
      </c>
      <c r="F3525" s="29" t="s">
        <v>247</v>
      </c>
    </row>
    <row r="3526" spans="1:6" ht="29" x14ac:dyDescent="0.35">
      <c r="A3526" s="26" t="s">
        <v>216</v>
      </c>
      <c r="B3526" s="26" t="s">
        <v>7268</v>
      </c>
      <c r="C3526" s="26" t="s">
        <v>20</v>
      </c>
      <c r="D3526" s="28" t="s">
        <v>7269</v>
      </c>
      <c r="E3526" s="26">
        <v>13436</v>
      </c>
      <c r="F3526" s="29" t="s">
        <v>223</v>
      </c>
    </row>
    <row r="3527" spans="1:6" ht="58" x14ac:dyDescent="0.35">
      <c r="A3527" s="26" t="s">
        <v>216</v>
      </c>
      <c r="B3527" s="26" t="s">
        <v>7270</v>
      </c>
      <c r="C3527" s="26" t="s">
        <v>25</v>
      </c>
      <c r="D3527" s="28" t="s">
        <v>7271</v>
      </c>
      <c r="E3527" s="26">
        <v>0</v>
      </c>
      <c r="F3527" s="29" t="s">
        <v>226</v>
      </c>
    </row>
    <row r="3528" spans="1:6" ht="43.5" x14ac:dyDescent="0.35">
      <c r="A3528" s="26" t="s">
        <v>216</v>
      </c>
      <c r="B3528" s="26" t="s">
        <v>7272</v>
      </c>
      <c r="C3528" s="26" t="s">
        <v>27</v>
      </c>
      <c r="D3528" s="28" t="s">
        <v>7273</v>
      </c>
      <c r="E3528" s="26">
        <v>0</v>
      </c>
      <c r="F3528" s="29" t="s">
        <v>229</v>
      </c>
    </row>
    <row r="3529" spans="1:6" ht="29" x14ac:dyDescent="0.35">
      <c r="A3529" s="26" t="s">
        <v>216</v>
      </c>
      <c r="B3529" s="26" t="s">
        <v>7274</v>
      </c>
      <c r="C3529" s="26" t="s">
        <v>24</v>
      </c>
      <c r="D3529" s="28" t="s">
        <v>7275</v>
      </c>
      <c r="E3529" s="26">
        <v>0</v>
      </c>
      <c r="F3529" s="29" t="s">
        <v>232</v>
      </c>
    </row>
    <row r="3530" spans="1:6" ht="43.5" x14ac:dyDescent="0.35">
      <c r="A3530" s="26" t="s">
        <v>216</v>
      </c>
      <c r="B3530" s="26" t="s">
        <v>7276</v>
      </c>
      <c r="C3530" s="26" t="s">
        <v>15</v>
      </c>
      <c r="D3530" s="28" t="s">
        <v>218</v>
      </c>
      <c r="E3530" s="26" t="s">
        <v>7277</v>
      </c>
      <c r="F3530" s="29" t="s">
        <v>220</v>
      </c>
    </row>
    <row r="3531" spans="1:6" ht="29" x14ac:dyDescent="0.35">
      <c r="A3531" s="26" t="s">
        <v>216</v>
      </c>
      <c r="B3531" s="26" t="s">
        <v>7278</v>
      </c>
      <c r="C3531" s="26" t="s">
        <v>17</v>
      </c>
      <c r="D3531" s="28" t="s">
        <v>7279</v>
      </c>
      <c r="E3531" s="26">
        <v>13436</v>
      </c>
      <c r="F3531" s="29" t="s">
        <v>247</v>
      </c>
    </row>
    <row r="3532" spans="1:6" ht="29" x14ac:dyDescent="0.35">
      <c r="A3532" s="26" t="s">
        <v>216</v>
      </c>
      <c r="B3532" s="26" t="s">
        <v>7280</v>
      </c>
      <c r="C3532" s="26" t="s">
        <v>20</v>
      </c>
      <c r="D3532" s="28" t="s">
        <v>7281</v>
      </c>
      <c r="E3532" s="26">
        <v>13436</v>
      </c>
      <c r="F3532" s="29" t="s">
        <v>223</v>
      </c>
    </row>
    <row r="3533" spans="1:6" ht="58" x14ac:dyDescent="0.35">
      <c r="A3533" s="26" t="s">
        <v>216</v>
      </c>
      <c r="B3533" s="26" t="s">
        <v>7282</v>
      </c>
      <c r="C3533" s="26" t="s">
        <v>25</v>
      </c>
      <c r="D3533" s="28" t="s">
        <v>7283</v>
      </c>
      <c r="E3533" s="26">
        <v>0</v>
      </c>
      <c r="F3533" s="29" t="s">
        <v>226</v>
      </c>
    </row>
    <row r="3534" spans="1:6" ht="43.5" x14ac:dyDescent="0.35">
      <c r="A3534" s="26" t="s">
        <v>216</v>
      </c>
      <c r="B3534" s="26" t="s">
        <v>7284</v>
      </c>
      <c r="C3534" s="26" t="s">
        <v>27</v>
      </c>
      <c r="D3534" s="28" t="s">
        <v>7285</v>
      </c>
      <c r="E3534" s="26">
        <v>0</v>
      </c>
      <c r="F3534" s="29" t="s">
        <v>229</v>
      </c>
    </row>
    <row r="3535" spans="1:6" ht="29" x14ac:dyDescent="0.35">
      <c r="A3535" s="26" t="s">
        <v>216</v>
      </c>
      <c r="B3535" s="26" t="s">
        <v>7286</v>
      </c>
      <c r="C3535" s="26" t="s">
        <v>24</v>
      </c>
      <c r="D3535" s="28" t="s">
        <v>7287</v>
      </c>
      <c r="E3535" s="26">
        <v>0</v>
      </c>
      <c r="F3535" s="29" t="s">
        <v>232</v>
      </c>
    </row>
    <row r="3536" spans="1:6" ht="43.5" x14ac:dyDescent="0.35">
      <c r="A3536" s="26" t="s">
        <v>216</v>
      </c>
      <c r="B3536" s="26" t="s">
        <v>7288</v>
      </c>
      <c r="C3536" s="26" t="s">
        <v>15</v>
      </c>
      <c r="D3536" s="28" t="s">
        <v>218</v>
      </c>
      <c r="E3536" s="26" t="s">
        <v>7289</v>
      </c>
      <c r="F3536" s="29" t="s">
        <v>220</v>
      </c>
    </row>
    <row r="3537" spans="1:6" ht="29" x14ac:dyDescent="0.35">
      <c r="A3537" s="26" t="s">
        <v>216</v>
      </c>
      <c r="B3537" s="26" t="s">
        <v>7290</v>
      </c>
      <c r="C3537" s="26" t="s">
        <v>17</v>
      </c>
      <c r="D3537" s="28" t="s">
        <v>7291</v>
      </c>
      <c r="E3537" s="26">
        <v>13436</v>
      </c>
      <c r="F3537" s="29" t="s">
        <v>247</v>
      </c>
    </row>
    <row r="3538" spans="1:6" ht="29" x14ac:dyDescent="0.35">
      <c r="A3538" s="26" t="s">
        <v>216</v>
      </c>
      <c r="B3538" s="26" t="s">
        <v>7292</v>
      </c>
      <c r="C3538" s="26" t="s">
        <v>20</v>
      </c>
      <c r="D3538" s="28" t="s">
        <v>7293</v>
      </c>
      <c r="E3538" s="26">
        <v>13436</v>
      </c>
      <c r="F3538" s="29" t="s">
        <v>223</v>
      </c>
    </row>
    <row r="3539" spans="1:6" ht="58" x14ac:dyDescent="0.35">
      <c r="A3539" s="26" t="s">
        <v>216</v>
      </c>
      <c r="B3539" s="26" t="s">
        <v>7294</v>
      </c>
      <c r="C3539" s="26" t="s">
        <v>25</v>
      </c>
      <c r="D3539" s="28" t="s">
        <v>7295</v>
      </c>
      <c r="E3539" s="26">
        <v>0</v>
      </c>
      <c r="F3539" s="29" t="s">
        <v>226</v>
      </c>
    </row>
    <row r="3540" spans="1:6" ht="43.5" x14ac:dyDescent="0.35">
      <c r="A3540" s="26" t="s">
        <v>216</v>
      </c>
      <c r="B3540" s="26" t="s">
        <v>7296</v>
      </c>
      <c r="C3540" s="26" t="s">
        <v>27</v>
      </c>
      <c r="D3540" s="28" t="s">
        <v>7297</v>
      </c>
      <c r="E3540" s="26">
        <v>0</v>
      </c>
      <c r="F3540" s="29" t="s">
        <v>229</v>
      </c>
    </row>
    <row r="3541" spans="1:6" ht="29" x14ac:dyDescent="0.35">
      <c r="A3541" s="26" t="s">
        <v>216</v>
      </c>
      <c r="B3541" s="26" t="s">
        <v>7298</v>
      </c>
      <c r="C3541" s="26" t="s">
        <v>24</v>
      </c>
      <c r="D3541" s="28" t="s">
        <v>7299</v>
      </c>
      <c r="E3541" s="26">
        <v>0</v>
      </c>
      <c r="F3541" s="29" t="s">
        <v>232</v>
      </c>
    </row>
    <row r="3542" spans="1:6" ht="43.5" x14ac:dyDescent="0.35">
      <c r="A3542" s="26" t="s">
        <v>216</v>
      </c>
      <c r="B3542" s="26" t="s">
        <v>7300</v>
      </c>
      <c r="C3542" s="26" t="s">
        <v>15</v>
      </c>
      <c r="D3542" s="28" t="s">
        <v>218</v>
      </c>
      <c r="E3542" s="26" t="s">
        <v>7301</v>
      </c>
      <c r="F3542" s="29" t="s">
        <v>220</v>
      </c>
    </row>
    <row r="3543" spans="1:6" ht="29" x14ac:dyDescent="0.35">
      <c r="A3543" s="26" t="s">
        <v>216</v>
      </c>
      <c r="B3543" s="26" t="s">
        <v>7302</v>
      </c>
      <c r="C3543" s="26" t="s">
        <v>17</v>
      </c>
      <c r="D3543" s="28" t="s">
        <v>7303</v>
      </c>
      <c r="E3543" s="26">
        <v>13436</v>
      </c>
      <c r="F3543" s="29" t="s">
        <v>247</v>
      </c>
    </row>
    <row r="3544" spans="1:6" ht="29" x14ac:dyDescent="0.35">
      <c r="A3544" s="26" t="s">
        <v>216</v>
      </c>
      <c r="B3544" s="26" t="s">
        <v>7304</v>
      </c>
      <c r="C3544" s="26" t="s">
        <v>20</v>
      </c>
      <c r="D3544" s="28" t="s">
        <v>7305</v>
      </c>
      <c r="E3544" s="26">
        <v>13436</v>
      </c>
      <c r="F3544" s="29" t="s">
        <v>223</v>
      </c>
    </row>
    <row r="3545" spans="1:6" ht="58" x14ac:dyDescent="0.35">
      <c r="A3545" s="26" t="s">
        <v>216</v>
      </c>
      <c r="B3545" s="26" t="s">
        <v>7306</v>
      </c>
      <c r="C3545" s="26" t="s">
        <v>25</v>
      </c>
      <c r="D3545" s="28" t="s">
        <v>7307</v>
      </c>
      <c r="E3545" s="26">
        <v>0</v>
      </c>
      <c r="F3545" s="29" t="s">
        <v>226</v>
      </c>
    </row>
    <row r="3546" spans="1:6" ht="43.5" x14ac:dyDescent="0.35">
      <c r="A3546" s="26" t="s">
        <v>216</v>
      </c>
      <c r="B3546" s="26" t="s">
        <v>7308</v>
      </c>
      <c r="C3546" s="26" t="s">
        <v>27</v>
      </c>
      <c r="D3546" s="28" t="s">
        <v>7309</v>
      </c>
      <c r="E3546" s="26">
        <v>0</v>
      </c>
      <c r="F3546" s="29" t="s">
        <v>229</v>
      </c>
    </row>
    <row r="3547" spans="1:6" ht="29" x14ac:dyDescent="0.35">
      <c r="A3547" s="26" t="s">
        <v>216</v>
      </c>
      <c r="B3547" s="26" t="s">
        <v>7310</v>
      </c>
      <c r="C3547" s="26" t="s">
        <v>24</v>
      </c>
      <c r="D3547" s="28" t="s">
        <v>7311</v>
      </c>
      <c r="E3547" s="26">
        <v>0</v>
      </c>
      <c r="F3547" s="29" t="s">
        <v>232</v>
      </c>
    </row>
    <row r="3548" spans="1:6" ht="43.5" x14ac:dyDescent="0.35">
      <c r="A3548" s="26" t="s">
        <v>216</v>
      </c>
      <c r="B3548" s="26" t="s">
        <v>7312</v>
      </c>
      <c r="C3548" s="26" t="s">
        <v>15</v>
      </c>
      <c r="D3548" s="28" t="s">
        <v>218</v>
      </c>
      <c r="E3548" s="26" t="s">
        <v>7313</v>
      </c>
      <c r="F3548" s="29" t="s">
        <v>220</v>
      </c>
    </row>
    <row r="3549" spans="1:6" ht="29" x14ac:dyDescent="0.35">
      <c r="A3549" s="26" t="s">
        <v>216</v>
      </c>
      <c r="B3549" s="26" t="s">
        <v>7314</v>
      </c>
      <c r="C3549" s="26" t="s">
        <v>17</v>
      </c>
      <c r="D3549" s="28" t="s">
        <v>7315</v>
      </c>
      <c r="E3549" s="26">
        <v>13436</v>
      </c>
      <c r="F3549" s="29" t="s">
        <v>247</v>
      </c>
    </row>
    <row r="3550" spans="1:6" ht="29" x14ac:dyDescent="0.35">
      <c r="A3550" s="26" t="s">
        <v>216</v>
      </c>
      <c r="B3550" s="26" t="s">
        <v>7316</v>
      </c>
      <c r="C3550" s="26" t="s">
        <v>20</v>
      </c>
      <c r="D3550" s="28" t="s">
        <v>7317</v>
      </c>
      <c r="E3550" s="26">
        <v>13436</v>
      </c>
      <c r="F3550" s="29" t="s">
        <v>223</v>
      </c>
    </row>
    <row r="3551" spans="1:6" ht="58" x14ac:dyDescent="0.35">
      <c r="A3551" s="26" t="s">
        <v>216</v>
      </c>
      <c r="B3551" s="26" t="s">
        <v>7318</v>
      </c>
      <c r="C3551" s="26" t="s">
        <v>25</v>
      </c>
      <c r="D3551" s="28" t="s">
        <v>7319</v>
      </c>
      <c r="E3551" s="26">
        <v>0</v>
      </c>
      <c r="F3551" s="29" t="s">
        <v>226</v>
      </c>
    </row>
    <row r="3552" spans="1:6" ht="43.5" x14ac:dyDescent="0.35">
      <c r="A3552" s="26" t="s">
        <v>216</v>
      </c>
      <c r="B3552" s="26" t="s">
        <v>7320</v>
      </c>
      <c r="C3552" s="26" t="s">
        <v>27</v>
      </c>
      <c r="D3552" s="28" t="s">
        <v>7321</v>
      </c>
      <c r="E3552" s="26">
        <v>0</v>
      </c>
      <c r="F3552" s="29" t="s">
        <v>229</v>
      </c>
    </row>
    <row r="3553" spans="1:6" ht="29" x14ac:dyDescent="0.35">
      <c r="A3553" s="26" t="s">
        <v>216</v>
      </c>
      <c r="B3553" s="26" t="s">
        <v>7322</v>
      </c>
      <c r="C3553" s="26" t="s">
        <v>24</v>
      </c>
      <c r="D3553" s="28" t="s">
        <v>7323</v>
      </c>
      <c r="E3553" s="26">
        <v>0</v>
      </c>
      <c r="F3553" s="29" t="s">
        <v>232</v>
      </c>
    </row>
    <row r="3554" spans="1:6" ht="43.5" x14ac:dyDescent="0.35">
      <c r="A3554" s="26" t="s">
        <v>216</v>
      </c>
      <c r="B3554" s="26" t="s">
        <v>7324</v>
      </c>
      <c r="C3554" s="26" t="s">
        <v>15</v>
      </c>
      <c r="D3554" s="28" t="s">
        <v>218</v>
      </c>
      <c r="E3554" s="26" t="s">
        <v>7325</v>
      </c>
      <c r="F3554" s="29" t="s">
        <v>220</v>
      </c>
    </row>
    <row r="3555" spans="1:6" ht="29" x14ac:dyDescent="0.35">
      <c r="A3555" s="26" t="s">
        <v>216</v>
      </c>
      <c r="B3555" s="26" t="s">
        <v>7326</v>
      </c>
      <c r="C3555" s="26" t="s">
        <v>17</v>
      </c>
      <c r="D3555" s="28" t="s">
        <v>7327</v>
      </c>
      <c r="E3555" s="26">
        <v>13436</v>
      </c>
      <c r="F3555" s="29" t="s">
        <v>247</v>
      </c>
    </row>
    <row r="3556" spans="1:6" ht="29" x14ac:dyDescent="0.35">
      <c r="A3556" s="26" t="s">
        <v>216</v>
      </c>
      <c r="B3556" s="26" t="s">
        <v>7328</v>
      </c>
      <c r="C3556" s="26" t="s">
        <v>20</v>
      </c>
      <c r="D3556" s="28" t="s">
        <v>7329</v>
      </c>
      <c r="E3556" s="26">
        <v>13436</v>
      </c>
      <c r="F3556" s="29" t="s">
        <v>223</v>
      </c>
    </row>
    <row r="3557" spans="1:6" ht="58" x14ac:dyDescent="0.35">
      <c r="A3557" s="26" t="s">
        <v>216</v>
      </c>
      <c r="B3557" s="26" t="s">
        <v>7330</v>
      </c>
      <c r="C3557" s="26" t="s">
        <v>25</v>
      </c>
      <c r="D3557" s="28" t="s">
        <v>7331</v>
      </c>
      <c r="E3557" s="26">
        <v>0</v>
      </c>
      <c r="F3557" s="29" t="s">
        <v>226</v>
      </c>
    </row>
    <row r="3558" spans="1:6" ht="43.5" x14ac:dyDescent="0.35">
      <c r="A3558" s="26" t="s">
        <v>216</v>
      </c>
      <c r="B3558" s="26" t="s">
        <v>7332</v>
      </c>
      <c r="C3558" s="26" t="s">
        <v>27</v>
      </c>
      <c r="D3558" s="28" t="s">
        <v>7333</v>
      </c>
      <c r="E3558" s="26">
        <v>0</v>
      </c>
      <c r="F3558" s="29" t="s">
        <v>229</v>
      </c>
    </row>
    <row r="3559" spans="1:6" ht="29" x14ac:dyDescent="0.35">
      <c r="A3559" s="26" t="s">
        <v>216</v>
      </c>
      <c r="B3559" s="26" t="s">
        <v>7334</v>
      </c>
      <c r="C3559" s="26" t="s">
        <v>24</v>
      </c>
      <c r="D3559" s="28" t="s">
        <v>7335</v>
      </c>
      <c r="E3559" s="26">
        <v>0</v>
      </c>
      <c r="F3559" s="29" t="s">
        <v>232</v>
      </c>
    </row>
    <row r="3560" spans="1:6" ht="43.5" x14ac:dyDescent="0.35">
      <c r="A3560" s="26" t="s">
        <v>216</v>
      </c>
      <c r="B3560" s="26" t="s">
        <v>7336</v>
      </c>
      <c r="C3560" s="26" t="s">
        <v>15</v>
      </c>
      <c r="D3560" s="28" t="s">
        <v>218</v>
      </c>
      <c r="E3560" s="26" t="s">
        <v>7337</v>
      </c>
      <c r="F3560" s="29" t="s">
        <v>220</v>
      </c>
    </row>
    <row r="3561" spans="1:6" ht="29" x14ac:dyDescent="0.35">
      <c r="A3561" s="26" t="s">
        <v>216</v>
      </c>
      <c r="B3561" s="26" t="s">
        <v>7338</v>
      </c>
      <c r="C3561" s="26" t="s">
        <v>17</v>
      </c>
      <c r="D3561" s="28" t="s">
        <v>7339</v>
      </c>
      <c r="E3561" s="26">
        <v>13436</v>
      </c>
      <c r="F3561" s="29" t="s">
        <v>247</v>
      </c>
    </row>
    <row r="3562" spans="1:6" ht="29" x14ac:dyDescent="0.35">
      <c r="A3562" s="26" t="s">
        <v>216</v>
      </c>
      <c r="B3562" s="26" t="s">
        <v>7340</v>
      </c>
      <c r="C3562" s="26" t="s">
        <v>20</v>
      </c>
      <c r="D3562" s="28" t="s">
        <v>7341</v>
      </c>
      <c r="E3562" s="26">
        <v>13436</v>
      </c>
      <c r="F3562" s="29" t="s">
        <v>223</v>
      </c>
    </row>
    <row r="3563" spans="1:6" ht="58" x14ac:dyDescent="0.35">
      <c r="A3563" s="26" t="s">
        <v>216</v>
      </c>
      <c r="B3563" s="26" t="s">
        <v>7342</v>
      </c>
      <c r="C3563" s="26" t="s">
        <v>25</v>
      </c>
      <c r="D3563" s="28" t="s">
        <v>7343</v>
      </c>
      <c r="E3563" s="26">
        <v>0</v>
      </c>
      <c r="F3563" s="29" t="s">
        <v>226</v>
      </c>
    </row>
    <row r="3564" spans="1:6" ht="43.5" x14ac:dyDescent="0.35">
      <c r="A3564" s="26" t="s">
        <v>216</v>
      </c>
      <c r="B3564" s="26" t="s">
        <v>7344</v>
      </c>
      <c r="C3564" s="26" t="s">
        <v>27</v>
      </c>
      <c r="D3564" s="28" t="s">
        <v>7345</v>
      </c>
      <c r="E3564" s="26">
        <v>0</v>
      </c>
      <c r="F3564" s="29" t="s">
        <v>229</v>
      </c>
    </row>
    <row r="3565" spans="1:6" ht="29" x14ac:dyDescent="0.35">
      <c r="A3565" s="26" t="s">
        <v>216</v>
      </c>
      <c r="B3565" s="26" t="s">
        <v>7346</v>
      </c>
      <c r="C3565" s="26" t="s">
        <v>24</v>
      </c>
      <c r="D3565" s="28" t="s">
        <v>7347</v>
      </c>
      <c r="E3565" s="26">
        <v>0</v>
      </c>
      <c r="F3565" s="29" t="s">
        <v>232</v>
      </c>
    </row>
    <row r="3566" spans="1:6" ht="43.5" x14ac:dyDescent="0.35">
      <c r="A3566" s="26" t="s">
        <v>216</v>
      </c>
      <c r="B3566" s="26" t="s">
        <v>7348</v>
      </c>
      <c r="C3566" s="26" t="s">
        <v>15</v>
      </c>
      <c r="D3566" s="28" t="s">
        <v>218</v>
      </c>
      <c r="E3566" s="26" t="s">
        <v>7349</v>
      </c>
      <c r="F3566" s="29" t="s">
        <v>220</v>
      </c>
    </row>
    <row r="3567" spans="1:6" ht="29" x14ac:dyDescent="0.35">
      <c r="A3567" s="26" t="s">
        <v>216</v>
      </c>
      <c r="B3567" s="26" t="s">
        <v>7350</v>
      </c>
      <c r="C3567" s="26" t="s">
        <v>17</v>
      </c>
      <c r="D3567" s="28" t="s">
        <v>7351</v>
      </c>
      <c r="E3567" s="26">
        <v>13436</v>
      </c>
      <c r="F3567" s="29" t="s">
        <v>247</v>
      </c>
    </row>
    <row r="3568" spans="1:6" ht="29" x14ac:dyDescent="0.35">
      <c r="A3568" s="26" t="s">
        <v>216</v>
      </c>
      <c r="B3568" s="26" t="s">
        <v>7352</v>
      </c>
      <c r="C3568" s="26" t="s">
        <v>20</v>
      </c>
      <c r="D3568" s="28" t="s">
        <v>7353</v>
      </c>
      <c r="E3568" s="26">
        <v>13436</v>
      </c>
      <c r="F3568" s="29" t="s">
        <v>223</v>
      </c>
    </row>
    <row r="3569" spans="1:6" ht="58" x14ac:dyDescent="0.35">
      <c r="A3569" s="26" t="s">
        <v>216</v>
      </c>
      <c r="B3569" s="26" t="s">
        <v>7354</v>
      </c>
      <c r="C3569" s="26" t="s">
        <v>25</v>
      </c>
      <c r="D3569" s="28" t="s">
        <v>7355</v>
      </c>
      <c r="E3569" s="26">
        <v>0</v>
      </c>
      <c r="F3569" s="29" t="s">
        <v>226</v>
      </c>
    </row>
    <row r="3570" spans="1:6" ht="43.5" x14ac:dyDescent="0.35">
      <c r="A3570" s="26" t="s">
        <v>216</v>
      </c>
      <c r="B3570" s="26" t="s">
        <v>7356</v>
      </c>
      <c r="C3570" s="26" t="s">
        <v>27</v>
      </c>
      <c r="D3570" s="28" t="s">
        <v>7357</v>
      </c>
      <c r="E3570" s="26">
        <v>0</v>
      </c>
      <c r="F3570" s="29" t="s">
        <v>229</v>
      </c>
    </row>
    <row r="3571" spans="1:6" ht="29" x14ac:dyDescent="0.35">
      <c r="A3571" s="26" t="s">
        <v>216</v>
      </c>
      <c r="B3571" s="26" t="s">
        <v>7358</v>
      </c>
      <c r="C3571" s="26" t="s">
        <v>24</v>
      </c>
      <c r="D3571" s="28" t="s">
        <v>7359</v>
      </c>
      <c r="E3571" s="26">
        <v>0</v>
      </c>
      <c r="F3571" s="29" t="s">
        <v>232</v>
      </c>
    </row>
    <row r="3572" spans="1:6" ht="43.5" x14ac:dyDescent="0.35">
      <c r="A3572" s="26" t="s">
        <v>216</v>
      </c>
      <c r="B3572" s="26" t="s">
        <v>7360</v>
      </c>
      <c r="C3572" s="26" t="s">
        <v>15</v>
      </c>
      <c r="D3572" s="28" t="s">
        <v>218</v>
      </c>
      <c r="E3572" s="26" t="s">
        <v>7361</v>
      </c>
      <c r="F3572" s="29" t="s">
        <v>220</v>
      </c>
    </row>
    <row r="3573" spans="1:6" ht="29" x14ac:dyDescent="0.35">
      <c r="A3573" s="26" t="s">
        <v>216</v>
      </c>
      <c r="B3573" s="26" t="s">
        <v>7362</v>
      </c>
      <c r="C3573" s="26" t="s">
        <v>17</v>
      </c>
      <c r="D3573" s="28" t="s">
        <v>7363</v>
      </c>
      <c r="E3573" s="26">
        <v>13436</v>
      </c>
      <c r="F3573" s="29" t="s">
        <v>247</v>
      </c>
    </row>
    <row r="3574" spans="1:6" ht="29" x14ac:dyDescent="0.35">
      <c r="A3574" s="26" t="s">
        <v>216</v>
      </c>
      <c r="B3574" s="26" t="s">
        <v>7364</v>
      </c>
      <c r="C3574" s="26" t="s">
        <v>20</v>
      </c>
      <c r="D3574" s="28" t="s">
        <v>7365</v>
      </c>
      <c r="E3574" s="26">
        <v>13436</v>
      </c>
      <c r="F3574" s="29" t="s">
        <v>223</v>
      </c>
    </row>
    <row r="3575" spans="1:6" ht="58" x14ac:dyDescent="0.35">
      <c r="A3575" s="26" t="s">
        <v>216</v>
      </c>
      <c r="B3575" s="26" t="s">
        <v>7366</v>
      </c>
      <c r="C3575" s="26" t="s">
        <v>25</v>
      </c>
      <c r="D3575" s="28" t="s">
        <v>7367</v>
      </c>
      <c r="E3575" s="26">
        <v>0</v>
      </c>
      <c r="F3575" s="29" t="s">
        <v>226</v>
      </c>
    </row>
    <row r="3576" spans="1:6" ht="43.5" x14ac:dyDescent="0.35">
      <c r="A3576" s="26" t="s">
        <v>216</v>
      </c>
      <c r="B3576" s="26" t="s">
        <v>7368</v>
      </c>
      <c r="C3576" s="26" t="s">
        <v>27</v>
      </c>
      <c r="D3576" s="28" t="s">
        <v>7369</v>
      </c>
      <c r="E3576" s="26">
        <v>0</v>
      </c>
      <c r="F3576" s="29" t="s">
        <v>229</v>
      </c>
    </row>
    <row r="3577" spans="1:6" ht="29" x14ac:dyDescent="0.35">
      <c r="A3577" s="26" t="s">
        <v>216</v>
      </c>
      <c r="B3577" s="26" t="s">
        <v>7370</v>
      </c>
      <c r="C3577" s="26" t="s">
        <v>24</v>
      </c>
      <c r="D3577" s="28" t="s">
        <v>7371</v>
      </c>
      <c r="E3577" s="26">
        <v>0</v>
      </c>
      <c r="F3577" s="29" t="s">
        <v>232</v>
      </c>
    </row>
    <row r="3578" spans="1:6" ht="43.5" x14ac:dyDescent="0.35">
      <c r="A3578" s="26" t="s">
        <v>216</v>
      </c>
      <c r="B3578" s="26" t="s">
        <v>7372</v>
      </c>
      <c r="C3578" s="26" t="s">
        <v>15</v>
      </c>
      <c r="D3578" s="28" t="s">
        <v>218</v>
      </c>
      <c r="E3578" s="26" t="s">
        <v>7373</v>
      </c>
      <c r="F3578" s="29" t="s">
        <v>220</v>
      </c>
    </row>
    <row r="3579" spans="1:6" ht="29" x14ac:dyDescent="0.35">
      <c r="A3579" s="26" t="s">
        <v>216</v>
      </c>
      <c r="B3579" s="26" t="s">
        <v>7374</v>
      </c>
      <c r="C3579" s="26" t="s">
        <v>17</v>
      </c>
      <c r="D3579" s="28" t="s">
        <v>7375</v>
      </c>
      <c r="E3579" s="26">
        <v>13436</v>
      </c>
      <c r="F3579" s="29" t="s">
        <v>247</v>
      </c>
    </row>
    <row r="3580" spans="1:6" ht="29" x14ac:dyDescent="0.35">
      <c r="A3580" s="26" t="s">
        <v>216</v>
      </c>
      <c r="B3580" s="26" t="s">
        <v>7376</v>
      </c>
      <c r="C3580" s="26" t="s">
        <v>20</v>
      </c>
      <c r="D3580" s="28" t="s">
        <v>7377</v>
      </c>
      <c r="E3580" s="26">
        <v>13436</v>
      </c>
      <c r="F3580" s="29" t="s">
        <v>223</v>
      </c>
    </row>
    <row r="3581" spans="1:6" ht="58" x14ac:dyDescent="0.35">
      <c r="A3581" s="26" t="s">
        <v>216</v>
      </c>
      <c r="B3581" s="26" t="s">
        <v>7378</v>
      </c>
      <c r="C3581" s="26" t="s">
        <v>25</v>
      </c>
      <c r="D3581" s="28" t="s">
        <v>7379</v>
      </c>
      <c r="E3581" s="26">
        <v>0</v>
      </c>
      <c r="F3581" s="29" t="s">
        <v>226</v>
      </c>
    </row>
    <row r="3582" spans="1:6" ht="43.5" x14ac:dyDescent="0.35">
      <c r="A3582" s="26" t="s">
        <v>216</v>
      </c>
      <c r="B3582" s="26" t="s">
        <v>7380</v>
      </c>
      <c r="C3582" s="26" t="s">
        <v>27</v>
      </c>
      <c r="D3582" s="28" t="s">
        <v>7381</v>
      </c>
      <c r="E3582" s="26">
        <v>0</v>
      </c>
      <c r="F3582" s="29" t="s">
        <v>229</v>
      </c>
    </row>
    <row r="3583" spans="1:6" ht="29" x14ac:dyDescent="0.35">
      <c r="A3583" s="26" t="s">
        <v>216</v>
      </c>
      <c r="B3583" s="26" t="s">
        <v>7382</v>
      </c>
      <c r="C3583" s="26" t="s">
        <v>24</v>
      </c>
      <c r="D3583" s="28" t="s">
        <v>7383</v>
      </c>
      <c r="E3583" s="26">
        <v>0</v>
      </c>
      <c r="F3583" s="29" t="s">
        <v>232</v>
      </c>
    </row>
    <row r="3584" spans="1:6" ht="43.5" x14ac:dyDescent="0.35">
      <c r="A3584" s="26" t="s">
        <v>216</v>
      </c>
      <c r="B3584" s="26" t="s">
        <v>7384</v>
      </c>
      <c r="C3584" s="26" t="s">
        <v>15</v>
      </c>
      <c r="D3584" s="28" t="s">
        <v>218</v>
      </c>
      <c r="E3584" s="26" t="s">
        <v>7385</v>
      </c>
      <c r="F3584" s="29" t="s">
        <v>220</v>
      </c>
    </row>
    <row r="3585" spans="1:6" ht="29" x14ac:dyDescent="0.35">
      <c r="A3585" s="26" t="s">
        <v>216</v>
      </c>
      <c r="B3585" s="26" t="s">
        <v>7386</v>
      </c>
      <c r="C3585" s="26" t="s">
        <v>17</v>
      </c>
      <c r="D3585" s="28" t="s">
        <v>7387</v>
      </c>
      <c r="E3585" s="26">
        <v>13436</v>
      </c>
      <c r="F3585" s="29" t="s">
        <v>247</v>
      </c>
    </row>
    <row r="3586" spans="1:6" ht="29" x14ac:dyDescent="0.35">
      <c r="A3586" s="26" t="s">
        <v>216</v>
      </c>
      <c r="B3586" s="26" t="s">
        <v>7388</v>
      </c>
      <c r="C3586" s="26" t="s">
        <v>20</v>
      </c>
      <c r="D3586" s="28" t="s">
        <v>7389</v>
      </c>
      <c r="E3586" s="26">
        <v>13436</v>
      </c>
      <c r="F3586" s="29" t="s">
        <v>223</v>
      </c>
    </row>
    <row r="3587" spans="1:6" ht="58" x14ac:dyDescent="0.35">
      <c r="A3587" s="26" t="s">
        <v>216</v>
      </c>
      <c r="B3587" s="26" t="s">
        <v>7390</v>
      </c>
      <c r="C3587" s="26" t="s">
        <v>25</v>
      </c>
      <c r="D3587" s="28" t="s">
        <v>7391</v>
      </c>
      <c r="E3587" s="26">
        <v>0</v>
      </c>
      <c r="F3587" s="29" t="s">
        <v>226</v>
      </c>
    </row>
    <row r="3588" spans="1:6" ht="43.5" x14ac:dyDescent="0.35">
      <c r="A3588" s="26" t="s">
        <v>216</v>
      </c>
      <c r="B3588" s="26" t="s">
        <v>7392</v>
      </c>
      <c r="C3588" s="26" t="s">
        <v>27</v>
      </c>
      <c r="D3588" s="28" t="s">
        <v>7393</v>
      </c>
      <c r="E3588" s="26">
        <v>0</v>
      </c>
      <c r="F3588" s="29" t="s">
        <v>229</v>
      </c>
    </row>
    <row r="3589" spans="1:6" ht="29" x14ac:dyDescent="0.35">
      <c r="A3589" s="26" t="s">
        <v>216</v>
      </c>
      <c r="B3589" s="26" t="s">
        <v>7394</v>
      </c>
      <c r="C3589" s="26" t="s">
        <v>24</v>
      </c>
      <c r="D3589" s="28" t="s">
        <v>7395</v>
      </c>
      <c r="E3589" s="26">
        <v>0</v>
      </c>
      <c r="F3589" s="29" t="s">
        <v>232</v>
      </c>
    </row>
    <row r="3590" spans="1:6" ht="43.5" x14ac:dyDescent="0.35">
      <c r="A3590" s="26" t="s">
        <v>216</v>
      </c>
      <c r="B3590" s="26" t="s">
        <v>7396</v>
      </c>
      <c r="C3590" s="26" t="s">
        <v>15</v>
      </c>
      <c r="D3590" s="28" t="s">
        <v>218</v>
      </c>
      <c r="E3590" s="26" t="s">
        <v>7397</v>
      </c>
      <c r="F3590" s="29" t="s">
        <v>220</v>
      </c>
    </row>
    <row r="3591" spans="1:6" ht="29" x14ac:dyDescent="0.35">
      <c r="A3591" s="26" t="s">
        <v>216</v>
      </c>
      <c r="B3591" s="26" t="s">
        <v>7398</v>
      </c>
      <c r="C3591" s="26" t="s">
        <v>17</v>
      </c>
      <c r="D3591" s="28" t="s">
        <v>7399</v>
      </c>
      <c r="E3591" s="26">
        <v>13436</v>
      </c>
      <c r="F3591" s="29" t="s">
        <v>247</v>
      </c>
    </row>
    <row r="3592" spans="1:6" ht="29" x14ac:dyDescent="0.35">
      <c r="A3592" s="26" t="s">
        <v>216</v>
      </c>
      <c r="B3592" s="26" t="s">
        <v>7400</v>
      </c>
      <c r="C3592" s="26" t="s">
        <v>20</v>
      </c>
      <c r="D3592" s="28" t="s">
        <v>7401</v>
      </c>
      <c r="E3592" s="26">
        <v>13436</v>
      </c>
      <c r="F3592" s="29" t="s">
        <v>223</v>
      </c>
    </row>
    <row r="3593" spans="1:6" ht="58" x14ac:dyDescent="0.35">
      <c r="A3593" s="26" t="s">
        <v>216</v>
      </c>
      <c r="B3593" s="26" t="s">
        <v>7402</v>
      </c>
      <c r="C3593" s="26" t="s">
        <v>25</v>
      </c>
      <c r="D3593" s="28" t="s">
        <v>7403</v>
      </c>
      <c r="E3593" s="26">
        <v>0</v>
      </c>
      <c r="F3593" s="29" t="s">
        <v>226</v>
      </c>
    </row>
    <row r="3594" spans="1:6" ht="43.5" x14ac:dyDescent="0.35">
      <c r="A3594" s="26" t="s">
        <v>216</v>
      </c>
      <c r="B3594" s="26" t="s">
        <v>7404</v>
      </c>
      <c r="C3594" s="26" t="s">
        <v>27</v>
      </c>
      <c r="D3594" s="28" t="s">
        <v>7405</v>
      </c>
      <c r="E3594" s="26">
        <v>0</v>
      </c>
      <c r="F3594" s="29" t="s">
        <v>229</v>
      </c>
    </row>
    <row r="3595" spans="1:6" ht="29" x14ac:dyDescent="0.35">
      <c r="A3595" s="26" t="s">
        <v>216</v>
      </c>
      <c r="B3595" s="26" t="s">
        <v>7406</v>
      </c>
      <c r="C3595" s="26" t="s">
        <v>24</v>
      </c>
      <c r="D3595" s="28" t="s">
        <v>7407</v>
      </c>
      <c r="E3595" s="26">
        <v>0</v>
      </c>
      <c r="F3595" s="29" t="s">
        <v>232</v>
      </c>
    </row>
    <row r="3596" spans="1:6" ht="43.5" x14ac:dyDescent="0.35">
      <c r="A3596" s="26" t="s">
        <v>216</v>
      </c>
      <c r="B3596" s="26" t="s">
        <v>7408</v>
      </c>
      <c r="C3596" s="26" t="s">
        <v>15</v>
      </c>
      <c r="D3596" s="28" t="s">
        <v>218</v>
      </c>
      <c r="E3596" s="26" t="s">
        <v>7409</v>
      </c>
      <c r="F3596" s="29" t="s">
        <v>220</v>
      </c>
    </row>
    <row r="3597" spans="1:6" ht="29" x14ac:dyDescent="0.35">
      <c r="A3597" s="26" t="s">
        <v>216</v>
      </c>
      <c r="B3597" s="26" t="s">
        <v>7410</v>
      </c>
      <c r="C3597" s="26" t="s">
        <v>17</v>
      </c>
      <c r="D3597" s="28" t="s">
        <v>7411</v>
      </c>
      <c r="E3597" s="26">
        <v>13436</v>
      </c>
      <c r="F3597" s="29" t="s">
        <v>247</v>
      </c>
    </row>
    <row r="3598" spans="1:6" ht="29" x14ac:dyDescent="0.35">
      <c r="A3598" s="26" t="s">
        <v>216</v>
      </c>
      <c r="B3598" s="26" t="s">
        <v>7412</v>
      </c>
      <c r="C3598" s="26" t="s">
        <v>20</v>
      </c>
      <c r="D3598" s="28" t="s">
        <v>7413</v>
      </c>
      <c r="E3598" s="26">
        <v>13436</v>
      </c>
      <c r="F3598" s="29" t="s">
        <v>223</v>
      </c>
    </row>
    <row r="3599" spans="1:6" ht="58" x14ac:dyDescent="0.35">
      <c r="A3599" s="26" t="s">
        <v>216</v>
      </c>
      <c r="B3599" s="26" t="s">
        <v>7414</v>
      </c>
      <c r="C3599" s="26" t="s">
        <v>25</v>
      </c>
      <c r="D3599" s="28" t="s">
        <v>7415</v>
      </c>
      <c r="E3599" s="26">
        <v>0</v>
      </c>
      <c r="F3599" s="29" t="s">
        <v>226</v>
      </c>
    </row>
    <row r="3600" spans="1:6" ht="43.5" x14ac:dyDescent="0.35">
      <c r="A3600" s="26" t="s">
        <v>216</v>
      </c>
      <c r="B3600" s="26" t="s">
        <v>7416</v>
      </c>
      <c r="C3600" s="26" t="s">
        <v>27</v>
      </c>
      <c r="D3600" s="28" t="s">
        <v>7417</v>
      </c>
      <c r="E3600" s="26">
        <v>0</v>
      </c>
      <c r="F3600" s="29" t="s">
        <v>229</v>
      </c>
    </row>
    <row r="3601" spans="1:6" ht="29" x14ac:dyDescent="0.35">
      <c r="A3601" s="26" t="s">
        <v>216</v>
      </c>
      <c r="B3601" s="26" t="s">
        <v>7418</v>
      </c>
      <c r="C3601" s="26" t="s">
        <v>24</v>
      </c>
      <c r="D3601" s="28" t="s">
        <v>7419</v>
      </c>
      <c r="E3601" s="26">
        <v>0</v>
      </c>
      <c r="F3601" s="29" t="s">
        <v>232</v>
      </c>
    </row>
    <row r="3602" spans="1:6" ht="43.5" x14ac:dyDescent="0.35">
      <c r="A3602" s="26" t="s">
        <v>216</v>
      </c>
      <c r="B3602" s="26" t="s">
        <v>7420</v>
      </c>
      <c r="C3602" s="26" t="s">
        <v>15</v>
      </c>
      <c r="D3602" s="28" t="s">
        <v>218</v>
      </c>
      <c r="E3602" s="26" t="s">
        <v>7421</v>
      </c>
      <c r="F3602" s="29" t="s">
        <v>220</v>
      </c>
    </row>
    <row r="3603" spans="1:6" ht="29" x14ac:dyDescent="0.35">
      <c r="A3603" s="26" t="s">
        <v>216</v>
      </c>
      <c r="B3603" s="26" t="s">
        <v>7422</v>
      </c>
      <c r="C3603" s="26" t="s">
        <v>17</v>
      </c>
      <c r="D3603" s="28" t="s">
        <v>7423</v>
      </c>
      <c r="E3603" s="26">
        <v>13436</v>
      </c>
      <c r="F3603" s="29" t="s">
        <v>247</v>
      </c>
    </row>
    <row r="3604" spans="1:6" ht="29" x14ac:dyDescent="0.35">
      <c r="A3604" s="26" t="s">
        <v>216</v>
      </c>
      <c r="B3604" s="26" t="s">
        <v>7424</v>
      </c>
      <c r="C3604" s="26" t="s">
        <v>20</v>
      </c>
      <c r="D3604" s="28" t="s">
        <v>7425</v>
      </c>
      <c r="E3604" s="26">
        <v>13436</v>
      </c>
      <c r="F3604" s="29" t="s">
        <v>223</v>
      </c>
    </row>
    <row r="3605" spans="1:6" ht="58" x14ac:dyDescent="0.35">
      <c r="A3605" s="26" t="s">
        <v>216</v>
      </c>
      <c r="B3605" s="26" t="s">
        <v>7426</v>
      </c>
      <c r="C3605" s="26" t="s">
        <v>25</v>
      </c>
      <c r="D3605" s="28" t="s">
        <v>7427</v>
      </c>
      <c r="E3605" s="26">
        <v>0</v>
      </c>
      <c r="F3605" s="29" t="s">
        <v>226</v>
      </c>
    </row>
    <row r="3606" spans="1:6" ht="43.5" x14ac:dyDescent="0.35">
      <c r="A3606" s="26" t="s">
        <v>216</v>
      </c>
      <c r="B3606" s="26" t="s">
        <v>7428</v>
      </c>
      <c r="C3606" s="26" t="s">
        <v>27</v>
      </c>
      <c r="D3606" s="28" t="s">
        <v>7429</v>
      </c>
      <c r="E3606" s="26">
        <v>0</v>
      </c>
      <c r="F3606" s="29" t="s">
        <v>229</v>
      </c>
    </row>
    <row r="3607" spans="1:6" ht="29" x14ac:dyDescent="0.35">
      <c r="A3607" s="26" t="s">
        <v>216</v>
      </c>
      <c r="B3607" s="26" t="s">
        <v>7430</v>
      </c>
      <c r="C3607" s="26" t="s">
        <v>24</v>
      </c>
      <c r="D3607" s="28" t="s">
        <v>7431</v>
      </c>
      <c r="E3607" s="26">
        <v>0</v>
      </c>
      <c r="F3607" s="29" t="s">
        <v>232</v>
      </c>
    </row>
    <row r="3608" spans="1:6" ht="43.5" x14ac:dyDescent="0.35">
      <c r="A3608" s="26" t="s">
        <v>216</v>
      </c>
      <c r="B3608" s="26" t="s">
        <v>7432</v>
      </c>
      <c r="C3608" s="26" t="s">
        <v>15</v>
      </c>
      <c r="D3608" s="28" t="s">
        <v>218</v>
      </c>
      <c r="E3608" s="26" t="s">
        <v>7433</v>
      </c>
      <c r="F3608" s="29" t="s">
        <v>220</v>
      </c>
    </row>
    <row r="3609" spans="1:6" ht="29" x14ac:dyDescent="0.35">
      <c r="A3609" s="26" t="s">
        <v>216</v>
      </c>
      <c r="B3609" s="26" t="s">
        <v>7434</v>
      </c>
      <c r="C3609" s="26" t="s">
        <v>17</v>
      </c>
      <c r="D3609" s="28" t="s">
        <v>7435</v>
      </c>
      <c r="E3609" s="26">
        <v>13436</v>
      </c>
      <c r="F3609" s="29" t="s">
        <v>247</v>
      </c>
    </row>
    <row r="3610" spans="1:6" ht="29" x14ac:dyDescent="0.35">
      <c r="A3610" s="26" t="s">
        <v>216</v>
      </c>
      <c r="B3610" s="26" t="s">
        <v>7436</v>
      </c>
      <c r="C3610" s="26" t="s">
        <v>20</v>
      </c>
      <c r="D3610" s="28" t="s">
        <v>7437</v>
      </c>
      <c r="E3610" s="26">
        <v>13436</v>
      </c>
      <c r="F3610" s="29" t="s">
        <v>223</v>
      </c>
    </row>
    <row r="3611" spans="1:6" ht="58" x14ac:dyDescent="0.35">
      <c r="A3611" s="26" t="s">
        <v>216</v>
      </c>
      <c r="B3611" s="26" t="s">
        <v>7438</v>
      </c>
      <c r="C3611" s="26" t="s">
        <v>25</v>
      </c>
      <c r="D3611" s="28" t="s">
        <v>7439</v>
      </c>
      <c r="E3611" s="26">
        <v>0</v>
      </c>
      <c r="F3611" s="29" t="s">
        <v>226</v>
      </c>
    </row>
    <row r="3612" spans="1:6" ht="43.5" x14ac:dyDescent="0.35">
      <c r="A3612" s="26" t="s">
        <v>216</v>
      </c>
      <c r="B3612" s="26" t="s">
        <v>7440</v>
      </c>
      <c r="C3612" s="26" t="s">
        <v>27</v>
      </c>
      <c r="D3612" s="28" t="s">
        <v>7441</v>
      </c>
      <c r="E3612" s="26">
        <v>0</v>
      </c>
      <c r="F3612" s="29" t="s">
        <v>229</v>
      </c>
    </row>
    <row r="3613" spans="1:6" ht="29" x14ac:dyDescent="0.35">
      <c r="A3613" s="26" t="s">
        <v>216</v>
      </c>
      <c r="B3613" s="26" t="s">
        <v>7442</v>
      </c>
      <c r="C3613" s="26" t="s">
        <v>24</v>
      </c>
      <c r="D3613" s="28" t="s">
        <v>7443</v>
      </c>
      <c r="E3613" s="26">
        <v>0</v>
      </c>
      <c r="F3613" s="29" t="s">
        <v>232</v>
      </c>
    </row>
    <row r="3614" spans="1:6" ht="43.5" x14ac:dyDescent="0.35">
      <c r="A3614" s="26" t="s">
        <v>216</v>
      </c>
      <c r="B3614" s="26" t="s">
        <v>7444</v>
      </c>
      <c r="C3614" s="26" t="s">
        <v>15</v>
      </c>
      <c r="D3614" s="28" t="s">
        <v>218</v>
      </c>
      <c r="E3614" s="26" t="s">
        <v>7445</v>
      </c>
      <c r="F3614" s="29" t="s">
        <v>220</v>
      </c>
    </row>
    <row r="3615" spans="1:6" ht="29" x14ac:dyDescent="0.35">
      <c r="A3615" s="26" t="s">
        <v>216</v>
      </c>
      <c r="B3615" s="26" t="s">
        <v>7446</v>
      </c>
      <c r="C3615" s="26" t="s">
        <v>17</v>
      </c>
      <c r="D3615" s="28" t="s">
        <v>7447</v>
      </c>
      <c r="E3615" s="26">
        <v>13436</v>
      </c>
      <c r="F3615" s="29" t="s">
        <v>247</v>
      </c>
    </row>
    <row r="3616" spans="1:6" ht="29" x14ac:dyDescent="0.35">
      <c r="A3616" s="26" t="s">
        <v>216</v>
      </c>
      <c r="B3616" s="26" t="s">
        <v>7448</v>
      </c>
      <c r="C3616" s="26" t="s">
        <v>20</v>
      </c>
      <c r="D3616" s="28" t="s">
        <v>7449</v>
      </c>
      <c r="E3616" s="26">
        <v>13436</v>
      </c>
      <c r="F3616" s="29" t="s">
        <v>223</v>
      </c>
    </row>
    <row r="3617" spans="1:6" ht="58" x14ac:dyDescent="0.35">
      <c r="A3617" s="26" t="s">
        <v>216</v>
      </c>
      <c r="B3617" s="26" t="s">
        <v>7450</v>
      </c>
      <c r="C3617" s="26" t="s">
        <v>25</v>
      </c>
      <c r="D3617" s="28" t="s">
        <v>7451</v>
      </c>
      <c r="E3617" s="26">
        <v>0</v>
      </c>
      <c r="F3617" s="29" t="s">
        <v>226</v>
      </c>
    </row>
    <row r="3618" spans="1:6" ht="43.5" x14ac:dyDescent="0.35">
      <c r="A3618" s="26" t="s">
        <v>216</v>
      </c>
      <c r="B3618" s="26" t="s">
        <v>7452</v>
      </c>
      <c r="C3618" s="26" t="s">
        <v>27</v>
      </c>
      <c r="D3618" s="28" t="s">
        <v>7453</v>
      </c>
      <c r="E3618" s="26">
        <v>0</v>
      </c>
      <c r="F3618" s="29" t="s">
        <v>229</v>
      </c>
    </row>
    <row r="3619" spans="1:6" ht="29" x14ac:dyDescent="0.35">
      <c r="A3619" s="26" t="s">
        <v>216</v>
      </c>
      <c r="B3619" s="26" t="s">
        <v>7454</v>
      </c>
      <c r="C3619" s="26" t="s">
        <v>24</v>
      </c>
      <c r="D3619" s="28" t="s">
        <v>7455</v>
      </c>
      <c r="E3619" s="26">
        <v>0</v>
      </c>
      <c r="F3619" s="29" t="s">
        <v>232</v>
      </c>
    </row>
    <row r="3620" spans="1:6" ht="43.5" x14ac:dyDescent="0.35">
      <c r="A3620" s="26" t="s">
        <v>216</v>
      </c>
      <c r="B3620" s="26" t="s">
        <v>7456</v>
      </c>
      <c r="C3620" s="26" t="s">
        <v>15</v>
      </c>
      <c r="D3620" s="28" t="s">
        <v>218</v>
      </c>
      <c r="E3620" s="26" t="s">
        <v>7457</v>
      </c>
      <c r="F3620" s="29" t="s">
        <v>220</v>
      </c>
    </row>
    <row r="3621" spans="1:6" ht="29" x14ac:dyDescent="0.35">
      <c r="A3621" s="26" t="s">
        <v>216</v>
      </c>
      <c r="B3621" s="26" t="s">
        <v>7458</v>
      </c>
      <c r="C3621" s="26" t="s">
        <v>17</v>
      </c>
      <c r="D3621" s="28" t="s">
        <v>7459</v>
      </c>
      <c r="E3621" s="26">
        <v>13436</v>
      </c>
      <c r="F3621" s="29" t="s">
        <v>247</v>
      </c>
    </row>
    <row r="3622" spans="1:6" ht="29" x14ac:dyDescent="0.35">
      <c r="A3622" s="26" t="s">
        <v>216</v>
      </c>
      <c r="B3622" s="26" t="s">
        <v>7460</v>
      </c>
      <c r="C3622" s="26" t="s">
        <v>20</v>
      </c>
      <c r="D3622" s="28" t="s">
        <v>7461</v>
      </c>
      <c r="E3622" s="26">
        <v>13436</v>
      </c>
      <c r="F3622" s="29" t="s">
        <v>223</v>
      </c>
    </row>
    <row r="3623" spans="1:6" ht="58" x14ac:dyDescent="0.35">
      <c r="A3623" s="26" t="s">
        <v>216</v>
      </c>
      <c r="B3623" s="26" t="s">
        <v>7462</v>
      </c>
      <c r="C3623" s="26" t="s">
        <v>25</v>
      </c>
      <c r="D3623" s="28" t="s">
        <v>7463</v>
      </c>
      <c r="E3623" s="26">
        <v>0</v>
      </c>
      <c r="F3623" s="29" t="s">
        <v>226</v>
      </c>
    </row>
    <row r="3624" spans="1:6" ht="43.5" x14ac:dyDescent="0.35">
      <c r="A3624" s="26" t="s">
        <v>216</v>
      </c>
      <c r="B3624" s="26" t="s">
        <v>7464</v>
      </c>
      <c r="C3624" s="26" t="s">
        <v>27</v>
      </c>
      <c r="D3624" s="28" t="s">
        <v>7465</v>
      </c>
      <c r="E3624" s="26">
        <v>0</v>
      </c>
      <c r="F3624" s="29" t="s">
        <v>229</v>
      </c>
    </row>
    <row r="3625" spans="1:6" ht="29" x14ac:dyDescent="0.35">
      <c r="A3625" s="26" t="s">
        <v>216</v>
      </c>
      <c r="B3625" s="26" t="s">
        <v>7466</v>
      </c>
      <c r="C3625" s="26" t="s">
        <v>24</v>
      </c>
      <c r="D3625" s="28" t="s">
        <v>7467</v>
      </c>
      <c r="E3625" s="26">
        <v>0</v>
      </c>
      <c r="F3625" s="29" t="s">
        <v>232</v>
      </c>
    </row>
    <row r="3626" spans="1:6" ht="43.5" x14ac:dyDescent="0.35">
      <c r="A3626" s="26" t="s">
        <v>216</v>
      </c>
      <c r="B3626" s="26" t="s">
        <v>7468</v>
      </c>
      <c r="C3626" s="26" t="s">
        <v>15</v>
      </c>
      <c r="D3626" s="28" t="s">
        <v>218</v>
      </c>
      <c r="E3626" s="26" t="s">
        <v>7469</v>
      </c>
      <c r="F3626" s="29" t="s">
        <v>220</v>
      </c>
    </row>
    <row r="3627" spans="1:6" ht="29" x14ac:dyDescent="0.35">
      <c r="A3627" s="26" t="s">
        <v>216</v>
      </c>
      <c r="B3627" s="26" t="s">
        <v>7470</v>
      </c>
      <c r="C3627" s="26" t="s">
        <v>17</v>
      </c>
      <c r="D3627" s="28" t="s">
        <v>7471</v>
      </c>
      <c r="E3627" s="26">
        <v>13436</v>
      </c>
      <c r="F3627" s="29" t="s">
        <v>247</v>
      </c>
    </row>
    <row r="3628" spans="1:6" ht="29" x14ac:dyDescent="0.35">
      <c r="A3628" s="26" t="s">
        <v>216</v>
      </c>
      <c r="B3628" s="26" t="s">
        <v>7472</v>
      </c>
      <c r="C3628" s="26" t="s">
        <v>20</v>
      </c>
      <c r="D3628" s="28" t="s">
        <v>7473</v>
      </c>
      <c r="E3628" s="26">
        <v>13436</v>
      </c>
      <c r="F3628" s="29" t="s">
        <v>223</v>
      </c>
    </row>
    <row r="3629" spans="1:6" ht="58" x14ac:dyDescent="0.35">
      <c r="A3629" s="26" t="s">
        <v>216</v>
      </c>
      <c r="B3629" s="26" t="s">
        <v>7474</v>
      </c>
      <c r="C3629" s="26" t="s">
        <v>25</v>
      </c>
      <c r="D3629" s="28" t="s">
        <v>7475</v>
      </c>
      <c r="E3629" s="26">
        <v>0</v>
      </c>
      <c r="F3629" s="29" t="s">
        <v>226</v>
      </c>
    </row>
    <row r="3630" spans="1:6" ht="43.5" x14ac:dyDescent="0.35">
      <c r="A3630" s="26" t="s">
        <v>216</v>
      </c>
      <c r="B3630" s="26" t="s">
        <v>7476</v>
      </c>
      <c r="C3630" s="26" t="s">
        <v>27</v>
      </c>
      <c r="D3630" s="28" t="s">
        <v>7477</v>
      </c>
      <c r="E3630" s="26">
        <v>0</v>
      </c>
      <c r="F3630" s="29" t="s">
        <v>229</v>
      </c>
    </row>
    <row r="3631" spans="1:6" ht="29" x14ac:dyDescent="0.35">
      <c r="A3631" s="26" t="s">
        <v>216</v>
      </c>
      <c r="B3631" s="26" t="s">
        <v>7478</v>
      </c>
      <c r="C3631" s="26" t="s">
        <v>24</v>
      </c>
      <c r="D3631" s="28" t="s">
        <v>7479</v>
      </c>
      <c r="E3631" s="26">
        <v>0</v>
      </c>
      <c r="F3631" s="29" t="s">
        <v>232</v>
      </c>
    </row>
    <row r="3632" spans="1:6" ht="43.5" x14ac:dyDescent="0.35">
      <c r="A3632" s="26" t="s">
        <v>216</v>
      </c>
      <c r="B3632" s="26" t="s">
        <v>7480</v>
      </c>
      <c r="C3632" s="26" t="s">
        <v>15</v>
      </c>
      <c r="D3632" s="28" t="s">
        <v>218</v>
      </c>
      <c r="E3632" s="26" t="s">
        <v>7481</v>
      </c>
      <c r="F3632" s="29" t="s">
        <v>220</v>
      </c>
    </row>
    <row r="3633" spans="1:6" ht="29" x14ac:dyDescent="0.35">
      <c r="A3633" s="26" t="s">
        <v>216</v>
      </c>
      <c r="B3633" s="26" t="s">
        <v>7482</v>
      </c>
      <c r="C3633" s="26" t="s">
        <v>17</v>
      </c>
      <c r="D3633" s="28" t="s">
        <v>7483</v>
      </c>
      <c r="E3633" s="26">
        <v>13436</v>
      </c>
      <c r="F3633" s="29" t="s">
        <v>247</v>
      </c>
    </row>
    <row r="3634" spans="1:6" ht="29" x14ac:dyDescent="0.35">
      <c r="A3634" s="26" t="s">
        <v>216</v>
      </c>
      <c r="B3634" s="26" t="s">
        <v>7484</v>
      </c>
      <c r="C3634" s="26" t="s">
        <v>20</v>
      </c>
      <c r="D3634" s="28" t="s">
        <v>7485</v>
      </c>
      <c r="E3634" s="26">
        <v>13436</v>
      </c>
      <c r="F3634" s="29" t="s">
        <v>223</v>
      </c>
    </row>
    <row r="3635" spans="1:6" ht="58" x14ac:dyDescent="0.35">
      <c r="A3635" s="26" t="s">
        <v>216</v>
      </c>
      <c r="B3635" s="26" t="s">
        <v>7486</v>
      </c>
      <c r="C3635" s="26" t="s">
        <v>25</v>
      </c>
      <c r="D3635" s="28" t="s">
        <v>7487</v>
      </c>
      <c r="E3635" s="26">
        <v>0</v>
      </c>
      <c r="F3635" s="29" t="s">
        <v>226</v>
      </c>
    </row>
    <row r="3636" spans="1:6" ht="43.5" x14ac:dyDescent="0.35">
      <c r="A3636" s="26" t="s">
        <v>216</v>
      </c>
      <c r="B3636" s="26" t="s">
        <v>7488</v>
      </c>
      <c r="C3636" s="26" t="s">
        <v>27</v>
      </c>
      <c r="D3636" s="28" t="s">
        <v>7489</v>
      </c>
      <c r="E3636" s="26">
        <v>0</v>
      </c>
      <c r="F3636" s="29" t="s">
        <v>229</v>
      </c>
    </row>
    <row r="3637" spans="1:6" ht="29" x14ac:dyDescent="0.35">
      <c r="A3637" s="26" t="s">
        <v>216</v>
      </c>
      <c r="B3637" s="26" t="s">
        <v>7490</v>
      </c>
      <c r="C3637" s="26" t="s">
        <v>24</v>
      </c>
      <c r="D3637" s="28" t="s">
        <v>7491</v>
      </c>
      <c r="E3637" s="26">
        <v>0</v>
      </c>
      <c r="F3637" s="29" t="s">
        <v>232</v>
      </c>
    </row>
    <row r="3638" spans="1:6" ht="43.5" x14ac:dyDescent="0.35">
      <c r="A3638" s="26" t="s">
        <v>216</v>
      </c>
      <c r="B3638" s="26" t="s">
        <v>7492</v>
      </c>
      <c r="C3638" s="26" t="s">
        <v>15</v>
      </c>
      <c r="D3638" s="28" t="s">
        <v>218</v>
      </c>
      <c r="E3638" s="26" t="s">
        <v>7493</v>
      </c>
      <c r="F3638" s="29" t="s">
        <v>220</v>
      </c>
    </row>
    <row r="3639" spans="1:6" ht="29" x14ac:dyDescent="0.35">
      <c r="A3639" s="26" t="s">
        <v>216</v>
      </c>
      <c r="B3639" s="26" t="s">
        <v>7494</v>
      </c>
      <c r="C3639" s="26" t="s">
        <v>17</v>
      </c>
      <c r="D3639" s="28" t="s">
        <v>7495</v>
      </c>
      <c r="E3639" s="26">
        <v>13436</v>
      </c>
      <c r="F3639" s="29" t="s">
        <v>247</v>
      </c>
    </row>
    <row r="3640" spans="1:6" ht="29" x14ac:dyDescent="0.35">
      <c r="A3640" s="26" t="s">
        <v>216</v>
      </c>
      <c r="B3640" s="26" t="s">
        <v>7496</v>
      </c>
      <c r="C3640" s="26" t="s">
        <v>20</v>
      </c>
      <c r="D3640" s="28" t="s">
        <v>7497</v>
      </c>
      <c r="E3640" s="26">
        <v>13436</v>
      </c>
      <c r="F3640" s="29" t="s">
        <v>223</v>
      </c>
    </row>
    <row r="3641" spans="1:6" ht="58" x14ac:dyDescent="0.35">
      <c r="A3641" s="26" t="s">
        <v>216</v>
      </c>
      <c r="B3641" s="26" t="s">
        <v>7498</v>
      </c>
      <c r="C3641" s="26" t="s">
        <v>25</v>
      </c>
      <c r="D3641" s="28" t="s">
        <v>7499</v>
      </c>
      <c r="E3641" s="26">
        <v>0</v>
      </c>
      <c r="F3641" s="29" t="s">
        <v>226</v>
      </c>
    </row>
    <row r="3642" spans="1:6" ht="43.5" x14ac:dyDescent="0.35">
      <c r="A3642" s="26" t="s">
        <v>216</v>
      </c>
      <c r="B3642" s="26" t="s">
        <v>7500</v>
      </c>
      <c r="C3642" s="26" t="s">
        <v>27</v>
      </c>
      <c r="D3642" s="28" t="s">
        <v>7501</v>
      </c>
      <c r="E3642" s="26">
        <v>0</v>
      </c>
      <c r="F3642" s="29" t="s">
        <v>229</v>
      </c>
    </row>
    <row r="3643" spans="1:6" ht="29" x14ac:dyDescent="0.35">
      <c r="A3643" s="26" t="s">
        <v>216</v>
      </c>
      <c r="B3643" s="26" t="s">
        <v>7502</v>
      </c>
      <c r="C3643" s="26" t="s">
        <v>24</v>
      </c>
      <c r="D3643" s="28" t="s">
        <v>7503</v>
      </c>
      <c r="E3643" s="26">
        <v>0</v>
      </c>
      <c r="F3643" s="29" t="s">
        <v>232</v>
      </c>
    </row>
    <row r="3644" spans="1:6" ht="43.5" x14ac:dyDescent="0.35">
      <c r="A3644" s="26" t="s">
        <v>216</v>
      </c>
      <c r="B3644" s="26" t="s">
        <v>7504</v>
      </c>
      <c r="C3644" s="26" t="s">
        <v>15</v>
      </c>
      <c r="D3644" s="28" t="s">
        <v>218</v>
      </c>
      <c r="E3644" s="26" t="s">
        <v>7505</v>
      </c>
      <c r="F3644" s="29" t="s">
        <v>220</v>
      </c>
    </row>
    <row r="3645" spans="1:6" ht="29" x14ac:dyDescent="0.35">
      <c r="A3645" s="26" t="s">
        <v>216</v>
      </c>
      <c r="B3645" s="26" t="s">
        <v>7506</v>
      </c>
      <c r="C3645" s="26" t="s">
        <v>17</v>
      </c>
      <c r="D3645" s="28" t="s">
        <v>7507</v>
      </c>
      <c r="E3645" s="26">
        <v>13436</v>
      </c>
      <c r="F3645" s="29" t="s">
        <v>247</v>
      </c>
    </row>
    <row r="3646" spans="1:6" ht="29" x14ac:dyDescent="0.35">
      <c r="A3646" s="26" t="s">
        <v>216</v>
      </c>
      <c r="B3646" s="26" t="s">
        <v>7508</v>
      </c>
      <c r="C3646" s="26" t="s">
        <v>20</v>
      </c>
      <c r="D3646" s="28" t="s">
        <v>7509</v>
      </c>
      <c r="E3646" s="26">
        <v>13436</v>
      </c>
      <c r="F3646" s="29" t="s">
        <v>223</v>
      </c>
    </row>
    <row r="3647" spans="1:6" ht="58" x14ac:dyDescent="0.35">
      <c r="A3647" s="26" t="s">
        <v>216</v>
      </c>
      <c r="B3647" s="26" t="s">
        <v>7510</v>
      </c>
      <c r="C3647" s="26" t="s">
        <v>25</v>
      </c>
      <c r="D3647" s="28" t="s">
        <v>7511</v>
      </c>
      <c r="E3647" s="26">
        <v>0</v>
      </c>
      <c r="F3647" s="29" t="s">
        <v>226</v>
      </c>
    </row>
    <row r="3648" spans="1:6" ht="43.5" x14ac:dyDescent="0.35">
      <c r="A3648" s="26" t="s">
        <v>216</v>
      </c>
      <c r="B3648" s="26" t="s">
        <v>7512</v>
      </c>
      <c r="C3648" s="26" t="s">
        <v>27</v>
      </c>
      <c r="D3648" s="28" t="s">
        <v>7513</v>
      </c>
      <c r="E3648" s="26">
        <v>0</v>
      </c>
      <c r="F3648" s="29" t="s">
        <v>229</v>
      </c>
    </row>
    <row r="3649" spans="1:6" ht="29" x14ac:dyDescent="0.35">
      <c r="A3649" s="26" t="s">
        <v>216</v>
      </c>
      <c r="B3649" s="26" t="s">
        <v>7514</v>
      </c>
      <c r="C3649" s="26" t="s">
        <v>24</v>
      </c>
      <c r="D3649" s="28" t="s">
        <v>7515</v>
      </c>
      <c r="E3649" s="26">
        <v>0</v>
      </c>
      <c r="F3649" s="29" t="s">
        <v>232</v>
      </c>
    </row>
    <row r="3650" spans="1:6" ht="43.5" x14ac:dyDescent="0.35">
      <c r="A3650" s="26" t="s">
        <v>216</v>
      </c>
      <c r="B3650" s="26" t="s">
        <v>7516</v>
      </c>
      <c r="C3650" s="26" t="s">
        <v>15</v>
      </c>
      <c r="D3650" s="28" t="s">
        <v>218</v>
      </c>
      <c r="E3650" s="26" t="s">
        <v>7517</v>
      </c>
      <c r="F3650" s="29" t="s">
        <v>220</v>
      </c>
    </row>
    <row r="3651" spans="1:6" ht="29" x14ac:dyDescent="0.35">
      <c r="A3651" s="26" t="s">
        <v>216</v>
      </c>
      <c r="B3651" s="26" t="s">
        <v>7518</v>
      </c>
      <c r="C3651" s="26" t="s">
        <v>17</v>
      </c>
      <c r="D3651" s="28" t="s">
        <v>7519</v>
      </c>
      <c r="E3651" s="26">
        <v>13436</v>
      </c>
      <c r="F3651" s="29" t="s">
        <v>247</v>
      </c>
    </row>
    <row r="3652" spans="1:6" ht="29" x14ac:dyDescent="0.35">
      <c r="A3652" s="26" t="s">
        <v>216</v>
      </c>
      <c r="B3652" s="26" t="s">
        <v>7520</v>
      </c>
      <c r="C3652" s="26" t="s">
        <v>20</v>
      </c>
      <c r="D3652" s="28" t="s">
        <v>7521</v>
      </c>
      <c r="E3652" s="26">
        <v>13436</v>
      </c>
      <c r="F3652" s="29" t="s">
        <v>223</v>
      </c>
    </row>
    <row r="3653" spans="1:6" ht="58" x14ac:dyDescent="0.35">
      <c r="A3653" s="26" t="s">
        <v>216</v>
      </c>
      <c r="B3653" s="26" t="s">
        <v>7522</v>
      </c>
      <c r="C3653" s="26" t="s">
        <v>25</v>
      </c>
      <c r="D3653" s="28" t="s">
        <v>7523</v>
      </c>
      <c r="E3653" s="26">
        <v>0</v>
      </c>
      <c r="F3653" s="29" t="s">
        <v>226</v>
      </c>
    </row>
    <row r="3654" spans="1:6" ht="43.5" x14ac:dyDescent="0.35">
      <c r="A3654" s="26" t="s">
        <v>216</v>
      </c>
      <c r="B3654" s="26" t="s">
        <v>7524</v>
      </c>
      <c r="C3654" s="26" t="s">
        <v>27</v>
      </c>
      <c r="D3654" s="28" t="s">
        <v>7525</v>
      </c>
      <c r="E3654" s="26">
        <v>0</v>
      </c>
      <c r="F3654" s="29" t="s">
        <v>229</v>
      </c>
    </row>
    <row r="3655" spans="1:6" ht="29" x14ac:dyDescent="0.35">
      <c r="A3655" s="26" t="s">
        <v>216</v>
      </c>
      <c r="B3655" s="26" t="s">
        <v>7526</v>
      </c>
      <c r="C3655" s="26" t="s">
        <v>24</v>
      </c>
      <c r="D3655" s="28" t="s">
        <v>7527</v>
      </c>
      <c r="E3655" s="26">
        <v>0</v>
      </c>
      <c r="F3655" s="29" t="s">
        <v>232</v>
      </c>
    </row>
    <row r="3656" spans="1:6" ht="43.5" x14ac:dyDescent="0.35">
      <c r="A3656" s="26" t="s">
        <v>216</v>
      </c>
      <c r="B3656" s="26" t="s">
        <v>7528</v>
      </c>
      <c r="C3656" s="26" t="s">
        <v>15</v>
      </c>
      <c r="D3656" s="28" t="s">
        <v>218</v>
      </c>
      <c r="E3656" s="26" t="s">
        <v>7529</v>
      </c>
      <c r="F3656" s="29" t="s">
        <v>220</v>
      </c>
    </row>
    <row r="3657" spans="1:6" ht="29" x14ac:dyDescent="0.35">
      <c r="A3657" s="26" t="s">
        <v>216</v>
      </c>
      <c r="B3657" s="26" t="s">
        <v>7530</v>
      </c>
      <c r="C3657" s="26" t="s">
        <v>17</v>
      </c>
      <c r="D3657" s="28" t="s">
        <v>7531</v>
      </c>
      <c r="E3657" s="26">
        <v>13436</v>
      </c>
      <c r="F3657" s="29" t="s">
        <v>247</v>
      </c>
    </row>
    <row r="3658" spans="1:6" ht="29" x14ac:dyDescent="0.35">
      <c r="A3658" s="26" t="s">
        <v>216</v>
      </c>
      <c r="B3658" s="26" t="s">
        <v>7532</v>
      </c>
      <c r="C3658" s="26" t="s">
        <v>20</v>
      </c>
      <c r="D3658" s="28" t="s">
        <v>7533</v>
      </c>
      <c r="E3658" s="26">
        <v>13436</v>
      </c>
      <c r="F3658" s="29" t="s">
        <v>223</v>
      </c>
    </row>
    <row r="3659" spans="1:6" ht="58" x14ac:dyDescent="0.35">
      <c r="A3659" s="26" t="s">
        <v>216</v>
      </c>
      <c r="B3659" s="26" t="s">
        <v>7534</v>
      </c>
      <c r="C3659" s="26" t="s">
        <v>25</v>
      </c>
      <c r="D3659" s="28" t="s">
        <v>7535</v>
      </c>
      <c r="E3659" s="26">
        <v>0</v>
      </c>
      <c r="F3659" s="29" t="s">
        <v>226</v>
      </c>
    </row>
    <row r="3660" spans="1:6" ht="43.5" x14ac:dyDescent="0.35">
      <c r="A3660" s="26" t="s">
        <v>216</v>
      </c>
      <c r="B3660" s="26" t="s">
        <v>7536</v>
      </c>
      <c r="C3660" s="26" t="s">
        <v>27</v>
      </c>
      <c r="D3660" s="28" t="s">
        <v>7537</v>
      </c>
      <c r="E3660" s="26">
        <v>0</v>
      </c>
      <c r="F3660" s="29" t="s">
        <v>229</v>
      </c>
    </row>
    <row r="3661" spans="1:6" ht="29" x14ac:dyDescent="0.35">
      <c r="A3661" s="26" t="s">
        <v>216</v>
      </c>
      <c r="B3661" s="26" t="s">
        <v>7538</v>
      </c>
      <c r="C3661" s="26" t="s">
        <v>24</v>
      </c>
      <c r="D3661" s="28" t="s">
        <v>7539</v>
      </c>
      <c r="E3661" s="26">
        <v>0</v>
      </c>
      <c r="F3661" s="29" t="s">
        <v>232</v>
      </c>
    </row>
    <row r="3662" spans="1:6" ht="43.5" x14ac:dyDescent="0.35">
      <c r="A3662" s="26" t="s">
        <v>216</v>
      </c>
      <c r="B3662" s="26" t="s">
        <v>7540</v>
      </c>
      <c r="C3662" s="26" t="s">
        <v>15</v>
      </c>
      <c r="D3662" s="28" t="s">
        <v>218</v>
      </c>
      <c r="E3662" s="26" t="s">
        <v>7541</v>
      </c>
      <c r="F3662" s="29" t="s">
        <v>220</v>
      </c>
    </row>
    <row r="3663" spans="1:6" ht="29" x14ac:dyDescent="0.35">
      <c r="A3663" s="26" t="s">
        <v>216</v>
      </c>
      <c r="B3663" s="26" t="s">
        <v>7542</v>
      </c>
      <c r="C3663" s="26" t="s">
        <v>17</v>
      </c>
      <c r="D3663" s="28" t="s">
        <v>7543</v>
      </c>
      <c r="E3663" s="26">
        <v>13436</v>
      </c>
      <c r="F3663" s="29" t="s">
        <v>247</v>
      </c>
    </row>
    <row r="3664" spans="1:6" ht="29" x14ac:dyDescent="0.35">
      <c r="A3664" s="26" t="s">
        <v>216</v>
      </c>
      <c r="B3664" s="26" t="s">
        <v>7544</v>
      </c>
      <c r="C3664" s="26" t="s">
        <v>20</v>
      </c>
      <c r="D3664" s="28" t="s">
        <v>7545</v>
      </c>
      <c r="E3664" s="26">
        <v>13436</v>
      </c>
      <c r="F3664" s="29" t="s">
        <v>223</v>
      </c>
    </row>
    <row r="3665" spans="1:6" ht="58" x14ac:dyDescent="0.35">
      <c r="A3665" s="26" t="s">
        <v>216</v>
      </c>
      <c r="B3665" s="26" t="s">
        <v>7546</v>
      </c>
      <c r="C3665" s="26" t="s">
        <v>25</v>
      </c>
      <c r="D3665" s="28" t="s">
        <v>7547</v>
      </c>
      <c r="E3665" s="26">
        <v>0</v>
      </c>
      <c r="F3665" s="29" t="s">
        <v>226</v>
      </c>
    </row>
    <row r="3666" spans="1:6" ht="43.5" x14ac:dyDescent="0.35">
      <c r="A3666" s="26" t="s">
        <v>216</v>
      </c>
      <c r="B3666" s="26" t="s">
        <v>7548</v>
      </c>
      <c r="C3666" s="26" t="s">
        <v>27</v>
      </c>
      <c r="D3666" s="28" t="s">
        <v>7549</v>
      </c>
      <c r="E3666" s="26">
        <v>0</v>
      </c>
      <c r="F3666" s="29" t="s">
        <v>229</v>
      </c>
    </row>
    <row r="3667" spans="1:6" ht="29" x14ac:dyDescent="0.35">
      <c r="A3667" s="26" t="s">
        <v>216</v>
      </c>
      <c r="B3667" s="26" t="s">
        <v>7550</v>
      </c>
      <c r="C3667" s="26" t="s">
        <v>24</v>
      </c>
      <c r="D3667" s="28" t="s">
        <v>7551</v>
      </c>
      <c r="E3667" s="26">
        <v>0</v>
      </c>
      <c r="F3667" s="29" t="s">
        <v>232</v>
      </c>
    </row>
    <row r="3668" spans="1:6" ht="43.5" x14ac:dyDescent="0.35">
      <c r="A3668" s="26" t="s">
        <v>216</v>
      </c>
      <c r="B3668" s="26" t="s">
        <v>7552</v>
      </c>
      <c r="C3668" s="26" t="s">
        <v>15</v>
      </c>
      <c r="D3668" s="28" t="s">
        <v>218</v>
      </c>
      <c r="E3668" s="26" t="s">
        <v>7553</v>
      </c>
      <c r="F3668" s="29" t="s">
        <v>220</v>
      </c>
    </row>
    <row r="3669" spans="1:6" ht="29" x14ac:dyDescent="0.35">
      <c r="A3669" s="26" t="s">
        <v>216</v>
      </c>
      <c r="B3669" s="26" t="s">
        <v>7554</v>
      </c>
      <c r="C3669" s="26" t="s">
        <v>17</v>
      </c>
      <c r="D3669" s="28" t="s">
        <v>7555</v>
      </c>
      <c r="E3669" s="26">
        <v>13436</v>
      </c>
      <c r="F3669" s="29" t="s">
        <v>247</v>
      </c>
    </row>
    <row r="3670" spans="1:6" ht="29" x14ac:dyDescent="0.35">
      <c r="A3670" s="26" t="s">
        <v>216</v>
      </c>
      <c r="B3670" s="26" t="s">
        <v>7556</v>
      </c>
      <c r="C3670" s="26" t="s">
        <v>20</v>
      </c>
      <c r="D3670" s="28" t="s">
        <v>7557</v>
      </c>
      <c r="E3670" s="26">
        <v>13436</v>
      </c>
      <c r="F3670" s="29" t="s">
        <v>223</v>
      </c>
    </row>
    <row r="3671" spans="1:6" ht="58" x14ac:dyDescent="0.35">
      <c r="A3671" s="26" t="s">
        <v>216</v>
      </c>
      <c r="B3671" s="26" t="s">
        <v>7558</v>
      </c>
      <c r="C3671" s="26" t="s">
        <v>25</v>
      </c>
      <c r="D3671" s="28" t="s">
        <v>7559</v>
      </c>
      <c r="E3671" s="26">
        <v>0</v>
      </c>
      <c r="F3671" s="29" t="s">
        <v>226</v>
      </c>
    </row>
    <row r="3672" spans="1:6" ht="43.5" x14ac:dyDescent="0.35">
      <c r="A3672" s="26" t="s">
        <v>216</v>
      </c>
      <c r="B3672" s="26" t="s">
        <v>7560</v>
      </c>
      <c r="C3672" s="26" t="s">
        <v>27</v>
      </c>
      <c r="D3672" s="28" t="s">
        <v>7561</v>
      </c>
      <c r="E3672" s="26">
        <v>0</v>
      </c>
      <c r="F3672" s="29" t="s">
        <v>229</v>
      </c>
    </row>
    <row r="3673" spans="1:6" ht="29" x14ac:dyDescent="0.35">
      <c r="A3673" s="26" t="s">
        <v>216</v>
      </c>
      <c r="B3673" s="26" t="s">
        <v>7562</v>
      </c>
      <c r="C3673" s="26" t="s">
        <v>24</v>
      </c>
      <c r="D3673" s="28" t="s">
        <v>7563</v>
      </c>
      <c r="E3673" s="26">
        <v>0</v>
      </c>
      <c r="F3673" s="29" t="s">
        <v>232</v>
      </c>
    </row>
    <row r="3674" spans="1:6" ht="43.5" x14ac:dyDescent="0.35">
      <c r="A3674" s="26" t="s">
        <v>216</v>
      </c>
      <c r="B3674" s="26" t="s">
        <v>7564</v>
      </c>
      <c r="C3674" s="26" t="s">
        <v>15</v>
      </c>
      <c r="D3674" s="28" t="s">
        <v>218</v>
      </c>
      <c r="E3674" s="26" t="s">
        <v>7565</v>
      </c>
      <c r="F3674" s="29" t="s">
        <v>220</v>
      </c>
    </row>
    <row r="3675" spans="1:6" ht="29" x14ac:dyDescent="0.35">
      <c r="A3675" s="26" t="s">
        <v>216</v>
      </c>
      <c r="B3675" s="26" t="s">
        <v>7566</v>
      </c>
      <c r="C3675" s="26" t="s">
        <v>17</v>
      </c>
      <c r="D3675" s="28" t="s">
        <v>7567</v>
      </c>
      <c r="E3675" s="26">
        <v>13436</v>
      </c>
      <c r="F3675" s="29" t="s">
        <v>247</v>
      </c>
    </row>
    <row r="3676" spans="1:6" ht="29" x14ac:dyDescent="0.35">
      <c r="A3676" s="26" t="s">
        <v>216</v>
      </c>
      <c r="B3676" s="26" t="s">
        <v>7568</v>
      </c>
      <c r="C3676" s="26" t="s">
        <v>20</v>
      </c>
      <c r="D3676" s="28" t="s">
        <v>7569</v>
      </c>
      <c r="E3676" s="26">
        <v>13436</v>
      </c>
      <c r="F3676" s="29" t="s">
        <v>223</v>
      </c>
    </row>
    <row r="3677" spans="1:6" ht="58" x14ac:dyDescent="0.35">
      <c r="A3677" s="26" t="s">
        <v>216</v>
      </c>
      <c r="B3677" s="26" t="s">
        <v>7570</v>
      </c>
      <c r="C3677" s="26" t="s">
        <v>25</v>
      </c>
      <c r="D3677" s="28" t="s">
        <v>7571</v>
      </c>
      <c r="E3677" s="26">
        <v>0</v>
      </c>
      <c r="F3677" s="29" t="s">
        <v>226</v>
      </c>
    </row>
    <row r="3678" spans="1:6" ht="43.5" x14ac:dyDescent="0.35">
      <c r="A3678" s="26" t="s">
        <v>216</v>
      </c>
      <c r="B3678" s="26" t="s">
        <v>7572</v>
      </c>
      <c r="C3678" s="26" t="s">
        <v>27</v>
      </c>
      <c r="D3678" s="28" t="s">
        <v>7573</v>
      </c>
      <c r="E3678" s="26">
        <v>0</v>
      </c>
      <c r="F3678" s="29" t="s">
        <v>229</v>
      </c>
    </row>
    <row r="3679" spans="1:6" ht="29" x14ac:dyDescent="0.35">
      <c r="A3679" s="26" t="s">
        <v>216</v>
      </c>
      <c r="B3679" s="26" t="s">
        <v>7574</v>
      </c>
      <c r="C3679" s="26" t="s">
        <v>24</v>
      </c>
      <c r="D3679" s="28" t="s">
        <v>7575</v>
      </c>
      <c r="E3679" s="26">
        <v>0</v>
      </c>
      <c r="F3679" s="29" t="s">
        <v>232</v>
      </c>
    </row>
    <row r="3680" spans="1:6" ht="43.5" x14ac:dyDescent="0.35">
      <c r="A3680" s="26" t="s">
        <v>216</v>
      </c>
      <c r="B3680" s="26" t="s">
        <v>7576</v>
      </c>
      <c r="C3680" s="26" t="s">
        <v>15</v>
      </c>
      <c r="D3680" s="28" t="s">
        <v>218</v>
      </c>
      <c r="E3680" s="26" t="s">
        <v>7577</v>
      </c>
      <c r="F3680" s="29" t="s">
        <v>220</v>
      </c>
    </row>
    <row r="3681" spans="1:6" ht="29" x14ac:dyDescent="0.35">
      <c r="A3681" s="26" t="s">
        <v>216</v>
      </c>
      <c r="B3681" s="26" t="s">
        <v>7578</v>
      </c>
      <c r="C3681" s="26" t="s">
        <v>17</v>
      </c>
      <c r="D3681" s="28" t="s">
        <v>7579</v>
      </c>
      <c r="E3681" s="26">
        <v>13436</v>
      </c>
      <c r="F3681" s="29" t="s">
        <v>247</v>
      </c>
    </row>
    <row r="3682" spans="1:6" ht="29" x14ac:dyDescent="0.35">
      <c r="A3682" s="26" t="s">
        <v>216</v>
      </c>
      <c r="B3682" s="26" t="s">
        <v>7580</v>
      </c>
      <c r="C3682" s="26" t="s">
        <v>20</v>
      </c>
      <c r="D3682" s="28" t="s">
        <v>7581</v>
      </c>
      <c r="E3682" s="26">
        <v>13436</v>
      </c>
      <c r="F3682" s="29" t="s">
        <v>223</v>
      </c>
    </row>
    <row r="3683" spans="1:6" ht="58" x14ac:dyDescent="0.35">
      <c r="A3683" s="26" t="s">
        <v>216</v>
      </c>
      <c r="B3683" s="26" t="s">
        <v>7582</v>
      </c>
      <c r="C3683" s="26" t="s">
        <v>25</v>
      </c>
      <c r="D3683" s="28" t="s">
        <v>7583</v>
      </c>
      <c r="E3683" s="26">
        <v>0</v>
      </c>
      <c r="F3683" s="29" t="s">
        <v>226</v>
      </c>
    </row>
    <row r="3684" spans="1:6" ht="43.5" x14ac:dyDescent="0.35">
      <c r="A3684" s="26" t="s">
        <v>216</v>
      </c>
      <c r="B3684" s="26" t="s">
        <v>7584</v>
      </c>
      <c r="C3684" s="26" t="s">
        <v>27</v>
      </c>
      <c r="D3684" s="28" t="s">
        <v>7585</v>
      </c>
      <c r="E3684" s="26">
        <v>0</v>
      </c>
      <c r="F3684" s="29" t="s">
        <v>229</v>
      </c>
    </row>
    <row r="3685" spans="1:6" ht="29" x14ac:dyDescent="0.35">
      <c r="A3685" s="26" t="s">
        <v>216</v>
      </c>
      <c r="B3685" s="26" t="s">
        <v>7586</v>
      </c>
      <c r="C3685" s="26" t="s">
        <v>24</v>
      </c>
      <c r="D3685" s="28" t="s">
        <v>7587</v>
      </c>
      <c r="E3685" s="26">
        <v>0</v>
      </c>
      <c r="F3685" s="29" t="s">
        <v>232</v>
      </c>
    </row>
    <row r="3686" spans="1:6" ht="43.5" x14ac:dyDescent="0.35">
      <c r="A3686" s="26" t="s">
        <v>216</v>
      </c>
      <c r="B3686" s="26" t="s">
        <v>7588</v>
      </c>
      <c r="C3686" s="26" t="s">
        <v>15</v>
      </c>
      <c r="D3686" s="28" t="s">
        <v>218</v>
      </c>
      <c r="E3686" s="26" t="s">
        <v>7589</v>
      </c>
      <c r="F3686" s="29" t="s">
        <v>220</v>
      </c>
    </row>
    <row r="3687" spans="1:6" ht="29" x14ac:dyDescent="0.35">
      <c r="A3687" s="26" t="s">
        <v>216</v>
      </c>
      <c r="B3687" s="26" t="s">
        <v>7590</v>
      </c>
      <c r="C3687" s="26" t="s">
        <v>17</v>
      </c>
      <c r="D3687" s="28" t="s">
        <v>7591</v>
      </c>
      <c r="E3687" s="26">
        <v>13436</v>
      </c>
      <c r="F3687" s="29" t="s">
        <v>247</v>
      </c>
    </row>
    <row r="3688" spans="1:6" ht="29" x14ac:dyDescent="0.35">
      <c r="A3688" s="26" t="s">
        <v>216</v>
      </c>
      <c r="B3688" s="26" t="s">
        <v>7592</v>
      </c>
      <c r="C3688" s="26" t="s">
        <v>20</v>
      </c>
      <c r="D3688" s="28" t="s">
        <v>7593</v>
      </c>
      <c r="E3688" s="26">
        <v>13436</v>
      </c>
      <c r="F3688" s="29" t="s">
        <v>223</v>
      </c>
    </row>
    <row r="3689" spans="1:6" ht="58" x14ac:dyDescent="0.35">
      <c r="A3689" s="26" t="s">
        <v>216</v>
      </c>
      <c r="B3689" s="26" t="s">
        <v>7594</v>
      </c>
      <c r="C3689" s="26" t="s">
        <v>25</v>
      </c>
      <c r="D3689" s="28" t="s">
        <v>7595</v>
      </c>
      <c r="E3689" s="26">
        <v>0</v>
      </c>
      <c r="F3689" s="29" t="s">
        <v>226</v>
      </c>
    </row>
    <row r="3690" spans="1:6" ht="43.5" x14ac:dyDescent="0.35">
      <c r="A3690" s="26" t="s">
        <v>216</v>
      </c>
      <c r="B3690" s="26" t="s">
        <v>7596</v>
      </c>
      <c r="C3690" s="26" t="s">
        <v>27</v>
      </c>
      <c r="D3690" s="28" t="s">
        <v>7597</v>
      </c>
      <c r="E3690" s="26">
        <v>0</v>
      </c>
      <c r="F3690" s="29" t="s">
        <v>229</v>
      </c>
    </row>
    <row r="3691" spans="1:6" ht="29" x14ac:dyDescent="0.35">
      <c r="A3691" s="26" t="s">
        <v>216</v>
      </c>
      <c r="B3691" s="26" t="s">
        <v>7598</v>
      </c>
      <c r="C3691" s="26" t="s">
        <v>24</v>
      </c>
      <c r="D3691" s="28" t="s">
        <v>7599</v>
      </c>
      <c r="E3691" s="26">
        <v>0</v>
      </c>
      <c r="F3691" s="29" t="s">
        <v>232</v>
      </c>
    </row>
    <row r="3692" spans="1:6" ht="43.5" x14ac:dyDescent="0.35">
      <c r="A3692" s="26" t="s">
        <v>216</v>
      </c>
      <c r="B3692" s="26" t="s">
        <v>7600</v>
      </c>
      <c r="C3692" s="26" t="s">
        <v>15</v>
      </c>
      <c r="D3692" s="28" t="s">
        <v>218</v>
      </c>
      <c r="E3692" s="26" t="s">
        <v>7601</v>
      </c>
      <c r="F3692" s="29" t="s">
        <v>220</v>
      </c>
    </row>
    <row r="3693" spans="1:6" ht="29" x14ac:dyDescent="0.35">
      <c r="A3693" s="26" t="s">
        <v>216</v>
      </c>
      <c r="B3693" s="26" t="s">
        <v>7602</v>
      </c>
      <c r="C3693" s="26" t="s">
        <v>17</v>
      </c>
      <c r="D3693" s="28" t="s">
        <v>7603</v>
      </c>
      <c r="E3693" s="26">
        <v>13436</v>
      </c>
      <c r="F3693" s="29" t="s">
        <v>247</v>
      </c>
    </row>
    <row r="3694" spans="1:6" ht="29" x14ac:dyDescent="0.35">
      <c r="A3694" s="26" t="s">
        <v>216</v>
      </c>
      <c r="B3694" s="26" t="s">
        <v>7604</v>
      </c>
      <c r="C3694" s="26" t="s">
        <v>20</v>
      </c>
      <c r="D3694" s="28" t="s">
        <v>7605</v>
      </c>
      <c r="E3694" s="26">
        <v>13436</v>
      </c>
      <c r="F3694" s="29" t="s">
        <v>223</v>
      </c>
    </row>
    <row r="3695" spans="1:6" ht="58" x14ac:dyDescent="0.35">
      <c r="A3695" s="26" t="s">
        <v>216</v>
      </c>
      <c r="B3695" s="26" t="s">
        <v>7606</v>
      </c>
      <c r="C3695" s="26" t="s">
        <v>25</v>
      </c>
      <c r="D3695" s="28" t="s">
        <v>7607</v>
      </c>
      <c r="E3695" s="26">
        <v>0</v>
      </c>
      <c r="F3695" s="29" t="s">
        <v>226</v>
      </c>
    </row>
    <row r="3696" spans="1:6" ht="43.5" x14ac:dyDescent="0.35">
      <c r="A3696" s="26" t="s">
        <v>216</v>
      </c>
      <c r="B3696" s="26" t="s">
        <v>7608</v>
      </c>
      <c r="C3696" s="26" t="s">
        <v>27</v>
      </c>
      <c r="D3696" s="28" t="s">
        <v>7609</v>
      </c>
      <c r="E3696" s="26">
        <v>0</v>
      </c>
      <c r="F3696" s="29" t="s">
        <v>229</v>
      </c>
    </row>
    <row r="3697" spans="1:6" ht="29" x14ac:dyDescent="0.35">
      <c r="A3697" s="26" t="s">
        <v>216</v>
      </c>
      <c r="B3697" s="26" t="s">
        <v>7610</v>
      </c>
      <c r="C3697" s="26" t="s">
        <v>24</v>
      </c>
      <c r="D3697" s="28" t="s">
        <v>7611</v>
      </c>
      <c r="E3697" s="26">
        <v>0</v>
      </c>
      <c r="F3697" s="29" t="s">
        <v>232</v>
      </c>
    </row>
    <row r="3698" spans="1:6" ht="43.5" x14ac:dyDescent="0.35">
      <c r="A3698" s="26" t="s">
        <v>216</v>
      </c>
      <c r="B3698" s="26" t="s">
        <v>7612</v>
      </c>
      <c r="C3698" s="26" t="s">
        <v>15</v>
      </c>
      <c r="D3698" s="28" t="s">
        <v>218</v>
      </c>
      <c r="E3698" s="26" t="s">
        <v>7613</v>
      </c>
      <c r="F3698" s="29" t="s">
        <v>220</v>
      </c>
    </row>
    <row r="3699" spans="1:6" ht="29" x14ac:dyDescent="0.35">
      <c r="A3699" s="26" t="s">
        <v>216</v>
      </c>
      <c r="B3699" s="26" t="s">
        <v>7614</v>
      </c>
      <c r="C3699" s="26" t="s">
        <v>17</v>
      </c>
      <c r="D3699" s="28" t="s">
        <v>7615</v>
      </c>
      <c r="E3699" s="26">
        <v>13436</v>
      </c>
      <c r="F3699" s="29" t="s">
        <v>247</v>
      </c>
    </row>
    <row r="3700" spans="1:6" ht="29" x14ac:dyDescent="0.35">
      <c r="A3700" s="26" t="s">
        <v>216</v>
      </c>
      <c r="B3700" s="26" t="s">
        <v>7616</v>
      </c>
      <c r="C3700" s="26" t="s">
        <v>20</v>
      </c>
      <c r="D3700" s="28" t="s">
        <v>7617</v>
      </c>
      <c r="E3700" s="26">
        <v>13436</v>
      </c>
      <c r="F3700" s="29" t="s">
        <v>223</v>
      </c>
    </row>
    <row r="3701" spans="1:6" ht="58" x14ac:dyDescent="0.35">
      <c r="A3701" s="26" t="s">
        <v>216</v>
      </c>
      <c r="B3701" s="26" t="s">
        <v>7618</v>
      </c>
      <c r="C3701" s="26" t="s">
        <v>25</v>
      </c>
      <c r="D3701" s="28" t="s">
        <v>7619</v>
      </c>
      <c r="E3701" s="26">
        <v>0</v>
      </c>
      <c r="F3701" s="29" t="s">
        <v>226</v>
      </c>
    </row>
    <row r="3702" spans="1:6" ht="43.5" x14ac:dyDescent="0.35">
      <c r="A3702" s="26" t="s">
        <v>216</v>
      </c>
      <c r="B3702" s="26" t="s">
        <v>7620</v>
      </c>
      <c r="C3702" s="26" t="s">
        <v>27</v>
      </c>
      <c r="D3702" s="28" t="s">
        <v>7621</v>
      </c>
      <c r="E3702" s="26">
        <v>0</v>
      </c>
      <c r="F3702" s="29" t="s">
        <v>229</v>
      </c>
    </row>
    <row r="3703" spans="1:6" ht="29" x14ac:dyDescent="0.35">
      <c r="A3703" s="26" t="s">
        <v>216</v>
      </c>
      <c r="B3703" s="26" t="s">
        <v>7622</v>
      </c>
      <c r="C3703" s="26" t="s">
        <v>24</v>
      </c>
      <c r="D3703" s="28" t="s">
        <v>7623</v>
      </c>
      <c r="E3703" s="26">
        <v>0</v>
      </c>
      <c r="F3703" s="29" t="s">
        <v>232</v>
      </c>
    </row>
    <row r="3704" spans="1:6" ht="43.5" x14ac:dyDescent="0.35">
      <c r="A3704" s="26" t="s">
        <v>216</v>
      </c>
      <c r="B3704" s="26" t="s">
        <v>7624</v>
      </c>
      <c r="C3704" s="26" t="s">
        <v>15</v>
      </c>
      <c r="D3704" s="28" t="s">
        <v>218</v>
      </c>
      <c r="E3704" s="26" t="s">
        <v>7625</v>
      </c>
      <c r="F3704" s="29" t="s">
        <v>220</v>
      </c>
    </row>
    <row r="3705" spans="1:6" ht="29" x14ac:dyDescent="0.35">
      <c r="A3705" s="26" t="s">
        <v>216</v>
      </c>
      <c r="B3705" s="26" t="s">
        <v>7626</v>
      </c>
      <c r="C3705" s="26" t="s">
        <v>17</v>
      </c>
      <c r="D3705" s="28" t="s">
        <v>7627</v>
      </c>
      <c r="E3705" s="26">
        <v>13436</v>
      </c>
      <c r="F3705" s="29" t="s">
        <v>247</v>
      </c>
    </row>
    <row r="3706" spans="1:6" ht="29" x14ac:dyDescent="0.35">
      <c r="A3706" s="26" t="s">
        <v>216</v>
      </c>
      <c r="B3706" s="26" t="s">
        <v>7628</v>
      </c>
      <c r="C3706" s="26" t="s">
        <v>20</v>
      </c>
      <c r="D3706" s="28" t="s">
        <v>7629</v>
      </c>
      <c r="E3706" s="26">
        <v>13436</v>
      </c>
      <c r="F3706" s="29" t="s">
        <v>223</v>
      </c>
    </row>
    <row r="3707" spans="1:6" ht="58" x14ac:dyDescent="0.35">
      <c r="A3707" s="26" t="s">
        <v>216</v>
      </c>
      <c r="B3707" s="26" t="s">
        <v>7630</v>
      </c>
      <c r="C3707" s="26" t="s">
        <v>25</v>
      </c>
      <c r="D3707" s="28" t="s">
        <v>7631</v>
      </c>
      <c r="E3707" s="26">
        <v>0</v>
      </c>
      <c r="F3707" s="29" t="s">
        <v>226</v>
      </c>
    </row>
    <row r="3708" spans="1:6" ht="43.5" x14ac:dyDescent="0.35">
      <c r="A3708" s="26" t="s">
        <v>216</v>
      </c>
      <c r="B3708" s="26" t="s">
        <v>7632</v>
      </c>
      <c r="C3708" s="26" t="s">
        <v>27</v>
      </c>
      <c r="D3708" s="28" t="s">
        <v>7633</v>
      </c>
      <c r="E3708" s="26">
        <v>0</v>
      </c>
      <c r="F3708" s="29" t="s">
        <v>229</v>
      </c>
    </row>
    <row r="3709" spans="1:6" ht="29" x14ac:dyDescent="0.35">
      <c r="A3709" s="26" t="s">
        <v>216</v>
      </c>
      <c r="B3709" s="26" t="s">
        <v>7634</v>
      </c>
      <c r="C3709" s="26" t="s">
        <v>24</v>
      </c>
      <c r="D3709" s="28" t="s">
        <v>7635</v>
      </c>
      <c r="E3709" s="26">
        <v>0</v>
      </c>
      <c r="F3709" s="29" t="s">
        <v>232</v>
      </c>
    </row>
    <row r="3710" spans="1:6" ht="43.5" x14ac:dyDescent="0.35">
      <c r="A3710" s="26" t="s">
        <v>216</v>
      </c>
      <c r="B3710" s="26" t="s">
        <v>7636</v>
      </c>
      <c r="C3710" s="26" t="s">
        <v>15</v>
      </c>
      <c r="D3710" s="28" t="s">
        <v>218</v>
      </c>
      <c r="E3710" s="26" t="s">
        <v>7637</v>
      </c>
      <c r="F3710" s="29" t="s">
        <v>220</v>
      </c>
    </row>
    <row r="3711" spans="1:6" ht="29" x14ac:dyDescent="0.35">
      <c r="A3711" s="26" t="s">
        <v>216</v>
      </c>
      <c r="B3711" s="26" t="s">
        <v>7638</v>
      </c>
      <c r="C3711" s="26" t="s">
        <v>17</v>
      </c>
      <c r="D3711" s="28" t="s">
        <v>7639</v>
      </c>
      <c r="E3711" s="26">
        <v>13436</v>
      </c>
      <c r="F3711" s="29" t="s">
        <v>247</v>
      </c>
    </row>
    <row r="3712" spans="1:6" ht="29" x14ac:dyDescent="0.35">
      <c r="A3712" s="26" t="s">
        <v>216</v>
      </c>
      <c r="B3712" s="26" t="s">
        <v>7640</v>
      </c>
      <c r="C3712" s="26" t="s">
        <v>20</v>
      </c>
      <c r="D3712" s="28" t="s">
        <v>7641</v>
      </c>
      <c r="E3712" s="26">
        <v>13436</v>
      </c>
      <c r="F3712" s="29" t="s">
        <v>223</v>
      </c>
    </row>
    <row r="3713" spans="1:6" ht="58" x14ac:dyDescent="0.35">
      <c r="A3713" s="26" t="s">
        <v>216</v>
      </c>
      <c r="B3713" s="26" t="s">
        <v>7642</v>
      </c>
      <c r="C3713" s="26" t="s">
        <v>25</v>
      </c>
      <c r="D3713" s="28" t="s">
        <v>7643</v>
      </c>
      <c r="E3713" s="26">
        <v>0</v>
      </c>
      <c r="F3713" s="29" t="s">
        <v>226</v>
      </c>
    </row>
    <row r="3714" spans="1:6" ht="43.5" x14ac:dyDescent="0.35">
      <c r="A3714" s="26" t="s">
        <v>216</v>
      </c>
      <c r="B3714" s="26" t="s">
        <v>7644</v>
      </c>
      <c r="C3714" s="26" t="s">
        <v>27</v>
      </c>
      <c r="D3714" s="28" t="s">
        <v>7645</v>
      </c>
      <c r="E3714" s="26">
        <v>0</v>
      </c>
      <c r="F3714" s="29" t="s">
        <v>229</v>
      </c>
    </row>
    <row r="3715" spans="1:6" ht="29" x14ac:dyDescent="0.35">
      <c r="A3715" s="26" t="s">
        <v>216</v>
      </c>
      <c r="B3715" s="26" t="s">
        <v>7646</v>
      </c>
      <c r="C3715" s="26" t="s">
        <v>24</v>
      </c>
      <c r="D3715" s="28" t="s">
        <v>7647</v>
      </c>
      <c r="E3715" s="26">
        <v>0</v>
      </c>
      <c r="F3715" s="29" t="s">
        <v>232</v>
      </c>
    </row>
    <row r="3716" spans="1:6" ht="43.5" x14ac:dyDescent="0.35">
      <c r="A3716" s="26" t="s">
        <v>216</v>
      </c>
      <c r="B3716" s="26" t="s">
        <v>7648</v>
      </c>
      <c r="C3716" s="26" t="s">
        <v>15</v>
      </c>
      <c r="D3716" s="28" t="s">
        <v>218</v>
      </c>
      <c r="E3716" s="26" t="s">
        <v>7649</v>
      </c>
      <c r="F3716" s="29" t="s">
        <v>220</v>
      </c>
    </row>
    <row r="3717" spans="1:6" ht="29" x14ac:dyDescent="0.35">
      <c r="A3717" s="26" t="s">
        <v>216</v>
      </c>
      <c r="B3717" s="26" t="s">
        <v>7650</v>
      </c>
      <c r="C3717" s="26" t="s">
        <v>17</v>
      </c>
      <c r="D3717" s="28" t="s">
        <v>7651</v>
      </c>
      <c r="E3717" s="26">
        <v>13436</v>
      </c>
      <c r="F3717" s="29" t="s">
        <v>247</v>
      </c>
    </row>
    <row r="3718" spans="1:6" ht="29" x14ac:dyDescent="0.35">
      <c r="A3718" s="26" t="s">
        <v>216</v>
      </c>
      <c r="B3718" s="26" t="s">
        <v>7652</v>
      </c>
      <c r="C3718" s="26" t="s">
        <v>20</v>
      </c>
      <c r="D3718" s="28" t="s">
        <v>7653</v>
      </c>
      <c r="E3718" s="26">
        <v>13436</v>
      </c>
      <c r="F3718" s="29" t="s">
        <v>223</v>
      </c>
    </row>
    <row r="3719" spans="1:6" ht="58" x14ac:dyDescent="0.35">
      <c r="A3719" s="26" t="s">
        <v>216</v>
      </c>
      <c r="B3719" s="26" t="s">
        <v>7654</v>
      </c>
      <c r="C3719" s="26" t="s">
        <v>25</v>
      </c>
      <c r="D3719" s="28" t="s">
        <v>7655</v>
      </c>
      <c r="E3719" s="26">
        <v>0</v>
      </c>
      <c r="F3719" s="29" t="s">
        <v>226</v>
      </c>
    </row>
    <row r="3720" spans="1:6" ht="43.5" x14ac:dyDescent="0.35">
      <c r="A3720" s="26" t="s">
        <v>216</v>
      </c>
      <c r="B3720" s="26" t="s">
        <v>7656</v>
      </c>
      <c r="C3720" s="26" t="s">
        <v>27</v>
      </c>
      <c r="D3720" s="28" t="s">
        <v>7657</v>
      </c>
      <c r="E3720" s="26">
        <v>0</v>
      </c>
      <c r="F3720" s="29" t="s">
        <v>229</v>
      </c>
    </row>
    <row r="3721" spans="1:6" ht="29" x14ac:dyDescent="0.35">
      <c r="A3721" s="26" t="s">
        <v>216</v>
      </c>
      <c r="B3721" s="26" t="s">
        <v>7658</v>
      </c>
      <c r="C3721" s="26" t="s">
        <v>24</v>
      </c>
      <c r="D3721" s="28" t="s">
        <v>7659</v>
      </c>
      <c r="E3721" s="26">
        <v>0</v>
      </c>
      <c r="F3721" s="29" t="s">
        <v>232</v>
      </c>
    </row>
    <row r="3722" spans="1:6" ht="43.5" x14ac:dyDescent="0.35">
      <c r="A3722" s="26" t="s">
        <v>216</v>
      </c>
      <c r="B3722" s="26" t="s">
        <v>7660</v>
      </c>
      <c r="C3722" s="26" t="s">
        <v>15</v>
      </c>
      <c r="D3722" s="28" t="s">
        <v>218</v>
      </c>
      <c r="E3722" s="26" t="s">
        <v>7661</v>
      </c>
      <c r="F3722" s="29" t="s">
        <v>220</v>
      </c>
    </row>
    <row r="3723" spans="1:6" ht="29" x14ac:dyDescent="0.35">
      <c r="A3723" s="26" t="s">
        <v>216</v>
      </c>
      <c r="B3723" s="26" t="s">
        <v>7662</v>
      </c>
      <c r="C3723" s="26" t="s">
        <v>17</v>
      </c>
      <c r="D3723" s="28" t="s">
        <v>7663</v>
      </c>
      <c r="E3723" s="26">
        <v>13436</v>
      </c>
      <c r="F3723" s="29" t="s">
        <v>247</v>
      </c>
    </row>
    <row r="3724" spans="1:6" ht="29" x14ac:dyDescent="0.35">
      <c r="A3724" s="26" t="s">
        <v>216</v>
      </c>
      <c r="B3724" s="26" t="s">
        <v>7664</v>
      </c>
      <c r="C3724" s="26" t="s">
        <v>20</v>
      </c>
      <c r="D3724" s="28" t="s">
        <v>7665</v>
      </c>
      <c r="E3724" s="26">
        <v>13436</v>
      </c>
      <c r="F3724" s="29" t="s">
        <v>223</v>
      </c>
    </row>
    <row r="3725" spans="1:6" ht="58" x14ac:dyDescent="0.35">
      <c r="A3725" s="26" t="s">
        <v>216</v>
      </c>
      <c r="B3725" s="26" t="s">
        <v>7666</v>
      </c>
      <c r="C3725" s="26" t="s">
        <v>25</v>
      </c>
      <c r="D3725" s="28" t="s">
        <v>7667</v>
      </c>
      <c r="E3725" s="26">
        <v>0</v>
      </c>
      <c r="F3725" s="29" t="s">
        <v>226</v>
      </c>
    </row>
    <row r="3726" spans="1:6" ht="43.5" x14ac:dyDescent="0.35">
      <c r="A3726" s="26" t="s">
        <v>216</v>
      </c>
      <c r="B3726" s="26" t="s">
        <v>7668</v>
      </c>
      <c r="C3726" s="26" t="s">
        <v>27</v>
      </c>
      <c r="D3726" s="28" t="s">
        <v>7669</v>
      </c>
      <c r="E3726" s="26">
        <v>0</v>
      </c>
      <c r="F3726" s="29" t="s">
        <v>229</v>
      </c>
    </row>
    <row r="3727" spans="1:6" ht="29" x14ac:dyDescent="0.35">
      <c r="A3727" s="26" t="s">
        <v>216</v>
      </c>
      <c r="B3727" s="26" t="s">
        <v>7670</v>
      </c>
      <c r="C3727" s="26" t="s">
        <v>24</v>
      </c>
      <c r="D3727" s="28" t="s">
        <v>7671</v>
      </c>
      <c r="E3727" s="26">
        <v>0</v>
      </c>
      <c r="F3727" s="29" t="s">
        <v>232</v>
      </c>
    </row>
    <row r="3728" spans="1:6" ht="43.5" x14ac:dyDescent="0.35">
      <c r="A3728" s="26" t="s">
        <v>216</v>
      </c>
      <c r="B3728" s="26" t="s">
        <v>7672</v>
      </c>
      <c r="C3728" s="26" t="s">
        <v>15</v>
      </c>
      <c r="D3728" s="28" t="s">
        <v>218</v>
      </c>
      <c r="E3728" s="26" t="s">
        <v>7673</v>
      </c>
      <c r="F3728" s="29" t="s">
        <v>220</v>
      </c>
    </row>
    <row r="3729" spans="1:6" ht="29" x14ac:dyDescent="0.35">
      <c r="A3729" s="26" t="s">
        <v>216</v>
      </c>
      <c r="B3729" s="26" t="s">
        <v>7674</v>
      </c>
      <c r="C3729" s="26" t="s">
        <v>17</v>
      </c>
      <c r="D3729" s="28" t="s">
        <v>7675</v>
      </c>
      <c r="E3729" s="26">
        <v>13436</v>
      </c>
      <c r="F3729" s="29" t="s">
        <v>247</v>
      </c>
    </row>
    <row r="3730" spans="1:6" ht="29" x14ac:dyDescent="0.35">
      <c r="A3730" s="26" t="s">
        <v>216</v>
      </c>
      <c r="B3730" s="26" t="s">
        <v>7676</v>
      </c>
      <c r="C3730" s="26" t="s">
        <v>20</v>
      </c>
      <c r="D3730" s="28" t="s">
        <v>7677</v>
      </c>
      <c r="E3730" s="26">
        <v>13436</v>
      </c>
      <c r="F3730" s="29" t="s">
        <v>223</v>
      </c>
    </row>
    <row r="3731" spans="1:6" ht="58" x14ac:dyDescent="0.35">
      <c r="A3731" s="26" t="s">
        <v>216</v>
      </c>
      <c r="B3731" s="26" t="s">
        <v>7678</v>
      </c>
      <c r="C3731" s="26" t="s">
        <v>25</v>
      </c>
      <c r="D3731" s="28" t="s">
        <v>7679</v>
      </c>
      <c r="E3731" s="26">
        <v>0</v>
      </c>
      <c r="F3731" s="29" t="s">
        <v>226</v>
      </c>
    </row>
    <row r="3732" spans="1:6" ht="43.5" x14ac:dyDescent="0.35">
      <c r="A3732" s="26" t="s">
        <v>216</v>
      </c>
      <c r="B3732" s="26" t="s">
        <v>7680</v>
      </c>
      <c r="C3732" s="26" t="s">
        <v>27</v>
      </c>
      <c r="D3732" s="28" t="s">
        <v>7681</v>
      </c>
      <c r="E3732" s="26">
        <v>0</v>
      </c>
      <c r="F3732" s="29" t="s">
        <v>229</v>
      </c>
    </row>
    <row r="3733" spans="1:6" ht="29" x14ac:dyDescent="0.35">
      <c r="A3733" s="26" t="s">
        <v>216</v>
      </c>
      <c r="B3733" s="26" t="s">
        <v>7682</v>
      </c>
      <c r="C3733" s="26" t="s">
        <v>24</v>
      </c>
      <c r="D3733" s="28" t="s">
        <v>7683</v>
      </c>
      <c r="E3733" s="26">
        <v>0</v>
      </c>
      <c r="F3733" s="29" t="s">
        <v>232</v>
      </c>
    </row>
    <row r="3734" spans="1:6" ht="43.5" x14ac:dyDescent="0.35">
      <c r="A3734" s="26" t="s">
        <v>216</v>
      </c>
      <c r="B3734" s="26" t="s">
        <v>7684</v>
      </c>
      <c r="C3734" s="26" t="s">
        <v>15</v>
      </c>
      <c r="D3734" s="28" t="s">
        <v>218</v>
      </c>
      <c r="E3734" s="26" t="s">
        <v>7685</v>
      </c>
      <c r="F3734" s="29" t="s">
        <v>220</v>
      </c>
    </row>
    <row r="3735" spans="1:6" ht="29" x14ac:dyDescent="0.35">
      <c r="A3735" s="26" t="s">
        <v>216</v>
      </c>
      <c r="B3735" s="26" t="s">
        <v>7686</v>
      </c>
      <c r="C3735" s="26" t="s">
        <v>17</v>
      </c>
      <c r="D3735" s="28" t="s">
        <v>7687</v>
      </c>
      <c r="E3735" s="26">
        <v>13436</v>
      </c>
      <c r="F3735" s="29" t="s">
        <v>247</v>
      </c>
    </row>
    <row r="3736" spans="1:6" ht="29" x14ac:dyDescent="0.35">
      <c r="A3736" s="26" t="s">
        <v>216</v>
      </c>
      <c r="B3736" s="26" t="s">
        <v>7688</v>
      </c>
      <c r="C3736" s="26" t="s">
        <v>20</v>
      </c>
      <c r="D3736" s="28" t="s">
        <v>7689</v>
      </c>
      <c r="E3736" s="26">
        <v>13436</v>
      </c>
      <c r="F3736" s="29" t="s">
        <v>223</v>
      </c>
    </row>
    <row r="3737" spans="1:6" ht="58" x14ac:dyDescent="0.35">
      <c r="A3737" s="26" t="s">
        <v>216</v>
      </c>
      <c r="B3737" s="26" t="s">
        <v>7690</v>
      </c>
      <c r="C3737" s="26" t="s">
        <v>25</v>
      </c>
      <c r="D3737" s="28" t="s">
        <v>7691</v>
      </c>
      <c r="E3737" s="26">
        <v>0</v>
      </c>
      <c r="F3737" s="29" t="s">
        <v>226</v>
      </c>
    </row>
    <row r="3738" spans="1:6" ht="43.5" x14ac:dyDescent="0.35">
      <c r="A3738" s="26" t="s">
        <v>216</v>
      </c>
      <c r="B3738" s="26" t="s">
        <v>7692</v>
      </c>
      <c r="C3738" s="26" t="s">
        <v>27</v>
      </c>
      <c r="D3738" s="28" t="s">
        <v>7693</v>
      </c>
      <c r="E3738" s="26">
        <v>0</v>
      </c>
      <c r="F3738" s="29" t="s">
        <v>229</v>
      </c>
    </row>
    <row r="3739" spans="1:6" ht="29" x14ac:dyDescent="0.35">
      <c r="A3739" s="26" t="s">
        <v>216</v>
      </c>
      <c r="B3739" s="26" t="s">
        <v>7694</v>
      </c>
      <c r="C3739" s="26" t="s">
        <v>24</v>
      </c>
      <c r="D3739" s="28" t="s">
        <v>7695</v>
      </c>
      <c r="E3739" s="26">
        <v>0</v>
      </c>
      <c r="F3739" s="29" t="s">
        <v>232</v>
      </c>
    </row>
    <row r="3740" spans="1:6" ht="43.5" x14ac:dyDescent="0.35">
      <c r="A3740" s="26" t="s">
        <v>216</v>
      </c>
      <c r="B3740" s="26" t="s">
        <v>7696</v>
      </c>
      <c r="C3740" s="26" t="s">
        <v>15</v>
      </c>
      <c r="D3740" s="28" t="s">
        <v>218</v>
      </c>
      <c r="E3740" s="26" t="s">
        <v>7697</v>
      </c>
      <c r="F3740" s="29" t="s">
        <v>220</v>
      </c>
    </row>
    <row r="3741" spans="1:6" ht="29" x14ac:dyDescent="0.35">
      <c r="A3741" s="26" t="s">
        <v>216</v>
      </c>
      <c r="B3741" s="26" t="s">
        <v>7698</v>
      </c>
      <c r="C3741" s="26" t="s">
        <v>17</v>
      </c>
      <c r="D3741" s="28" t="s">
        <v>7699</v>
      </c>
      <c r="E3741" s="26">
        <v>13436</v>
      </c>
      <c r="F3741" s="29" t="s">
        <v>247</v>
      </c>
    </row>
    <row r="3742" spans="1:6" ht="29" x14ac:dyDescent="0.35">
      <c r="A3742" s="26" t="s">
        <v>216</v>
      </c>
      <c r="B3742" s="26" t="s">
        <v>7700</v>
      </c>
      <c r="C3742" s="26" t="s">
        <v>20</v>
      </c>
      <c r="D3742" s="28" t="s">
        <v>7701</v>
      </c>
      <c r="E3742" s="26">
        <v>13436</v>
      </c>
      <c r="F3742" s="29" t="s">
        <v>223</v>
      </c>
    </row>
    <row r="3743" spans="1:6" ht="58" x14ac:dyDescent="0.35">
      <c r="A3743" s="26" t="s">
        <v>216</v>
      </c>
      <c r="B3743" s="26" t="s">
        <v>7702</v>
      </c>
      <c r="C3743" s="26" t="s">
        <v>25</v>
      </c>
      <c r="D3743" s="28" t="s">
        <v>7703</v>
      </c>
      <c r="E3743" s="26">
        <v>0</v>
      </c>
      <c r="F3743" s="29" t="s">
        <v>226</v>
      </c>
    </row>
    <row r="3744" spans="1:6" ht="43.5" x14ac:dyDescent="0.35">
      <c r="A3744" s="26" t="s">
        <v>216</v>
      </c>
      <c r="B3744" s="26" t="s">
        <v>7704</v>
      </c>
      <c r="C3744" s="26" t="s">
        <v>27</v>
      </c>
      <c r="D3744" s="28" t="s">
        <v>7705</v>
      </c>
      <c r="E3744" s="26">
        <v>0</v>
      </c>
      <c r="F3744" s="29" t="s">
        <v>229</v>
      </c>
    </row>
    <row r="3745" spans="1:6" ht="29" x14ac:dyDescent="0.35">
      <c r="A3745" s="26" t="s">
        <v>216</v>
      </c>
      <c r="B3745" s="26" t="s">
        <v>7706</v>
      </c>
      <c r="C3745" s="26" t="s">
        <v>24</v>
      </c>
      <c r="D3745" s="28" t="s">
        <v>7707</v>
      </c>
      <c r="E3745" s="26">
        <v>0</v>
      </c>
      <c r="F3745" s="29" t="s">
        <v>232</v>
      </c>
    </row>
    <row r="3746" spans="1:6" ht="43.5" x14ac:dyDescent="0.35">
      <c r="A3746" s="26" t="s">
        <v>216</v>
      </c>
      <c r="B3746" s="26" t="s">
        <v>7708</v>
      </c>
      <c r="C3746" s="26" t="s">
        <v>15</v>
      </c>
      <c r="D3746" s="28" t="s">
        <v>218</v>
      </c>
      <c r="E3746" s="26" t="s">
        <v>7709</v>
      </c>
      <c r="F3746" s="29" t="s">
        <v>220</v>
      </c>
    </row>
    <row r="3747" spans="1:6" ht="29" x14ac:dyDescent="0.35">
      <c r="A3747" s="26" t="s">
        <v>216</v>
      </c>
      <c r="B3747" s="26" t="s">
        <v>7710</v>
      </c>
      <c r="C3747" s="26" t="s">
        <v>17</v>
      </c>
      <c r="D3747" s="28" t="s">
        <v>7711</v>
      </c>
      <c r="E3747" s="26">
        <v>13436</v>
      </c>
      <c r="F3747" s="29" t="s">
        <v>247</v>
      </c>
    </row>
    <row r="3748" spans="1:6" ht="29" x14ac:dyDescent="0.35">
      <c r="A3748" s="26" t="s">
        <v>216</v>
      </c>
      <c r="B3748" s="26" t="s">
        <v>7712</v>
      </c>
      <c r="C3748" s="26" t="s">
        <v>20</v>
      </c>
      <c r="D3748" s="28" t="s">
        <v>7713</v>
      </c>
      <c r="E3748" s="26">
        <v>13436</v>
      </c>
      <c r="F3748" s="29" t="s">
        <v>223</v>
      </c>
    </row>
    <row r="3749" spans="1:6" ht="58" x14ac:dyDescent="0.35">
      <c r="A3749" s="26" t="s">
        <v>216</v>
      </c>
      <c r="B3749" s="26" t="s">
        <v>7714</v>
      </c>
      <c r="C3749" s="26" t="s">
        <v>25</v>
      </c>
      <c r="D3749" s="28" t="s">
        <v>7715</v>
      </c>
      <c r="E3749" s="26">
        <v>0</v>
      </c>
      <c r="F3749" s="29" t="s">
        <v>226</v>
      </c>
    </row>
    <row r="3750" spans="1:6" ht="43.5" x14ac:dyDescent="0.35">
      <c r="A3750" s="26" t="s">
        <v>216</v>
      </c>
      <c r="B3750" s="26" t="s">
        <v>7716</v>
      </c>
      <c r="C3750" s="26" t="s">
        <v>27</v>
      </c>
      <c r="D3750" s="28" t="s">
        <v>7717</v>
      </c>
      <c r="E3750" s="26">
        <v>0</v>
      </c>
      <c r="F3750" s="29" t="s">
        <v>229</v>
      </c>
    </row>
    <row r="3751" spans="1:6" ht="29" x14ac:dyDescent="0.35">
      <c r="A3751" s="26" t="s">
        <v>216</v>
      </c>
      <c r="B3751" s="26" t="s">
        <v>7718</v>
      </c>
      <c r="C3751" s="26" t="s">
        <v>24</v>
      </c>
      <c r="D3751" s="28" t="s">
        <v>7719</v>
      </c>
      <c r="E3751" s="26">
        <v>0</v>
      </c>
      <c r="F3751" s="29" t="s">
        <v>232</v>
      </c>
    </row>
    <row r="3752" spans="1:6" ht="43.5" x14ac:dyDescent="0.35">
      <c r="A3752" s="26" t="s">
        <v>216</v>
      </c>
      <c r="B3752" s="26" t="s">
        <v>7720</v>
      </c>
      <c r="C3752" s="26" t="s">
        <v>15</v>
      </c>
      <c r="D3752" s="28" t="s">
        <v>218</v>
      </c>
      <c r="E3752" s="26" t="s">
        <v>7721</v>
      </c>
      <c r="F3752" s="29" t="s">
        <v>220</v>
      </c>
    </row>
    <row r="3753" spans="1:6" ht="29" x14ac:dyDescent="0.35">
      <c r="A3753" s="26" t="s">
        <v>216</v>
      </c>
      <c r="B3753" s="26" t="s">
        <v>7722</v>
      </c>
      <c r="C3753" s="26" t="s">
        <v>17</v>
      </c>
      <c r="D3753" s="28" t="s">
        <v>7723</v>
      </c>
      <c r="E3753" s="26">
        <v>13436</v>
      </c>
      <c r="F3753" s="29" t="s">
        <v>247</v>
      </c>
    </row>
    <row r="3754" spans="1:6" ht="29" x14ac:dyDescent="0.35">
      <c r="A3754" s="26" t="s">
        <v>216</v>
      </c>
      <c r="B3754" s="26" t="s">
        <v>7724</v>
      </c>
      <c r="C3754" s="26" t="s">
        <v>20</v>
      </c>
      <c r="D3754" s="28" t="s">
        <v>7725</v>
      </c>
      <c r="E3754" s="26">
        <v>13436</v>
      </c>
      <c r="F3754" s="29" t="s">
        <v>223</v>
      </c>
    </row>
    <row r="3755" spans="1:6" ht="58" x14ac:dyDescent="0.35">
      <c r="A3755" s="26" t="s">
        <v>216</v>
      </c>
      <c r="B3755" s="26" t="s">
        <v>7726</v>
      </c>
      <c r="C3755" s="26" t="s">
        <v>25</v>
      </c>
      <c r="D3755" s="28" t="s">
        <v>7727</v>
      </c>
      <c r="E3755" s="26">
        <v>0</v>
      </c>
      <c r="F3755" s="29" t="s">
        <v>226</v>
      </c>
    </row>
    <row r="3756" spans="1:6" ht="43.5" x14ac:dyDescent="0.35">
      <c r="A3756" s="26" t="s">
        <v>216</v>
      </c>
      <c r="B3756" s="26" t="s">
        <v>7728</v>
      </c>
      <c r="C3756" s="26" t="s">
        <v>27</v>
      </c>
      <c r="D3756" s="28" t="s">
        <v>7729</v>
      </c>
      <c r="E3756" s="26">
        <v>0</v>
      </c>
      <c r="F3756" s="29" t="s">
        <v>229</v>
      </c>
    </row>
    <row r="3757" spans="1:6" ht="29" x14ac:dyDescent="0.35">
      <c r="A3757" s="26" t="s">
        <v>216</v>
      </c>
      <c r="B3757" s="26" t="s">
        <v>7730</v>
      </c>
      <c r="C3757" s="26" t="s">
        <v>24</v>
      </c>
      <c r="D3757" s="28" t="s">
        <v>7731</v>
      </c>
      <c r="E3757" s="26">
        <v>0</v>
      </c>
      <c r="F3757" s="29" t="s">
        <v>232</v>
      </c>
    </row>
    <row r="3758" spans="1:6" ht="43.5" x14ac:dyDescent="0.35">
      <c r="A3758" s="26" t="s">
        <v>216</v>
      </c>
      <c r="B3758" s="26" t="s">
        <v>7732</v>
      </c>
      <c r="C3758" s="26" t="s">
        <v>15</v>
      </c>
      <c r="D3758" s="28" t="s">
        <v>218</v>
      </c>
      <c r="E3758" s="26" t="s">
        <v>7733</v>
      </c>
      <c r="F3758" s="29" t="s">
        <v>220</v>
      </c>
    </row>
    <row r="3759" spans="1:6" ht="29" x14ac:dyDescent="0.35">
      <c r="A3759" s="26" t="s">
        <v>216</v>
      </c>
      <c r="B3759" s="26" t="s">
        <v>7734</v>
      </c>
      <c r="C3759" s="26" t="s">
        <v>17</v>
      </c>
      <c r="D3759" s="28" t="s">
        <v>7735</v>
      </c>
      <c r="E3759" s="26">
        <v>13436</v>
      </c>
      <c r="F3759" s="29" t="s">
        <v>247</v>
      </c>
    </row>
    <row r="3760" spans="1:6" ht="29" x14ac:dyDescent="0.35">
      <c r="A3760" s="26" t="s">
        <v>216</v>
      </c>
      <c r="B3760" s="26" t="s">
        <v>7736</v>
      </c>
      <c r="C3760" s="26" t="s">
        <v>20</v>
      </c>
      <c r="D3760" s="28" t="s">
        <v>7737</v>
      </c>
      <c r="E3760" s="26">
        <v>13436</v>
      </c>
      <c r="F3760" s="29" t="s">
        <v>223</v>
      </c>
    </row>
    <row r="3761" spans="1:6" ht="58" x14ac:dyDescent="0.35">
      <c r="A3761" s="26" t="s">
        <v>216</v>
      </c>
      <c r="B3761" s="26" t="s">
        <v>7738</v>
      </c>
      <c r="C3761" s="26" t="s">
        <v>25</v>
      </c>
      <c r="D3761" s="28" t="s">
        <v>7739</v>
      </c>
      <c r="E3761" s="26">
        <v>0</v>
      </c>
      <c r="F3761" s="29" t="s">
        <v>226</v>
      </c>
    </row>
    <row r="3762" spans="1:6" ht="43.5" x14ac:dyDescent="0.35">
      <c r="A3762" s="26" t="s">
        <v>216</v>
      </c>
      <c r="B3762" s="26" t="s">
        <v>7740</v>
      </c>
      <c r="C3762" s="26" t="s">
        <v>27</v>
      </c>
      <c r="D3762" s="28" t="s">
        <v>7741</v>
      </c>
      <c r="E3762" s="26">
        <v>0</v>
      </c>
      <c r="F3762" s="29" t="s">
        <v>229</v>
      </c>
    </row>
    <row r="3763" spans="1:6" ht="29" x14ac:dyDescent="0.35">
      <c r="A3763" s="26" t="s">
        <v>216</v>
      </c>
      <c r="B3763" s="26" t="s">
        <v>7742</v>
      </c>
      <c r="C3763" s="26" t="s">
        <v>24</v>
      </c>
      <c r="D3763" s="28" t="s">
        <v>7743</v>
      </c>
      <c r="E3763" s="26">
        <v>0</v>
      </c>
      <c r="F3763" s="29" t="s">
        <v>232</v>
      </c>
    </row>
    <row r="3764" spans="1:6" ht="43.5" x14ac:dyDescent="0.35">
      <c r="A3764" s="26" t="s">
        <v>216</v>
      </c>
      <c r="B3764" s="26" t="s">
        <v>7744</v>
      </c>
      <c r="C3764" s="26" t="s">
        <v>15</v>
      </c>
      <c r="D3764" s="28" t="s">
        <v>218</v>
      </c>
      <c r="E3764" s="26" t="s">
        <v>7745</v>
      </c>
      <c r="F3764" s="29" t="s">
        <v>220</v>
      </c>
    </row>
    <row r="3765" spans="1:6" ht="29" x14ac:dyDescent="0.35">
      <c r="A3765" s="26" t="s">
        <v>216</v>
      </c>
      <c r="B3765" s="26" t="s">
        <v>7746</v>
      </c>
      <c r="C3765" s="26" t="s">
        <v>17</v>
      </c>
      <c r="D3765" s="28" t="s">
        <v>7747</v>
      </c>
      <c r="E3765" s="26">
        <v>13436</v>
      </c>
      <c r="F3765" s="29" t="s">
        <v>247</v>
      </c>
    </row>
    <row r="3766" spans="1:6" ht="29" x14ac:dyDescent="0.35">
      <c r="A3766" s="26" t="s">
        <v>216</v>
      </c>
      <c r="B3766" s="26" t="s">
        <v>7748</v>
      </c>
      <c r="C3766" s="26" t="s">
        <v>20</v>
      </c>
      <c r="D3766" s="28" t="s">
        <v>7749</v>
      </c>
      <c r="E3766" s="26">
        <v>13436</v>
      </c>
      <c r="F3766" s="29" t="s">
        <v>223</v>
      </c>
    </row>
    <row r="3767" spans="1:6" ht="58" x14ac:dyDescent="0.35">
      <c r="A3767" s="26" t="s">
        <v>216</v>
      </c>
      <c r="B3767" s="26" t="s">
        <v>7750</v>
      </c>
      <c r="C3767" s="26" t="s">
        <v>25</v>
      </c>
      <c r="D3767" s="28" t="s">
        <v>7751</v>
      </c>
      <c r="E3767" s="26">
        <v>0</v>
      </c>
      <c r="F3767" s="29" t="s">
        <v>226</v>
      </c>
    </row>
    <row r="3768" spans="1:6" ht="43.5" x14ac:dyDescent="0.35">
      <c r="A3768" s="26" t="s">
        <v>216</v>
      </c>
      <c r="B3768" s="26" t="s">
        <v>7752</v>
      </c>
      <c r="C3768" s="26" t="s">
        <v>27</v>
      </c>
      <c r="D3768" s="28" t="s">
        <v>7753</v>
      </c>
      <c r="E3768" s="26">
        <v>0</v>
      </c>
      <c r="F3768" s="29" t="s">
        <v>229</v>
      </c>
    </row>
    <row r="3769" spans="1:6" ht="29" x14ac:dyDescent="0.35">
      <c r="A3769" s="26" t="s">
        <v>216</v>
      </c>
      <c r="B3769" s="26" t="s">
        <v>7754</v>
      </c>
      <c r="C3769" s="26" t="s">
        <v>24</v>
      </c>
      <c r="D3769" s="28" t="s">
        <v>7755</v>
      </c>
      <c r="E3769" s="26">
        <v>0</v>
      </c>
      <c r="F3769" s="29" t="s">
        <v>232</v>
      </c>
    </row>
    <row r="3770" spans="1:6" ht="43.5" x14ac:dyDescent="0.35">
      <c r="A3770" s="26" t="s">
        <v>216</v>
      </c>
      <c r="B3770" s="26" t="s">
        <v>7756</v>
      </c>
      <c r="C3770" s="26" t="s">
        <v>15</v>
      </c>
      <c r="D3770" s="28" t="s">
        <v>218</v>
      </c>
      <c r="E3770" s="26" t="s">
        <v>7757</v>
      </c>
      <c r="F3770" s="29" t="s">
        <v>220</v>
      </c>
    </row>
    <row r="3771" spans="1:6" ht="29" x14ac:dyDescent="0.35">
      <c r="A3771" s="26" t="s">
        <v>216</v>
      </c>
      <c r="B3771" s="26" t="s">
        <v>7758</v>
      </c>
      <c r="C3771" s="26" t="s">
        <v>17</v>
      </c>
      <c r="D3771" s="28" t="s">
        <v>7759</v>
      </c>
      <c r="E3771" s="26">
        <v>13436</v>
      </c>
      <c r="F3771" s="29" t="s">
        <v>247</v>
      </c>
    </row>
    <row r="3772" spans="1:6" ht="29" x14ac:dyDescent="0.35">
      <c r="A3772" s="26" t="s">
        <v>216</v>
      </c>
      <c r="B3772" s="26" t="s">
        <v>7760</v>
      </c>
      <c r="C3772" s="26" t="s">
        <v>20</v>
      </c>
      <c r="D3772" s="28" t="s">
        <v>7761</v>
      </c>
      <c r="E3772" s="26">
        <v>13436</v>
      </c>
      <c r="F3772" s="29" t="s">
        <v>223</v>
      </c>
    </row>
    <row r="3773" spans="1:6" ht="58" x14ac:dyDescent="0.35">
      <c r="A3773" s="26" t="s">
        <v>216</v>
      </c>
      <c r="B3773" s="26" t="s">
        <v>7762</v>
      </c>
      <c r="C3773" s="26" t="s">
        <v>25</v>
      </c>
      <c r="D3773" s="28" t="s">
        <v>7763</v>
      </c>
      <c r="E3773" s="26">
        <v>0</v>
      </c>
      <c r="F3773" s="29" t="s">
        <v>226</v>
      </c>
    </row>
    <row r="3774" spans="1:6" ht="43.5" x14ac:dyDescent="0.35">
      <c r="A3774" s="26" t="s">
        <v>216</v>
      </c>
      <c r="B3774" s="26" t="s">
        <v>7764</v>
      </c>
      <c r="C3774" s="26" t="s">
        <v>27</v>
      </c>
      <c r="D3774" s="28" t="s">
        <v>7765</v>
      </c>
      <c r="E3774" s="26">
        <v>0</v>
      </c>
      <c r="F3774" s="29" t="s">
        <v>229</v>
      </c>
    </row>
    <row r="3775" spans="1:6" ht="29" x14ac:dyDescent="0.35">
      <c r="A3775" s="26" t="s">
        <v>216</v>
      </c>
      <c r="B3775" s="26" t="s">
        <v>7766</v>
      </c>
      <c r="C3775" s="26" t="s">
        <v>24</v>
      </c>
      <c r="D3775" s="28" t="s">
        <v>7767</v>
      </c>
      <c r="E3775" s="26">
        <v>0</v>
      </c>
      <c r="F3775" s="29" t="s">
        <v>232</v>
      </c>
    </row>
    <row r="3776" spans="1:6" ht="43.5" x14ac:dyDescent="0.35">
      <c r="A3776" s="26" t="s">
        <v>216</v>
      </c>
      <c r="B3776" s="26" t="s">
        <v>7768</v>
      </c>
      <c r="C3776" s="26" t="s">
        <v>15</v>
      </c>
      <c r="D3776" s="28" t="s">
        <v>218</v>
      </c>
      <c r="E3776" s="26" t="s">
        <v>7769</v>
      </c>
      <c r="F3776" s="29" t="s">
        <v>220</v>
      </c>
    </row>
    <row r="3777" spans="1:6" ht="29" x14ac:dyDescent="0.35">
      <c r="A3777" s="26" t="s">
        <v>216</v>
      </c>
      <c r="B3777" s="26" t="s">
        <v>7770</v>
      </c>
      <c r="C3777" s="26" t="s">
        <v>17</v>
      </c>
      <c r="D3777" s="28" t="s">
        <v>7771</v>
      </c>
      <c r="E3777" s="26">
        <v>13436</v>
      </c>
      <c r="F3777" s="29" t="s">
        <v>247</v>
      </c>
    </row>
    <row r="3778" spans="1:6" ht="29" x14ac:dyDescent="0.35">
      <c r="A3778" s="26" t="s">
        <v>216</v>
      </c>
      <c r="B3778" s="26" t="s">
        <v>7772</v>
      </c>
      <c r="C3778" s="26" t="s">
        <v>20</v>
      </c>
      <c r="D3778" s="28" t="s">
        <v>7773</v>
      </c>
      <c r="E3778" s="26">
        <v>13436</v>
      </c>
      <c r="F3778" s="29" t="s">
        <v>223</v>
      </c>
    </row>
    <row r="3779" spans="1:6" ht="58" x14ac:dyDescent="0.35">
      <c r="A3779" s="26" t="s">
        <v>216</v>
      </c>
      <c r="B3779" s="26" t="s">
        <v>7774</v>
      </c>
      <c r="C3779" s="26" t="s">
        <v>25</v>
      </c>
      <c r="D3779" s="28" t="s">
        <v>7775</v>
      </c>
      <c r="E3779" s="26">
        <v>0</v>
      </c>
      <c r="F3779" s="29" t="s">
        <v>226</v>
      </c>
    </row>
    <row r="3780" spans="1:6" ht="43.5" x14ac:dyDescent="0.35">
      <c r="A3780" s="26" t="s">
        <v>216</v>
      </c>
      <c r="B3780" s="26" t="s">
        <v>7776</v>
      </c>
      <c r="C3780" s="26" t="s">
        <v>27</v>
      </c>
      <c r="D3780" s="28" t="s">
        <v>7777</v>
      </c>
      <c r="E3780" s="26">
        <v>0</v>
      </c>
      <c r="F3780" s="29" t="s">
        <v>229</v>
      </c>
    </row>
    <row r="3781" spans="1:6" ht="29" x14ac:dyDescent="0.35">
      <c r="A3781" s="26" t="s">
        <v>216</v>
      </c>
      <c r="B3781" s="26" t="s">
        <v>7778</v>
      </c>
      <c r="C3781" s="26" t="s">
        <v>24</v>
      </c>
      <c r="D3781" s="28" t="s">
        <v>7779</v>
      </c>
      <c r="E3781" s="26">
        <v>0</v>
      </c>
      <c r="F3781" s="29" t="s">
        <v>232</v>
      </c>
    </row>
    <row r="3782" spans="1:6" ht="43.5" x14ac:dyDescent="0.35">
      <c r="A3782" s="26" t="s">
        <v>216</v>
      </c>
      <c r="B3782" s="26" t="s">
        <v>7780</v>
      </c>
      <c r="C3782" s="26" t="s">
        <v>15</v>
      </c>
      <c r="D3782" s="28" t="s">
        <v>218</v>
      </c>
      <c r="E3782" s="26" t="s">
        <v>7781</v>
      </c>
      <c r="F3782" s="29" t="s">
        <v>220</v>
      </c>
    </row>
    <row r="3783" spans="1:6" ht="29" x14ac:dyDescent="0.35">
      <c r="A3783" s="26" t="s">
        <v>216</v>
      </c>
      <c r="B3783" s="26" t="s">
        <v>7782</v>
      </c>
      <c r="C3783" s="26" t="s">
        <v>17</v>
      </c>
      <c r="D3783" s="28" t="s">
        <v>7783</v>
      </c>
      <c r="E3783" s="26">
        <v>13436</v>
      </c>
      <c r="F3783" s="29" t="s">
        <v>247</v>
      </c>
    </row>
    <row r="3784" spans="1:6" ht="29" x14ac:dyDescent="0.35">
      <c r="A3784" s="26" t="s">
        <v>216</v>
      </c>
      <c r="B3784" s="26" t="s">
        <v>7784</v>
      </c>
      <c r="C3784" s="26" t="s">
        <v>20</v>
      </c>
      <c r="D3784" s="28" t="s">
        <v>7785</v>
      </c>
      <c r="E3784" s="26">
        <v>13436</v>
      </c>
      <c r="F3784" s="29" t="s">
        <v>223</v>
      </c>
    </row>
    <row r="3785" spans="1:6" ht="58" x14ac:dyDescent="0.35">
      <c r="A3785" s="26" t="s">
        <v>216</v>
      </c>
      <c r="B3785" s="26" t="s">
        <v>7786</v>
      </c>
      <c r="C3785" s="26" t="s">
        <v>25</v>
      </c>
      <c r="D3785" s="28" t="s">
        <v>7787</v>
      </c>
      <c r="E3785" s="26">
        <v>0</v>
      </c>
      <c r="F3785" s="29" t="s">
        <v>226</v>
      </c>
    </row>
    <row r="3786" spans="1:6" ht="43.5" x14ac:dyDescent="0.35">
      <c r="A3786" s="26" t="s">
        <v>216</v>
      </c>
      <c r="B3786" s="26" t="s">
        <v>7788</v>
      </c>
      <c r="C3786" s="26" t="s">
        <v>27</v>
      </c>
      <c r="D3786" s="28" t="s">
        <v>7789</v>
      </c>
      <c r="E3786" s="26">
        <v>0</v>
      </c>
      <c r="F3786" s="29" t="s">
        <v>229</v>
      </c>
    </row>
    <row r="3787" spans="1:6" ht="29" x14ac:dyDescent="0.35">
      <c r="A3787" s="26" t="s">
        <v>216</v>
      </c>
      <c r="B3787" s="26" t="s">
        <v>7790</v>
      </c>
      <c r="C3787" s="26" t="s">
        <v>24</v>
      </c>
      <c r="D3787" s="28" t="s">
        <v>7791</v>
      </c>
      <c r="E3787" s="26">
        <v>0</v>
      </c>
      <c r="F3787" s="29" t="s">
        <v>232</v>
      </c>
    </row>
    <row r="3788" spans="1:6" ht="43.5" x14ac:dyDescent="0.35">
      <c r="A3788" s="26" t="s">
        <v>216</v>
      </c>
      <c r="B3788" s="26" t="s">
        <v>7792</v>
      </c>
      <c r="C3788" s="26" t="s">
        <v>15</v>
      </c>
      <c r="D3788" s="28" t="s">
        <v>218</v>
      </c>
      <c r="E3788" s="26" t="s">
        <v>7793</v>
      </c>
      <c r="F3788" s="29" t="s">
        <v>220</v>
      </c>
    </row>
    <row r="3789" spans="1:6" ht="29" x14ac:dyDescent="0.35">
      <c r="A3789" s="26" t="s">
        <v>216</v>
      </c>
      <c r="B3789" s="26" t="s">
        <v>7794</v>
      </c>
      <c r="C3789" s="26" t="s">
        <v>17</v>
      </c>
      <c r="D3789" s="28" t="s">
        <v>7795</v>
      </c>
      <c r="E3789" s="26">
        <v>13436</v>
      </c>
      <c r="F3789" s="29" t="s">
        <v>247</v>
      </c>
    </row>
    <row r="3790" spans="1:6" ht="29" x14ac:dyDescent="0.35">
      <c r="A3790" s="26" t="s">
        <v>216</v>
      </c>
      <c r="B3790" s="26" t="s">
        <v>7796</v>
      </c>
      <c r="C3790" s="26" t="s">
        <v>20</v>
      </c>
      <c r="D3790" s="28" t="s">
        <v>7797</v>
      </c>
      <c r="E3790" s="26">
        <v>13436</v>
      </c>
      <c r="F3790" s="29" t="s">
        <v>223</v>
      </c>
    </row>
    <row r="3791" spans="1:6" ht="58" x14ac:dyDescent="0.35">
      <c r="A3791" s="26" t="s">
        <v>216</v>
      </c>
      <c r="B3791" s="26" t="s">
        <v>7798</v>
      </c>
      <c r="C3791" s="26" t="s">
        <v>25</v>
      </c>
      <c r="D3791" s="28" t="s">
        <v>7799</v>
      </c>
      <c r="E3791" s="26">
        <v>0</v>
      </c>
      <c r="F3791" s="29" t="s">
        <v>226</v>
      </c>
    </row>
    <row r="3792" spans="1:6" ht="43.5" x14ac:dyDescent="0.35">
      <c r="A3792" s="26" t="s">
        <v>216</v>
      </c>
      <c r="B3792" s="26" t="s">
        <v>7800</v>
      </c>
      <c r="C3792" s="26" t="s">
        <v>27</v>
      </c>
      <c r="D3792" s="28" t="s">
        <v>7801</v>
      </c>
      <c r="E3792" s="26">
        <v>0</v>
      </c>
      <c r="F3792" s="29" t="s">
        <v>229</v>
      </c>
    </row>
    <row r="3793" spans="1:6" ht="29" x14ac:dyDescent="0.35">
      <c r="A3793" s="26" t="s">
        <v>216</v>
      </c>
      <c r="B3793" s="26" t="s">
        <v>7802</v>
      </c>
      <c r="C3793" s="26" t="s">
        <v>24</v>
      </c>
      <c r="D3793" s="28" t="s">
        <v>7803</v>
      </c>
      <c r="E3793" s="26">
        <v>0</v>
      </c>
      <c r="F3793" s="29" t="s">
        <v>232</v>
      </c>
    </row>
    <row r="3794" spans="1:6" ht="43.5" x14ac:dyDescent="0.35">
      <c r="A3794" s="26" t="s">
        <v>216</v>
      </c>
      <c r="B3794" s="26" t="s">
        <v>7804</v>
      </c>
      <c r="C3794" s="26" t="s">
        <v>15</v>
      </c>
      <c r="D3794" s="28" t="s">
        <v>218</v>
      </c>
      <c r="E3794" s="26" t="s">
        <v>7805</v>
      </c>
      <c r="F3794" s="29" t="s">
        <v>220</v>
      </c>
    </row>
    <row r="3795" spans="1:6" ht="29" x14ac:dyDescent="0.35">
      <c r="A3795" s="26" t="s">
        <v>216</v>
      </c>
      <c r="B3795" s="26" t="s">
        <v>7806</v>
      </c>
      <c r="C3795" s="26" t="s">
        <v>17</v>
      </c>
      <c r="D3795" s="28" t="s">
        <v>7807</v>
      </c>
      <c r="E3795" s="26">
        <v>13436</v>
      </c>
      <c r="F3795" s="29" t="s">
        <v>247</v>
      </c>
    </row>
    <row r="3796" spans="1:6" ht="29" x14ac:dyDescent="0.35">
      <c r="A3796" s="26" t="s">
        <v>216</v>
      </c>
      <c r="B3796" s="26" t="s">
        <v>7808</v>
      </c>
      <c r="C3796" s="26" t="s">
        <v>20</v>
      </c>
      <c r="D3796" s="28" t="s">
        <v>7809</v>
      </c>
      <c r="E3796" s="26">
        <v>13436</v>
      </c>
      <c r="F3796" s="29" t="s">
        <v>223</v>
      </c>
    </row>
    <row r="3797" spans="1:6" ht="58" x14ac:dyDescent="0.35">
      <c r="A3797" s="26" t="s">
        <v>216</v>
      </c>
      <c r="B3797" s="26" t="s">
        <v>7810</v>
      </c>
      <c r="C3797" s="26" t="s">
        <v>25</v>
      </c>
      <c r="D3797" s="28" t="s">
        <v>7811</v>
      </c>
      <c r="E3797" s="26">
        <v>0</v>
      </c>
      <c r="F3797" s="29" t="s">
        <v>226</v>
      </c>
    </row>
    <row r="3798" spans="1:6" ht="43.5" x14ac:dyDescent="0.35">
      <c r="A3798" s="26" t="s">
        <v>216</v>
      </c>
      <c r="B3798" s="26" t="s">
        <v>7812</v>
      </c>
      <c r="C3798" s="26" t="s">
        <v>27</v>
      </c>
      <c r="D3798" s="28" t="s">
        <v>7813</v>
      </c>
      <c r="E3798" s="26">
        <v>0</v>
      </c>
      <c r="F3798" s="29" t="s">
        <v>229</v>
      </c>
    </row>
    <row r="3799" spans="1:6" ht="29" x14ac:dyDescent="0.35">
      <c r="A3799" s="26" t="s">
        <v>216</v>
      </c>
      <c r="B3799" s="26" t="s">
        <v>7814</v>
      </c>
      <c r="C3799" s="26" t="s">
        <v>24</v>
      </c>
      <c r="D3799" s="28" t="s">
        <v>7815</v>
      </c>
      <c r="E3799" s="26">
        <v>0</v>
      </c>
      <c r="F3799" s="29" t="s">
        <v>232</v>
      </c>
    </row>
    <row r="3800" spans="1:6" ht="43.5" x14ac:dyDescent="0.35">
      <c r="A3800" s="26" t="s">
        <v>216</v>
      </c>
      <c r="B3800" s="26" t="s">
        <v>7816</v>
      </c>
      <c r="C3800" s="26" t="s">
        <v>15</v>
      </c>
      <c r="D3800" s="28" t="s">
        <v>218</v>
      </c>
      <c r="E3800" s="26" t="s">
        <v>7817</v>
      </c>
      <c r="F3800" s="29" t="s">
        <v>220</v>
      </c>
    </row>
    <row r="3801" spans="1:6" ht="29" x14ac:dyDescent="0.35">
      <c r="A3801" s="26" t="s">
        <v>216</v>
      </c>
      <c r="B3801" s="26" t="s">
        <v>7818</v>
      </c>
      <c r="C3801" s="26" t="s">
        <v>17</v>
      </c>
      <c r="D3801" s="28" t="s">
        <v>7819</v>
      </c>
      <c r="E3801" s="26">
        <v>13436</v>
      </c>
      <c r="F3801" s="29" t="s">
        <v>247</v>
      </c>
    </row>
    <row r="3802" spans="1:6" ht="29" x14ac:dyDescent="0.35">
      <c r="A3802" s="26" t="s">
        <v>216</v>
      </c>
      <c r="B3802" s="26" t="s">
        <v>7820</v>
      </c>
      <c r="C3802" s="26" t="s">
        <v>20</v>
      </c>
      <c r="D3802" s="28" t="s">
        <v>7821</v>
      </c>
      <c r="E3802" s="26">
        <v>13436</v>
      </c>
      <c r="F3802" s="29" t="s">
        <v>223</v>
      </c>
    </row>
    <row r="3803" spans="1:6" ht="58" x14ac:dyDescent="0.35">
      <c r="A3803" s="26" t="s">
        <v>216</v>
      </c>
      <c r="B3803" s="26" t="s">
        <v>7822</v>
      </c>
      <c r="C3803" s="26" t="s">
        <v>25</v>
      </c>
      <c r="D3803" s="28" t="s">
        <v>7823</v>
      </c>
      <c r="E3803" s="26">
        <v>0</v>
      </c>
      <c r="F3803" s="29" t="s">
        <v>226</v>
      </c>
    </row>
    <row r="3804" spans="1:6" ht="43.5" x14ac:dyDescent="0.35">
      <c r="A3804" s="26" t="s">
        <v>216</v>
      </c>
      <c r="B3804" s="26" t="s">
        <v>7824</v>
      </c>
      <c r="C3804" s="26" t="s">
        <v>27</v>
      </c>
      <c r="D3804" s="28" t="s">
        <v>7825</v>
      </c>
      <c r="E3804" s="26">
        <v>0</v>
      </c>
      <c r="F3804" s="29" t="s">
        <v>229</v>
      </c>
    </row>
    <row r="3805" spans="1:6" ht="29" x14ac:dyDescent="0.35">
      <c r="A3805" s="26" t="s">
        <v>216</v>
      </c>
      <c r="B3805" s="26" t="s">
        <v>7826</v>
      </c>
      <c r="C3805" s="26" t="s">
        <v>24</v>
      </c>
      <c r="D3805" s="28" t="s">
        <v>7827</v>
      </c>
      <c r="E3805" s="26">
        <v>0</v>
      </c>
      <c r="F3805" s="29" t="s">
        <v>232</v>
      </c>
    </row>
    <row r="3806" spans="1:6" ht="43.5" x14ac:dyDescent="0.35">
      <c r="A3806" s="26" t="s">
        <v>216</v>
      </c>
      <c r="B3806" s="26" t="s">
        <v>7828</v>
      </c>
      <c r="C3806" s="26" t="s">
        <v>15</v>
      </c>
      <c r="D3806" s="28" t="s">
        <v>218</v>
      </c>
      <c r="E3806" s="26" t="s">
        <v>7829</v>
      </c>
      <c r="F3806" s="29" t="s">
        <v>220</v>
      </c>
    </row>
    <row r="3807" spans="1:6" ht="29" x14ac:dyDescent="0.35">
      <c r="A3807" s="26" t="s">
        <v>216</v>
      </c>
      <c r="B3807" s="26" t="s">
        <v>7830</v>
      </c>
      <c r="C3807" s="26" t="s">
        <v>17</v>
      </c>
      <c r="D3807" s="28" t="s">
        <v>7831</v>
      </c>
      <c r="E3807" s="26">
        <v>13436</v>
      </c>
      <c r="F3807" s="29" t="s">
        <v>247</v>
      </c>
    </row>
    <row r="3808" spans="1:6" ht="29" x14ac:dyDescent="0.35">
      <c r="A3808" s="26" t="s">
        <v>216</v>
      </c>
      <c r="B3808" s="26" t="s">
        <v>7832</v>
      </c>
      <c r="C3808" s="26" t="s">
        <v>20</v>
      </c>
      <c r="D3808" s="28" t="s">
        <v>7833</v>
      </c>
      <c r="E3808" s="26">
        <v>13436</v>
      </c>
      <c r="F3808" s="29" t="s">
        <v>223</v>
      </c>
    </row>
    <row r="3809" spans="1:6" ht="58" x14ac:dyDescent="0.35">
      <c r="A3809" s="26" t="s">
        <v>216</v>
      </c>
      <c r="B3809" s="26" t="s">
        <v>7834</v>
      </c>
      <c r="C3809" s="26" t="s">
        <v>25</v>
      </c>
      <c r="D3809" s="28" t="s">
        <v>7835</v>
      </c>
      <c r="E3809" s="26">
        <v>0</v>
      </c>
      <c r="F3809" s="29" t="s">
        <v>226</v>
      </c>
    </row>
    <row r="3810" spans="1:6" ht="43.5" x14ac:dyDescent="0.35">
      <c r="A3810" s="26" t="s">
        <v>216</v>
      </c>
      <c r="B3810" s="26" t="s">
        <v>7836</v>
      </c>
      <c r="C3810" s="26" t="s">
        <v>27</v>
      </c>
      <c r="D3810" s="28" t="s">
        <v>7837</v>
      </c>
      <c r="E3810" s="26">
        <v>0</v>
      </c>
      <c r="F3810" s="29" t="s">
        <v>229</v>
      </c>
    </row>
    <row r="3811" spans="1:6" ht="29" x14ac:dyDescent="0.35">
      <c r="A3811" s="26" t="s">
        <v>216</v>
      </c>
      <c r="B3811" s="26" t="s">
        <v>7838</v>
      </c>
      <c r="C3811" s="26" t="s">
        <v>24</v>
      </c>
      <c r="D3811" s="28" t="s">
        <v>7839</v>
      </c>
      <c r="E3811" s="26">
        <v>0</v>
      </c>
      <c r="F3811" s="29" t="s">
        <v>232</v>
      </c>
    </row>
    <row r="3812" spans="1:6" ht="43.5" x14ac:dyDescent="0.35">
      <c r="A3812" s="26" t="s">
        <v>216</v>
      </c>
      <c r="B3812" s="26" t="s">
        <v>7840</v>
      </c>
      <c r="C3812" s="26" t="s">
        <v>15</v>
      </c>
      <c r="D3812" s="28" t="s">
        <v>218</v>
      </c>
      <c r="E3812" s="26" t="s">
        <v>7841</v>
      </c>
      <c r="F3812" s="29" t="s">
        <v>220</v>
      </c>
    </row>
    <row r="3813" spans="1:6" ht="29" x14ac:dyDescent="0.35">
      <c r="A3813" s="26" t="s">
        <v>216</v>
      </c>
      <c r="B3813" s="26" t="s">
        <v>7842</v>
      </c>
      <c r="C3813" s="26" t="s">
        <v>17</v>
      </c>
      <c r="D3813" s="28" t="s">
        <v>7843</v>
      </c>
      <c r="E3813" s="26">
        <v>13436</v>
      </c>
      <c r="F3813" s="29" t="s">
        <v>247</v>
      </c>
    </row>
    <row r="3814" spans="1:6" ht="29" x14ac:dyDescent="0.35">
      <c r="A3814" s="26" t="s">
        <v>216</v>
      </c>
      <c r="B3814" s="26" t="s">
        <v>7844</v>
      </c>
      <c r="C3814" s="26" t="s">
        <v>20</v>
      </c>
      <c r="D3814" s="28" t="s">
        <v>7845</v>
      </c>
      <c r="E3814" s="26">
        <v>13436</v>
      </c>
      <c r="F3814" s="29" t="s">
        <v>223</v>
      </c>
    </row>
    <row r="3815" spans="1:6" ht="58" x14ac:dyDescent="0.35">
      <c r="A3815" s="26" t="s">
        <v>216</v>
      </c>
      <c r="B3815" s="26" t="s">
        <v>7846</v>
      </c>
      <c r="C3815" s="26" t="s">
        <v>25</v>
      </c>
      <c r="D3815" s="28" t="s">
        <v>7847</v>
      </c>
      <c r="E3815" s="26">
        <v>0</v>
      </c>
      <c r="F3815" s="29" t="s">
        <v>226</v>
      </c>
    </row>
    <row r="3816" spans="1:6" ht="43.5" x14ac:dyDescent="0.35">
      <c r="A3816" s="26" t="s">
        <v>216</v>
      </c>
      <c r="B3816" s="26" t="s">
        <v>7848</v>
      </c>
      <c r="C3816" s="26" t="s">
        <v>27</v>
      </c>
      <c r="D3816" s="28" t="s">
        <v>7849</v>
      </c>
      <c r="E3816" s="26">
        <v>0</v>
      </c>
      <c r="F3816" s="29" t="s">
        <v>229</v>
      </c>
    </row>
    <row r="3817" spans="1:6" ht="29" x14ac:dyDescent="0.35">
      <c r="A3817" s="26" t="s">
        <v>216</v>
      </c>
      <c r="B3817" s="26" t="s">
        <v>7850</v>
      </c>
      <c r="C3817" s="26" t="s">
        <v>24</v>
      </c>
      <c r="D3817" s="28" t="s">
        <v>7851</v>
      </c>
      <c r="E3817" s="26">
        <v>0</v>
      </c>
      <c r="F3817" s="29" t="s">
        <v>232</v>
      </c>
    </row>
    <row r="3818" spans="1:6" ht="43.5" x14ac:dyDescent="0.35">
      <c r="A3818" s="26" t="s">
        <v>216</v>
      </c>
      <c r="B3818" s="26" t="s">
        <v>7852</v>
      </c>
      <c r="C3818" s="26" t="s">
        <v>15</v>
      </c>
      <c r="D3818" s="28" t="s">
        <v>218</v>
      </c>
      <c r="E3818" s="26" t="s">
        <v>7853</v>
      </c>
      <c r="F3818" s="29" t="s">
        <v>220</v>
      </c>
    </row>
    <row r="3819" spans="1:6" ht="29" x14ac:dyDescent="0.35">
      <c r="A3819" s="26" t="s">
        <v>216</v>
      </c>
      <c r="B3819" s="26" t="s">
        <v>7854</v>
      </c>
      <c r="C3819" s="26" t="s">
        <v>17</v>
      </c>
      <c r="D3819" s="28" t="s">
        <v>7855</v>
      </c>
      <c r="E3819" s="26">
        <v>13436</v>
      </c>
      <c r="F3819" s="29" t="s">
        <v>247</v>
      </c>
    </row>
    <row r="3820" spans="1:6" ht="29" x14ac:dyDescent="0.35">
      <c r="A3820" s="26" t="s">
        <v>216</v>
      </c>
      <c r="B3820" s="26" t="s">
        <v>7856</v>
      </c>
      <c r="C3820" s="26" t="s">
        <v>20</v>
      </c>
      <c r="D3820" s="28" t="s">
        <v>7857</v>
      </c>
      <c r="E3820" s="26">
        <v>13436</v>
      </c>
      <c r="F3820" s="29" t="s">
        <v>223</v>
      </c>
    </row>
    <row r="3821" spans="1:6" ht="58" x14ac:dyDescent="0.35">
      <c r="A3821" s="26" t="s">
        <v>216</v>
      </c>
      <c r="B3821" s="26" t="s">
        <v>7858</v>
      </c>
      <c r="C3821" s="26" t="s">
        <v>25</v>
      </c>
      <c r="D3821" s="28" t="s">
        <v>7859</v>
      </c>
      <c r="E3821" s="26">
        <v>0</v>
      </c>
      <c r="F3821" s="29" t="s">
        <v>226</v>
      </c>
    </row>
    <row r="3822" spans="1:6" ht="43.5" x14ac:dyDescent="0.35">
      <c r="A3822" s="26" t="s">
        <v>216</v>
      </c>
      <c r="B3822" s="26" t="s">
        <v>7860</v>
      </c>
      <c r="C3822" s="26" t="s">
        <v>27</v>
      </c>
      <c r="D3822" s="28" t="s">
        <v>7861</v>
      </c>
      <c r="E3822" s="26">
        <v>0</v>
      </c>
      <c r="F3822" s="29" t="s">
        <v>229</v>
      </c>
    </row>
    <row r="3823" spans="1:6" ht="29" x14ac:dyDescent="0.35">
      <c r="A3823" s="26" t="s">
        <v>216</v>
      </c>
      <c r="B3823" s="26" t="s">
        <v>7862</v>
      </c>
      <c r="C3823" s="26" t="s">
        <v>24</v>
      </c>
      <c r="D3823" s="28" t="s">
        <v>7863</v>
      </c>
      <c r="E3823" s="26">
        <v>0</v>
      </c>
      <c r="F3823" s="29" t="s">
        <v>232</v>
      </c>
    </row>
    <row r="3824" spans="1:6" ht="43.5" x14ac:dyDescent="0.35">
      <c r="A3824" s="26" t="s">
        <v>216</v>
      </c>
      <c r="B3824" s="26" t="s">
        <v>7864</v>
      </c>
      <c r="C3824" s="26" t="s">
        <v>15</v>
      </c>
      <c r="D3824" s="28" t="s">
        <v>218</v>
      </c>
      <c r="E3824" s="26" t="s">
        <v>7865</v>
      </c>
      <c r="F3824" s="29" t="s">
        <v>220</v>
      </c>
    </row>
    <row r="3825" spans="1:6" ht="29" x14ac:dyDescent="0.35">
      <c r="A3825" s="26" t="s">
        <v>216</v>
      </c>
      <c r="B3825" s="26" t="s">
        <v>7866</v>
      </c>
      <c r="C3825" s="26" t="s">
        <v>17</v>
      </c>
      <c r="D3825" s="28" t="s">
        <v>7867</v>
      </c>
      <c r="E3825" s="26">
        <v>13436</v>
      </c>
      <c r="F3825" s="29" t="s">
        <v>247</v>
      </c>
    </row>
    <row r="3826" spans="1:6" ht="29" x14ac:dyDescent="0.35">
      <c r="A3826" s="26" t="s">
        <v>216</v>
      </c>
      <c r="B3826" s="26" t="s">
        <v>7868</v>
      </c>
      <c r="C3826" s="26" t="s">
        <v>20</v>
      </c>
      <c r="D3826" s="28" t="s">
        <v>7869</v>
      </c>
      <c r="E3826" s="26">
        <v>13436</v>
      </c>
      <c r="F3826" s="29" t="s">
        <v>223</v>
      </c>
    </row>
    <row r="3827" spans="1:6" ht="58" x14ac:dyDescent="0.35">
      <c r="A3827" s="26" t="s">
        <v>216</v>
      </c>
      <c r="B3827" s="26" t="s">
        <v>7870</v>
      </c>
      <c r="C3827" s="26" t="s">
        <v>25</v>
      </c>
      <c r="D3827" s="28" t="s">
        <v>7871</v>
      </c>
      <c r="E3827" s="26">
        <v>0</v>
      </c>
      <c r="F3827" s="29" t="s">
        <v>226</v>
      </c>
    </row>
    <row r="3828" spans="1:6" ht="43.5" x14ac:dyDescent="0.35">
      <c r="A3828" s="26" t="s">
        <v>216</v>
      </c>
      <c r="B3828" s="26" t="s">
        <v>7872</v>
      </c>
      <c r="C3828" s="26" t="s">
        <v>27</v>
      </c>
      <c r="D3828" s="28" t="s">
        <v>7873</v>
      </c>
      <c r="E3828" s="26">
        <v>0</v>
      </c>
      <c r="F3828" s="29" t="s">
        <v>229</v>
      </c>
    </row>
    <row r="3829" spans="1:6" ht="29" x14ac:dyDescent="0.35">
      <c r="A3829" s="26" t="s">
        <v>216</v>
      </c>
      <c r="B3829" s="26" t="s">
        <v>7874</v>
      </c>
      <c r="C3829" s="26" t="s">
        <v>24</v>
      </c>
      <c r="D3829" s="28" t="s">
        <v>7875</v>
      </c>
      <c r="E3829" s="26">
        <v>0</v>
      </c>
      <c r="F3829" s="29" t="s">
        <v>232</v>
      </c>
    </row>
    <row r="3830" spans="1:6" ht="43.5" x14ac:dyDescent="0.35">
      <c r="A3830" s="26" t="s">
        <v>216</v>
      </c>
      <c r="B3830" s="26" t="s">
        <v>7876</v>
      </c>
      <c r="C3830" s="26" t="s">
        <v>15</v>
      </c>
      <c r="D3830" s="28" t="s">
        <v>218</v>
      </c>
      <c r="E3830" s="26" t="s">
        <v>7877</v>
      </c>
      <c r="F3830" s="29" t="s">
        <v>220</v>
      </c>
    </row>
    <row r="3831" spans="1:6" ht="29" x14ac:dyDescent="0.35">
      <c r="A3831" s="26" t="s">
        <v>216</v>
      </c>
      <c r="B3831" s="26" t="s">
        <v>7878</v>
      </c>
      <c r="C3831" s="26" t="s">
        <v>17</v>
      </c>
      <c r="D3831" s="28" t="s">
        <v>7879</v>
      </c>
      <c r="E3831" s="26">
        <v>13436</v>
      </c>
      <c r="F3831" s="29" t="s">
        <v>247</v>
      </c>
    </row>
    <row r="3832" spans="1:6" ht="29" x14ac:dyDescent="0.35">
      <c r="A3832" s="26" t="s">
        <v>216</v>
      </c>
      <c r="B3832" s="26" t="s">
        <v>7880</v>
      </c>
      <c r="C3832" s="26" t="s">
        <v>20</v>
      </c>
      <c r="D3832" s="28" t="s">
        <v>7881</v>
      </c>
      <c r="E3832" s="26">
        <v>13436</v>
      </c>
      <c r="F3832" s="29" t="s">
        <v>223</v>
      </c>
    </row>
    <row r="3833" spans="1:6" ht="58" x14ac:dyDescent="0.35">
      <c r="A3833" s="26" t="s">
        <v>216</v>
      </c>
      <c r="B3833" s="26" t="s">
        <v>7882</v>
      </c>
      <c r="C3833" s="26" t="s">
        <v>25</v>
      </c>
      <c r="D3833" s="28" t="s">
        <v>7883</v>
      </c>
      <c r="E3833" s="26">
        <v>0</v>
      </c>
      <c r="F3833" s="29" t="s">
        <v>226</v>
      </c>
    </row>
    <row r="3834" spans="1:6" ht="43.5" x14ac:dyDescent="0.35">
      <c r="A3834" s="26" t="s">
        <v>216</v>
      </c>
      <c r="B3834" s="26" t="s">
        <v>7884</v>
      </c>
      <c r="C3834" s="26" t="s">
        <v>27</v>
      </c>
      <c r="D3834" s="28" t="s">
        <v>7885</v>
      </c>
      <c r="E3834" s="26">
        <v>0</v>
      </c>
      <c r="F3834" s="29" t="s">
        <v>229</v>
      </c>
    </row>
    <row r="3835" spans="1:6" ht="29" x14ac:dyDescent="0.35">
      <c r="A3835" s="26" t="s">
        <v>216</v>
      </c>
      <c r="B3835" s="26" t="s">
        <v>7886</v>
      </c>
      <c r="C3835" s="26" t="s">
        <v>24</v>
      </c>
      <c r="D3835" s="28" t="s">
        <v>7887</v>
      </c>
      <c r="E3835" s="26">
        <v>0</v>
      </c>
      <c r="F3835" s="29" t="s">
        <v>232</v>
      </c>
    </row>
    <row r="3836" spans="1:6" ht="43.5" x14ac:dyDescent="0.35">
      <c r="A3836" s="26" t="s">
        <v>216</v>
      </c>
      <c r="B3836" s="26" t="s">
        <v>7888</v>
      </c>
      <c r="C3836" s="26" t="s">
        <v>15</v>
      </c>
      <c r="D3836" s="28" t="s">
        <v>218</v>
      </c>
      <c r="E3836" s="26" t="s">
        <v>7889</v>
      </c>
      <c r="F3836" s="29" t="s">
        <v>220</v>
      </c>
    </row>
    <row r="3837" spans="1:6" ht="29" x14ac:dyDescent="0.35">
      <c r="A3837" s="26" t="s">
        <v>216</v>
      </c>
      <c r="B3837" s="26" t="s">
        <v>7890</v>
      </c>
      <c r="C3837" s="26" t="s">
        <v>17</v>
      </c>
      <c r="D3837" s="28" t="s">
        <v>7891</v>
      </c>
      <c r="E3837" s="26">
        <v>13436</v>
      </c>
      <c r="F3837" s="29" t="s">
        <v>247</v>
      </c>
    </row>
    <row r="3838" spans="1:6" ht="29" x14ac:dyDescent="0.35">
      <c r="A3838" s="26" t="s">
        <v>216</v>
      </c>
      <c r="B3838" s="26" t="s">
        <v>7892</v>
      </c>
      <c r="C3838" s="26" t="s">
        <v>20</v>
      </c>
      <c r="D3838" s="28" t="s">
        <v>7893</v>
      </c>
      <c r="E3838" s="26">
        <v>13436</v>
      </c>
      <c r="F3838" s="29" t="s">
        <v>223</v>
      </c>
    </row>
    <row r="3839" spans="1:6" ht="58" x14ac:dyDescent="0.35">
      <c r="A3839" s="26" t="s">
        <v>216</v>
      </c>
      <c r="B3839" s="26" t="s">
        <v>7894</v>
      </c>
      <c r="C3839" s="26" t="s">
        <v>25</v>
      </c>
      <c r="D3839" s="28" t="s">
        <v>7895</v>
      </c>
      <c r="E3839" s="26">
        <v>0</v>
      </c>
      <c r="F3839" s="29" t="s">
        <v>226</v>
      </c>
    </row>
    <row r="3840" spans="1:6" ht="43.5" x14ac:dyDescent="0.35">
      <c r="A3840" s="26" t="s">
        <v>216</v>
      </c>
      <c r="B3840" s="26" t="s">
        <v>7896</v>
      </c>
      <c r="C3840" s="26" t="s">
        <v>27</v>
      </c>
      <c r="D3840" s="28" t="s">
        <v>7897</v>
      </c>
      <c r="E3840" s="26">
        <v>0</v>
      </c>
      <c r="F3840" s="29" t="s">
        <v>229</v>
      </c>
    </row>
    <row r="3841" spans="1:6" ht="29" x14ac:dyDescent="0.35">
      <c r="A3841" s="26" t="s">
        <v>216</v>
      </c>
      <c r="B3841" s="26" t="s">
        <v>7898</v>
      </c>
      <c r="C3841" s="26" t="s">
        <v>24</v>
      </c>
      <c r="D3841" s="28" t="s">
        <v>7899</v>
      </c>
      <c r="E3841" s="26">
        <v>0</v>
      </c>
      <c r="F3841" s="29" t="s">
        <v>232</v>
      </c>
    </row>
    <row r="3842" spans="1:6" ht="43.5" x14ac:dyDescent="0.35">
      <c r="A3842" s="26" t="s">
        <v>216</v>
      </c>
      <c r="B3842" s="26" t="s">
        <v>7900</v>
      </c>
      <c r="C3842" s="26" t="s">
        <v>15</v>
      </c>
      <c r="D3842" s="28" t="s">
        <v>218</v>
      </c>
      <c r="E3842" s="26" t="s">
        <v>7901</v>
      </c>
      <c r="F3842" s="29" t="s">
        <v>220</v>
      </c>
    </row>
    <row r="3843" spans="1:6" ht="29" x14ac:dyDescent="0.35">
      <c r="A3843" s="26" t="s">
        <v>216</v>
      </c>
      <c r="B3843" s="26" t="s">
        <v>7902</v>
      </c>
      <c r="C3843" s="26" t="s">
        <v>17</v>
      </c>
      <c r="D3843" s="28" t="s">
        <v>7903</v>
      </c>
      <c r="E3843" s="26">
        <v>13436</v>
      </c>
      <c r="F3843" s="29" t="s">
        <v>247</v>
      </c>
    </row>
    <row r="3844" spans="1:6" ht="29" x14ac:dyDescent="0.35">
      <c r="A3844" s="26" t="s">
        <v>216</v>
      </c>
      <c r="B3844" s="26" t="s">
        <v>7904</v>
      </c>
      <c r="C3844" s="26" t="s">
        <v>20</v>
      </c>
      <c r="D3844" s="28" t="s">
        <v>7905</v>
      </c>
      <c r="E3844" s="26">
        <v>13436</v>
      </c>
      <c r="F3844" s="29" t="s">
        <v>223</v>
      </c>
    </row>
    <row r="3845" spans="1:6" ht="58" x14ac:dyDescent="0.35">
      <c r="A3845" s="26" t="s">
        <v>216</v>
      </c>
      <c r="B3845" s="26" t="s">
        <v>7906</v>
      </c>
      <c r="C3845" s="26" t="s">
        <v>25</v>
      </c>
      <c r="D3845" s="28" t="s">
        <v>7907</v>
      </c>
      <c r="E3845" s="26">
        <v>0</v>
      </c>
      <c r="F3845" s="29" t="s">
        <v>226</v>
      </c>
    </row>
    <row r="3846" spans="1:6" ht="43.5" x14ac:dyDescent="0.35">
      <c r="A3846" s="26" t="s">
        <v>216</v>
      </c>
      <c r="B3846" s="26" t="s">
        <v>7908</v>
      </c>
      <c r="C3846" s="26" t="s">
        <v>27</v>
      </c>
      <c r="D3846" s="28" t="s">
        <v>7909</v>
      </c>
      <c r="E3846" s="26">
        <v>0</v>
      </c>
      <c r="F3846" s="29" t="s">
        <v>229</v>
      </c>
    </row>
    <row r="3847" spans="1:6" ht="29" x14ac:dyDescent="0.35">
      <c r="A3847" s="26" t="s">
        <v>216</v>
      </c>
      <c r="B3847" s="26" t="s">
        <v>7910</v>
      </c>
      <c r="C3847" s="26" t="s">
        <v>24</v>
      </c>
      <c r="D3847" s="28" t="s">
        <v>7911</v>
      </c>
      <c r="E3847" s="26">
        <v>0</v>
      </c>
      <c r="F3847" s="29" t="s">
        <v>232</v>
      </c>
    </row>
    <row r="3848" spans="1:6" ht="43.5" x14ac:dyDescent="0.35">
      <c r="A3848" s="26" t="s">
        <v>216</v>
      </c>
      <c r="B3848" s="26" t="s">
        <v>7912</v>
      </c>
      <c r="C3848" s="26" t="s">
        <v>15</v>
      </c>
      <c r="D3848" s="28" t="s">
        <v>218</v>
      </c>
      <c r="E3848" s="26" t="s">
        <v>7913</v>
      </c>
      <c r="F3848" s="29" t="s">
        <v>220</v>
      </c>
    </row>
    <row r="3849" spans="1:6" ht="29" x14ac:dyDescent="0.35">
      <c r="A3849" s="26" t="s">
        <v>216</v>
      </c>
      <c r="B3849" s="26" t="s">
        <v>7914</v>
      </c>
      <c r="C3849" s="26" t="s">
        <v>17</v>
      </c>
      <c r="D3849" s="28" t="s">
        <v>7915</v>
      </c>
      <c r="E3849" s="26">
        <v>13436</v>
      </c>
      <c r="F3849" s="29" t="s">
        <v>247</v>
      </c>
    </row>
    <row r="3850" spans="1:6" ht="29" x14ac:dyDescent="0.35">
      <c r="A3850" s="26" t="s">
        <v>216</v>
      </c>
      <c r="B3850" s="26" t="s">
        <v>7916</v>
      </c>
      <c r="C3850" s="26" t="s">
        <v>20</v>
      </c>
      <c r="D3850" s="28" t="s">
        <v>7917</v>
      </c>
      <c r="E3850" s="26">
        <v>13436</v>
      </c>
      <c r="F3850" s="29" t="s">
        <v>223</v>
      </c>
    </row>
    <row r="3851" spans="1:6" ht="58" x14ac:dyDescent="0.35">
      <c r="A3851" s="26" t="s">
        <v>216</v>
      </c>
      <c r="B3851" s="26" t="s">
        <v>7918</v>
      </c>
      <c r="C3851" s="26" t="s">
        <v>25</v>
      </c>
      <c r="D3851" s="28" t="s">
        <v>7919</v>
      </c>
      <c r="E3851" s="26">
        <v>0</v>
      </c>
      <c r="F3851" s="29" t="s">
        <v>226</v>
      </c>
    </row>
    <row r="3852" spans="1:6" ht="43.5" x14ac:dyDescent="0.35">
      <c r="A3852" s="26" t="s">
        <v>216</v>
      </c>
      <c r="B3852" s="26" t="s">
        <v>7920</v>
      </c>
      <c r="C3852" s="26" t="s">
        <v>27</v>
      </c>
      <c r="D3852" s="28" t="s">
        <v>7921</v>
      </c>
      <c r="E3852" s="26">
        <v>0</v>
      </c>
      <c r="F3852" s="29" t="s">
        <v>229</v>
      </c>
    </row>
    <row r="3853" spans="1:6" ht="29" x14ac:dyDescent="0.35">
      <c r="A3853" s="26" t="s">
        <v>216</v>
      </c>
      <c r="B3853" s="26" t="s">
        <v>7922</v>
      </c>
      <c r="C3853" s="26" t="s">
        <v>24</v>
      </c>
      <c r="D3853" s="28" t="s">
        <v>7923</v>
      </c>
      <c r="E3853" s="26">
        <v>0</v>
      </c>
      <c r="F3853" s="29" t="s">
        <v>232</v>
      </c>
    </row>
    <row r="3854" spans="1:6" ht="43.5" x14ac:dyDescent="0.35">
      <c r="A3854" s="26" t="s">
        <v>216</v>
      </c>
      <c r="B3854" s="26" t="s">
        <v>7924</v>
      </c>
      <c r="C3854" s="26" t="s">
        <v>15</v>
      </c>
      <c r="D3854" s="28" t="s">
        <v>218</v>
      </c>
      <c r="E3854" s="26" t="s">
        <v>7925</v>
      </c>
      <c r="F3854" s="29" t="s">
        <v>220</v>
      </c>
    </row>
    <row r="3855" spans="1:6" ht="29" x14ac:dyDescent="0.35">
      <c r="A3855" s="26" t="s">
        <v>216</v>
      </c>
      <c r="B3855" s="26" t="s">
        <v>7926</v>
      </c>
      <c r="C3855" s="26" t="s">
        <v>17</v>
      </c>
      <c r="D3855" s="28" t="s">
        <v>7927</v>
      </c>
      <c r="E3855" s="26">
        <v>13436</v>
      </c>
      <c r="F3855" s="29" t="s">
        <v>247</v>
      </c>
    </row>
    <row r="3856" spans="1:6" ht="29" x14ac:dyDescent="0.35">
      <c r="A3856" s="26" t="s">
        <v>216</v>
      </c>
      <c r="B3856" s="26" t="s">
        <v>7928</v>
      </c>
      <c r="C3856" s="26" t="s">
        <v>20</v>
      </c>
      <c r="D3856" s="28" t="s">
        <v>7929</v>
      </c>
      <c r="E3856" s="26">
        <v>13436</v>
      </c>
      <c r="F3856" s="29" t="s">
        <v>223</v>
      </c>
    </row>
    <row r="3857" spans="1:6" ht="58" x14ac:dyDescent="0.35">
      <c r="A3857" s="26" t="s">
        <v>216</v>
      </c>
      <c r="B3857" s="26" t="s">
        <v>7930</v>
      </c>
      <c r="C3857" s="26" t="s">
        <v>25</v>
      </c>
      <c r="D3857" s="28" t="s">
        <v>7931</v>
      </c>
      <c r="E3857" s="26">
        <v>0</v>
      </c>
      <c r="F3857" s="29" t="s">
        <v>226</v>
      </c>
    </row>
    <row r="3858" spans="1:6" ht="43.5" x14ac:dyDescent="0.35">
      <c r="A3858" s="26" t="s">
        <v>216</v>
      </c>
      <c r="B3858" s="26" t="s">
        <v>7932</v>
      </c>
      <c r="C3858" s="26" t="s">
        <v>27</v>
      </c>
      <c r="D3858" s="28" t="s">
        <v>7933</v>
      </c>
      <c r="E3858" s="26">
        <v>0</v>
      </c>
      <c r="F3858" s="29" t="s">
        <v>229</v>
      </c>
    </row>
    <row r="3859" spans="1:6" ht="29" x14ac:dyDescent="0.35">
      <c r="A3859" s="26" t="s">
        <v>216</v>
      </c>
      <c r="B3859" s="26" t="s">
        <v>7934</v>
      </c>
      <c r="C3859" s="26" t="s">
        <v>24</v>
      </c>
      <c r="D3859" s="28" t="s">
        <v>7935</v>
      </c>
      <c r="E3859" s="26">
        <v>0</v>
      </c>
      <c r="F3859" s="29" t="s">
        <v>232</v>
      </c>
    </row>
    <row r="3860" spans="1:6" ht="43.5" x14ac:dyDescent="0.35">
      <c r="A3860" s="26" t="s">
        <v>216</v>
      </c>
      <c r="B3860" s="26" t="s">
        <v>7936</v>
      </c>
      <c r="C3860" s="26" t="s">
        <v>15</v>
      </c>
      <c r="D3860" s="28" t="s">
        <v>218</v>
      </c>
      <c r="E3860" s="26" t="s">
        <v>7937</v>
      </c>
      <c r="F3860" s="29" t="s">
        <v>220</v>
      </c>
    </row>
    <row r="3861" spans="1:6" ht="29" x14ac:dyDescent="0.35">
      <c r="A3861" s="26" t="s">
        <v>216</v>
      </c>
      <c r="B3861" s="26" t="s">
        <v>7938</v>
      </c>
      <c r="C3861" s="26" t="s">
        <v>17</v>
      </c>
      <c r="D3861" s="28" t="s">
        <v>7939</v>
      </c>
      <c r="E3861" s="26">
        <v>13436</v>
      </c>
      <c r="F3861" s="29" t="s">
        <v>247</v>
      </c>
    </row>
    <row r="3862" spans="1:6" ht="29" x14ac:dyDescent="0.35">
      <c r="A3862" s="26" t="s">
        <v>216</v>
      </c>
      <c r="B3862" s="26" t="s">
        <v>7940</v>
      </c>
      <c r="C3862" s="26" t="s">
        <v>20</v>
      </c>
      <c r="D3862" s="28" t="s">
        <v>7941</v>
      </c>
      <c r="E3862" s="26">
        <v>13436</v>
      </c>
      <c r="F3862" s="29" t="s">
        <v>223</v>
      </c>
    </row>
    <row r="3863" spans="1:6" ht="58" x14ac:dyDescent="0.35">
      <c r="A3863" s="26" t="s">
        <v>216</v>
      </c>
      <c r="B3863" s="26" t="s">
        <v>7942</v>
      </c>
      <c r="C3863" s="26" t="s">
        <v>25</v>
      </c>
      <c r="D3863" s="28" t="s">
        <v>7943</v>
      </c>
      <c r="E3863" s="26">
        <v>0</v>
      </c>
      <c r="F3863" s="29" t="s">
        <v>226</v>
      </c>
    </row>
    <row r="3864" spans="1:6" ht="43.5" x14ac:dyDescent="0.35">
      <c r="A3864" s="26" t="s">
        <v>216</v>
      </c>
      <c r="B3864" s="26" t="s">
        <v>7944</v>
      </c>
      <c r="C3864" s="26" t="s">
        <v>27</v>
      </c>
      <c r="D3864" s="28" t="s">
        <v>7945</v>
      </c>
      <c r="E3864" s="26">
        <v>0</v>
      </c>
      <c r="F3864" s="29" t="s">
        <v>229</v>
      </c>
    </row>
    <row r="3865" spans="1:6" ht="29" x14ac:dyDescent="0.35">
      <c r="A3865" s="26" t="s">
        <v>216</v>
      </c>
      <c r="B3865" s="26" t="s">
        <v>7946</v>
      </c>
      <c r="C3865" s="26" t="s">
        <v>24</v>
      </c>
      <c r="D3865" s="28" t="s">
        <v>7947</v>
      </c>
      <c r="E3865" s="26">
        <v>0</v>
      </c>
      <c r="F3865" s="29" t="s">
        <v>232</v>
      </c>
    </row>
    <row r="3866" spans="1:6" ht="43.5" x14ac:dyDescent="0.35">
      <c r="A3866" s="26" t="s">
        <v>216</v>
      </c>
      <c r="B3866" s="26" t="s">
        <v>7948</v>
      </c>
      <c r="C3866" s="26" t="s">
        <v>15</v>
      </c>
      <c r="D3866" s="28" t="s">
        <v>218</v>
      </c>
      <c r="E3866" s="26" t="s">
        <v>7949</v>
      </c>
      <c r="F3866" s="29" t="s">
        <v>220</v>
      </c>
    </row>
    <row r="3867" spans="1:6" ht="29" x14ac:dyDescent="0.35">
      <c r="A3867" s="26" t="s">
        <v>216</v>
      </c>
      <c r="B3867" s="26" t="s">
        <v>7950</v>
      </c>
      <c r="C3867" s="26" t="s">
        <v>17</v>
      </c>
      <c r="D3867" s="28" t="s">
        <v>7951</v>
      </c>
      <c r="E3867" s="26">
        <v>13436</v>
      </c>
      <c r="F3867" s="29" t="s">
        <v>247</v>
      </c>
    </row>
    <row r="3868" spans="1:6" ht="29" x14ac:dyDescent="0.35">
      <c r="A3868" s="26" t="s">
        <v>216</v>
      </c>
      <c r="B3868" s="26" t="s">
        <v>7952</v>
      </c>
      <c r="C3868" s="26" t="s">
        <v>20</v>
      </c>
      <c r="D3868" s="28" t="s">
        <v>7953</v>
      </c>
      <c r="E3868" s="26">
        <v>13436</v>
      </c>
      <c r="F3868" s="29" t="s">
        <v>223</v>
      </c>
    </row>
    <row r="3869" spans="1:6" ht="58" x14ac:dyDescent="0.35">
      <c r="A3869" s="26" t="s">
        <v>216</v>
      </c>
      <c r="B3869" s="26" t="s">
        <v>7954</v>
      </c>
      <c r="C3869" s="26" t="s">
        <v>25</v>
      </c>
      <c r="D3869" s="28" t="s">
        <v>7955</v>
      </c>
      <c r="E3869" s="26">
        <v>0</v>
      </c>
      <c r="F3869" s="29" t="s">
        <v>226</v>
      </c>
    </row>
    <row r="3870" spans="1:6" ht="43.5" x14ac:dyDescent="0.35">
      <c r="A3870" s="26" t="s">
        <v>216</v>
      </c>
      <c r="B3870" s="26" t="s">
        <v>7956</v>
      </c>
      <c r="C3870" s="26" t="s">
        <v>27</v>
      </c>
      <c r="D3870" s="28" t="s">
        <v>7957</v>
      </c>
      <c r="E3870" s="26">
        <v>0</v>
      </c>
      <c r="F3870" s="29" t="s">
        <v>229</v>
      </c>
    </row>
    <row r="3871" spans="1:6" ht="29" x14ac:dyDescent="0.35">
      <c r="A3871" s="26" t="s">
        <v>216</v>
      </c>
      <c r="B3871" s="26" t="s">
        <v>7958</v>
      </c>
      <c r="C3871" s="26" t="s">
        <v>24</v>
      </c>
      <c r="D3871" s="28" t="s">
        <v>7959</v>
      </c>
      <c r="E3871" s="26">
        <v>0</v>
      </c>
      <c r="F3871" s="29" t="s">
        <v>232</v>
      </c>
    </row>
    <row r="3872" spans="1:6" ht="43.5" x14ac:dyDescent="0.35">
      <c r="A3872" s="26" t="s">
        <v>216</v>
      </c>
      <c r="B3872" s="26" t="s">
        <v>7960</v>
      </c>
      <c r="C3872" s="26" t="s">
        <v>15</v>
      </c>
      <c r="D3872" s="28" t="s">
        <v>218</v>
      </c>
      <c r="E3872" s="26" t="s">
        <v>7961</v>
      </c>
      <c r="F3872" s="29" t="s">
        <v>220</v>
      </c>
    </row>
    <row r="3873" spans="1:6" ht="29" x14ac:dyDescent="0.35">
      <c r="A3873" s="26" t="s">
        <v>216</v>
      </c>
      <c r="B3873" s="26" t="s">
        <v>7962</v>
      </c>
      <c r="C3873" s="26" t="s">
        <v>17</v>
      </c>
      <c r="D3873" s="28" t="s">
        <v>7963</v>
      </c>
      <c r="E3873" s="26">
        <v>13436</v>
      </c>
      <c r="F3873" s="29" t="s">
        <v>247</v>
      </c>
    </row>
    <row r="3874" spans="1:6" ht="29" x14ac:dyDescent="0.35">
      <c r="A3874" s="26" t="s">
        <v>216</v>
      </c>
      <c r="B3874" s="26" t="s">
        <v>7964</v>
      </c>
      <c r="C3874" s="26" t="s">
        <v>20</v>
      </c>
      <c r="D3874" s="28" t="s">
        <v>7965</v>
      </c>
      <c r="E3874" s="26">
        <v>13436</v>
      </c>
      <c r="F3874" s="29" t="s">
        <v>223</v>
      </c>
    </row>
    <row r="3875" spans="1:6" ht="58" x14ac:dyDescent="0.35">
      <c r="A3875" s="26" t="s">
        <v>216</v>
      </c>
      <c r="B3875" s="26" t="s">
        <v>7966</v>
      </c>
      <c r="C3875" s="26" t="s">
        <v>25</v>
      </c>
      <c r="D3875" s="28" t="s">
        <v>7967</v>
      </c>
      <c r="E3875" s="26">
        <v>0</v>
      </c>
      <c r="F3875" s="29" t="s">
        <v>226</v>
      </c>
    </row>
    <row r="3876" spans="1:6" ht="43.5" x14ac:dyDescent="0.35">
      <c r="A3876" s="26" t="s">
        <v>216</v>
      </c>
      <c r="B3876" s="26" t="s">
        <v>7968</v>
      </c>
      <c r="C3876" s="26" t="s">
        <v>27</v>
      </c>
      <c r="D3876" s="28" t="s">
        <v>7969</v>
      </c>
      <c r="E3876" s="26">
        <v>0</v>
      </c>
      <c r="F3876" s="29" t="s">
        <v>229</v>
      </c>
    </row>
    <row r="3877" spans="1:6" ht="29" x14ac:dyDescent="0.35">
      <c r="A3877" s="26" t="s">
        <v>216</v>
      </c>
      <c r="B3877" s="26" t="s">
        <v>7970</v>
      </c>
      <c r="C3877" s="26" t="s">
        <v>24</v>
      </c>
      <c r="D3877" s="28" t="s">
        <v>7971</v>
      </c>
      <c r="E3877" s="26">
        <v>0</v>
      </c>
      <c r="F3877" s="29" t="s">
        <v>232</v>
      </c>
    </row>
    <row r="3878" spans="1:6" ht="43.5" x14ac:dyDescent="0.35">
      <c r="A3878" s="26" t="s">
        <v>216</v>
      </c>
      <c r="B3878" s="26" t="s">
        <v>7972</v>
      </c>
      <c r="C3878" s="26" t="s">
        <v>15</v>
      </c>
      <c r="D3878" s="28" t="s">
        <v>218</v>
      </c>
      <c r="E3878" s="26" t="s">
        <v>7973</v>
      </c>
      <c r="F3878" s="29" t="s">
        <v>220</v>
      </c>
    </row>
    <row r="3879" spans="1:6" ht="29" x14ac:dyDescent="0.35">
      <c r="A3879" s="26" t="s">
        <v>216</v>
      </c>
      <c r="B3879" s="26" t="s">
        <v>7974</v>
      </c>
      <c r="C3879" s="26" t="s">
        <v>17</v>
      </c>
      <c r="D3879" s="28" t="s">
        <v>7975</v>
      </c>
      <c r="E3879" s="26">
        <v>13436</v>
      </c>
      <c r="F3879" s="29" t="s">
        <v>247</v>
      </c>
    </row>
    <row r="3880" spans="1:6" ht="29" x14ac:dyDescent="0.35">
      <c r="A3880" s="26" t="s">
        <v>216</v>
      </c>
      <c r="B3880" s="26" t="s">
        <v>7976</v>
      </c>
      <c r="C3880" s="26" t="s">
        <v>20</v>
      </c>
      <c r="D3880" s="28" t="s">
        <v>7977</v>
      </c>
      <c r="E3880" s="26">
        <v>13436</v>
      </c>
      <c r="F3880" s="29" t="s">
        <v>223</v>
      </c>
    </row>
    <row r="3881" spans="1:6" ht="58" x14ac:dyDescent="0.35">
      <c r="A3881" s="26" t="s">
        <v>216</v>
      </c>
      <c r="B3881" s="26" t="s">
        <v>7978</v>
      </c>
      <c r="C3881" s="26" t="s">
        <v>25</v>
      </c>
      <c r="D3881" s="28" t="s">
        <v>7979</v>
      </c>
      <c r="E3881" s="26">
        <v>0</v>
      </c>
      <c r="F3881" s="29" t="s">
        <v>226</v>
      </c>
    </row>
    <row r="3882" spans="1:6" ht="43.5" x14ac:dyDescent="0.35">
      <c r="A3882" s="26" t="s">
        <v>216</v>
      </c>
      <c r="B3882" s="26" t="s">
        <v>7980</v>
      </c>
      <c r="C3882" s="26" t="s">
        <v>27</v>
      </c>
      <c r="D3882" s="28" t="s">
        <v>7981</v>
      </c>
      <c r="E3882" s="26">
        <v>0</v>
      </c>
      <c r="F3882" s="29" t="s">
        <v>229</v>
      </c>
    </row>
    <row r="3883" spans="1:6" ht="29" x14ac:dyDescent="0.35">
      <c r="A3883" s="26" t="s">
        <v>216</v>
      </c>
      <c r="B3883" s="26" t="s">
        <v>7982</v>
      </c>
      <c r="C3883" s="26" t="s">
        <v>24</v>
      </c>
      <c r="D3883" s="28" t="s">
        <v>7983</v>
      </c>
      <c r="E3883" s="26">
        <v>0</v>
      </c>
      <c r="F3883" s="29" t="s">
        <v>232</v>
      </c>
    </row>
    <row r="3884" spans="1:6" ht="43.5" x14ac:dyDescent="0.35">
      <c r="A3884" s="26" t="s">
        <v>216</v>
      </c>
      <c r="B3884" s="26" t="s">
        <v>7984</v>
      </c>
      <c r="C3884" s="26" t="s">
        <v>15</v>
      </c>
      <c r="D3884" s="28" t="s">
        <v>218</v>
      </c>
      <c r="E3884" s="26" t="s">
        <v>7985</v>
      </c>
      <c r="F3884" s="29" t="s">
        <v>220</v>
      </c>
    </row>
    <row r="3885" spans="1:6" ht="29" x14ac:dyDescent="0.35">
      <c r="A3885" s="26" t="s">
        <v>216</v>
      </c>
      <c r="B3885" s="26" t="s">
        <v>7986</v>
      </c>
      <c r="C3885" s="26" t="s">
        <v>17</v>
      </c>
      <c r="D3885" s="28" t="s">
        <v>7987</v>
      </c>
      <c r="E3885" s="26">
        <v>13436</v>
      </c>
      <c r="F3885" s="29" t="s">
        <v>247</v>
      </c>
    </row>
    <row r="3886" spans="1:6" ht="29" x14ac:dyDescent="0.35">
      <c r="A3886" s="26" t="s">
        <v>216</v>
      </c>
      <c r="B3886" s="26" t="s">
        <v>7988</v>
      </c>
      <c r="C3886" s="26" t="s">
        <v>20</v>
      </c>
      <c r="D3886" s="28" t="s">
        <v>7989</v>
      </c>
      <c r="E3886" s="26">
        <v>13436</v>
      </c>
      <c r="F3886" s="29" t="s">
        <v>223</v>
      </c>
    </row>
    <row r="3887" spans="1:6" ht="58" x14ac:dyDescent="0.35">
      <c r="A3887" s="26" t="s">
        <v>216</v>
      </c>
      <c r="B3887" s="26" t="s">
        <v>7990</v>
      </c>
      <c r="C3887" s="26" t="s">
        <v>25</v>
      </c>
      <c r="D3887" s="28" t="s">
        <v>7991</v>
      </c>
      <c r="E3887" s="26">
        <v>0</v>
      </c>
      <c r="F3887" s="29" t="s">
        <v>226</v>
      </c>
    </row>
    <row r="3888" spans="1:6" ht="43.5" x14ac:dyDescent="0.35">
      <c r="A3888" s="26" t="s">
        <v>216</v>
      </c>
      <c r="B3888" s="26" t="s">
        <v>7992</v>
      </c>
      <c r="C3888" s="26" t="s">
        <v>27</v>
      </c>
      <c r="D3888" s="28" t="s">
        <v>7993</v>
      </c>
      <c r="E3888" s="26">
        <v>0</v>
      </c>
      <c r="F3888" s="29" t="s">
        <v>229</v>
      </c>
    </row>
    <row r="3889" spans="1:6" ht="29" x14ac:dyDescent="0.35">
      <c r="A3889" s="26" t="s">
        <v>216</v>
      </c>
      <c r="B3889" s="26" t="s">
        <v>7994</v>
      </c>
      <c r="C3889" s="26" t="s">
        <v>24</v>
      </c>
      <c r="D3889" s="28" t="s">
        <v>7995</v>
      </c>
      <c r="E3889" s="26">
        <v>0</v>
      </c>
      <c r="F3889" s="29" t="s">
        <v>232</v>
      </c>
    </row>
    <row r="3890" spans="1:6" ht="43.5" x14ac:dyDescent="0.35">
      <c r="A3890" s="26" t="s">
        <v>216</v>
      </c>
      <c r="B3890" s="26" t="s">
        <v>7996</v>
      </c>
      <c r="C3890" s="26" t="s">
        <v>15</v>
      </c>
      <c r="D3890" s="28" t="s">
        <v>218</v>
      </c>
      <c r="E3890" s="26" t="s">
        <v>7997</v>
      </c>
      <c r="F3890" s="29" t="s">
        <v>220</v>
      </c>
    </row>
    <row r="3891" spans="1:6" ht="29" x14ac:dyDescent="0.35">
      <c r="A3891" s="26" t="s">
        <v>216</v>
      </c>
      <c r="B3891" s="26" t="s">
        <v>7998</v>
      </c>
      <c r="C3891" s="26" t="s">
        <v>17</v>
      </c>
      <c r="D3891" s="28" t="s">
        <v>7999</v>
      </c>
      <c r="E3891" s="26">
        <v>13436</v>
      </c>
      <c r="F3891" s="29" t="s">
        <v>247</v>
      </c>
    </row>
    <row r="3892" spans="1:6" ht="29" x14ac:dyDescent="0.35">
      <c r="A3892" s="26" t="s">
        <v>216</v>
      </c>
      <c r="B3892" s="26" t="s">
        <v>8000</v>
      </c>
      <c r="C3892" s="26" t="s">
        <v>20</v>
      </c>
      <c r="D3892" s="28" t="s">
        <v>8001</v>
      </c>
      <c r="E3892" s="26">
        <v>13436</v>
      </c>
      <c r="F3892" s="29" t="s">
        <v>223</v>
      </c>
    </row>
    <row r="3893" spans="1:6" ht="58" x14ac:dyDescent="0.35">
      <c r="A3893" s="26" t="s">
        <v>216</v>
      </c>
      <c r="B3893" s="26" t="s">
        <v>8002</v>
      </c>
      <c r="C3893" s="26" t="s">
        <v>25</v>
      </c>
      <c r="D3893" s="28" t="s">
        <v>8003</v>
      </c>
      <c r="E3893" s="26">
        <v>0</v>
      </c>
      <c r="F3893" s="29" t="s">
        <v>226</v>
      </c>
    </row>
    <row r="3894" spans="1:6" ht="43.5" x14ac:dyDescent="0.35">
      <c r="A3894" s="26" t="s">
        <v>216</v>
      </c>
      <c r="B3894" s="26" t="s">
        <v>8004</v>
      </c>
      <c r="C3894" s="26" t="s">
        <v>27</v>
      </c>
      <c r="D3894" s="28" t="s">
        <v>8005</v>
      </c>
      <c r="E3894" s="26">
        <v>0</v>
      </c>
      <c r="F3894" s="29" t="s">
        <v>229</v>
      </c>
    </row>
    <row r="3895" spans="1:6" ht="29" x14ac:dyDescent="0.35">
      <c r="A3895" s="26" t="s">
        <v>216</v>
      </c>
      <c r="B3895" s="26" t="s">
        <v>8006</v>
      </c>
      <c r="C3895" s="26" t="s">
        <v>24</v>
      </c>
      <c r="D3895" s="28" t="s">
        <v>8007</v>
      </c>
      <c r="E3895" s="26">
        <v>0</v>
      </c>
      <c r="F3895" s="29" t="s">
        <v>232</v>
      </c>
    </row>
    <row r="3896" spans="1:6" ht="43.5" x14ac:dyDescent="0.35">
      <c r="A3896" s="26" t="s">
        <v>216</v>
      </c>
      <c r="B3896" s="26" t="s">
        <v>8008</v>
      </c>
      <c r="C3896" s="26" t="s">
        <v>15</v>
      </c>
      <c r="D3896" s="28" t="s">
        <v>218</v>
      </c>
      <c r="E3896" s="26" t="s">
        <v>8009</v>
      </c>
      <c r="F3896" s="29" t="s">
        <v>220</v>
      </c>
    </row>
    <row r="3897" spans="1:6" ht="29" x14ac:dyDescent="0.35">
      <c r="A3897" s="26" t="s">
        <v>216</v>
      </c>
      <c r="B3897" s="26" t="s">
        <v>8010</v>
      </c>
      <c r="C3897" s="26" t="s">
        <v>17</v>
      </c>
      <c r="D3897" s="28" t="s">
        <v>8011</v>
      </c>
      <c r="E3897" s="26">
        <v>13436</v>
      </c>
      <c r="F3897" s="29" t="s">
        <v>247</v>
      </c>
    </row>
    <row r="3898" spans="1:6" ht="29" x14ac:dyDescent="0.35">
      <c r="A3898" s="26" t="s">
        <v>216</v>
      </c>
      <c r="B3898" s="26" t="s">
        <v>8012</v>
      </c>
      <c r="C3898" s="26" t="s">
        <v>20</v>
      </c>
      <c r="D3898" s="28" t="s">
        <v>8013</v>
      </c>
      <c r="E3898" s="26">
        <v>13436</v>
      </c>
      <c r="F3898" s="29" t="s">
        <v>223</v>
      </c>
    </row>
    <row r="3899" spans="1:6" ht="58" x14ac:dyDescent="0.35">
      <c r="A3899" s="26" t="s">
        <v>216</v>
      </c>
      <c r="B3899" s="26" t="s">
        <v>8014</v>
      </c>
      <c r="C3899" s="26" t="s">
        <v>25</v>
      </c>
      <c r="D3899" s="28" t="s">
        <v>8015</v>
      </c>
      <c r="E3899" s="26">
        <v>0</v>
      </c>
      <c r="F3899" s="29" t="s">
        <v>226</v>
      </c>
    </row>
    <row r="3900" spans="1:6" ht="43.5" x14ac:dyDescent="0.35">
      <c r="A3900" s="26" t="s">
        <v>216</v>
      </c>
      <c r="B3900" s="26" t="s">
        <v>8016</v>
      </c>
      <c r="C3900" s="26" t="s">
        <v>27</v>
      </c>
      <c r="D3900" s="28" t="s">
        <v>8017</v>
      </c>
      <c r="E3900" s="26">
        <v>0</v>
      </c>
      <c r="F3900" s="29" t="s">
        <v>229</v>
      </c>
    </row>
    <row r="3901" spans="1:6" ht="29" x14ac:dyDescent="0.35">
      <c r="A3901" s="26" t="s">
        <v>216</v>
      </c>
      <c r="B3901" s="26" t="s">
        <v>8018</v>
      </c>
      <c r="C3901" s="26" t="s">
        <v>24</v>
      </c>
      <c r="D3901" s="28" t="s">
        <v>8019</v>
      </c>
      <c r="E3901" s="26">
        <v>0</v>
      </c>
      <c r="F3901" s="29" t="s">
        <v>232</v>
      </c>
    </row>
    <row r="3902" spans="1:6" ht="43.5" x14ac:dyDescent="0.35">
      <c r="A3902" s="26" t="s">
        <v>216</v>
      </c>
      <c r="B3902" s="26" t="s">
        <v>8020</v>
      </c>
      <c r="C3902" s="26" t="s">
        <v>15</v>
      </c>
      <c r="D3902" s="28" t="s">
        <v>218</v>
      </c>
      <c r="E3902" s="26" t="s">
        <v>8021</v>
      </c>
      <c r="F3902" s="29" t="s">
        <v>220</v>
      </c>
    </row>
    <row r="3903" spans="1:6" ht="29" x14ac:dyDescent="0.35">
      <c r="A3903" s="26" t="s">
        <v>216</v>
      </c>
      <c r="B3903" s="26" t="s">
        <v>8022</v>
      </c>
      <c r="C3903" s="26" t="s">
        <v>17</v>
      </c>
      <c r="D3903" s="28" t="s">
        <v>8023</v>
      </c>
      <c r="E3903" s="26">
        <v>13436</v>
      </c>
      <c r="F3903" s="29" t="s">
        <v>247</v>
      </c>
    </row>
    <row r="3904" spans="1:6" ht="29" x14ac:dyDescent="0.35">
      <c r="A3904" s="26" t="s">
        <v>216</v>
      </c>
      <c r="B3904" s="26" t="s">
        <v>8024</v>
      </c>
      <c r="C3904" s="26" t="s">
        <v>20</v>
      </c>
      <c r="D3904" s="28" t="s">
        <v>8025</v>
      </c>
      <c r="E3904" s="26">
        <v>13436</v>
      </c>
      <c r="F3904" s="29" t="s">
        <v>223</v>
      </c>
    </row>
    <row r="3905" spans="1:6" ht="58" x14ac:dyDescent="0.35">
      <c r="A3905" s="26" t="s">
        <v>216</v>
      </c>
      <c r="B3905" s="26" t="s">
        <v>8026</v>
      </c>
      <c r="C3905" s="26" t="s">
        <v>25</v>
      </c>
      <c r="D3905" s="28" t="s">
        <v>8027</v>
      </c>
      <c r="E3905" s="26">
        <v>0</v>
      </c>
      <c r="F3905" s="29" t="s">
        <v>226</v>
      </c>
    </row>
    <row r="3906" spans="1:6" ht="43.5" x14ac:dyDescent="0.35">
      <c r="A3906" s="26" t="s">
        <v>216</v>
      </c>
      <c r="B3906" s="26" t="s">
        <v>8028</v>
      </c>
      <c r="C3906" s="26" t="s">
        <v>27</v>
      </c>
      <c r="D3906" s="28" t="s">
        <v>8029</v>
      </c>
      <c r="E3906" s="26">
        <v>0</v>
      </c>
      <c r="F3906" s="29" t="s">
        <v>229</v>
      </c>
    </row>
    <row r="3907" spans="1:6" ht="29" x14ac:dyDescent="0.35">
      <c r="A3907" s="26" t="s">
        <v>216</v>
      </c>
      <c r="B3907" s="26" t="s">
        <v>8030</v>
      </c>
      <c r="C3907" s="26" t="s">
        <v>24</v>
      </c>
      <c r="D3907" s="28" t="s">
        <v>8031</v>
      </c>
      <c r="E3907" s="26">
        <v>0</v>
      </c>
      <c r="F3907" s="29" t="s">
        <v>232</v>
      </c>
    </row>
    <row r="3908" spans="1:6" ht="43.5" x14ac:dyDescent="0.35">
      <c r="A3908" s="26" t="s">
        <v>216</v>
      </c>
      <c r="B3908" s="26" t="s">
        <v>8032</v>
      </c>
      <c r="C3908" s="26" t="s">
        <v>15</v>
      </c>
      <c r="D3908" s="28" t="s">
        <v>218</v>
      </c>
      <c r="E3908" s="26" t="s">
        <v>8033</v>
      </c>
      <c r="F3908" s="29" t="s">
        <v>220</v>
      </c>
    </row>
    <row r="3909" spans="1:6" ht="29" x14ac:dyDescent="0.35">
      <c r="A3909" s="26" t="s">
        <v>216</v>
      </c>
      <c r="B3909" s="26" t="s">
        <v>8034</v>
      </c>
      <c r="C3909" s="26" t="s">
        <v>17</v>
      </c>
      <c r="D3909" s="28" t="s">
        <v>8035</v>
      </c>
      <c r="E3909" s="26">
        <v>13436</v>
      </c>
      <c r="F3909" s="29" t="s">
        <v>247</v>
      </c>
    </row>
    <row r="3910" spans="1:6" ht="29" x14ac:dyDescent="0.35">
      <c r="A3910" s="26" t="s">
        <v>216</v>
      </c>
      <c r="B3910" s="26" t="s">
        <v>8036</v>
      </c>
      <c r="C3910" s="26" t="s">
        <v>20</v>
      </c>
      <c r="D3910" s="28" t="s">
        <v>8037</v>
      </c>
      <c r="E3910" s="26">
        <v>13436</v>
      </c>
      <c r="F3910" s="29" t="s">
        <v>223</v>
      </c>
    </row>
    <row r="3911" spans="1:6" ht="58" x14ac:dyDescent="0.35">
      <c r="A3911" s="26" t="s">
        <v>216</v>
      </c>
      <c r="B3911" s="26" t="s">
        <v>8038</v>
      </c>
      <c r="C3911" s="26" t="s">
        <v>25</v>
      </c>
      <c r="D3911" s="28" t="s">
        <v>8039</v>
      </c>
      <c r="E3911" s="26">
        <v>0</v>
      </c>
      <c r="F3911" s="29" t="s">
        <v>226</v>
      </c>
    </row>
    <row r="3912" spans="1:6" ht="43.5" x14ac:dyDescent="0.35">
      <c r="A3912" s="26" t="s">
        <v>216</v>
      </c>
      <c r="B3912" s="26" t="s">
        <v>8040</v>
      </c>
      <c r="C3912" s="26" t="s">
        <v>27</v>
      </c>
      <c r="D3912" s="28" t="s">
        <v>8041</v>
      </c>
      <c r="E3912" s="26">
        <v>0</v>
      </c>
      <c r="F3912" s="29" t="s">
        <v>229</v>
      </c>
    </row>
    <row r="3913" spans="1:6" ht="29" x14ac:dyDescent="0.35">
      <c r="A3913" s="26" t="s">
        <v>216</v>
      </c>
      <c r="B3913" s="26" t="s">
        <v>8042</v>
      </c>
      <c r="C3913" s="26" t="s">
        <v>24</v>
      </c>
      <c r="D3913" s="28" t="s">
        <v>8043</v>
      </c>
      <c r="E3913" s="26">
        <v>0</v>
      </c>
      <c r="F3913" s="29" t="s">
        <v>232</v>
      </c>
    </row>
    <row r="3914" spans="1:6" ht="43.5" x14ac:dyDescent="0.35">
      <c r="A3914" s="26" t="s">
        <v>216</v>
      </c>
      <c r="B3914" s="26" t="s">
        <v>8044</v>
      </c>
      <c r="C3914" s="26" t="s">
        <v>15</v>
      </c>
      <c r="D3914" s="28" t="s">
        <v>218</v>
      </c>
      <c r="E3914" s="26" t="s">
        <v>8045</v>
      </c>
      <c r="F3914" s="29" t="s">
        <v>220</v>
      </c>
    </row>
    <row r="3915" spans="1:6" ht="29" x14ac:dyDescent="0.35">
      <c r="A3915" s="26" t="s">
        <v>216</v>
      </c>
      <c r="B3915" s="26" t="s">
        <v>8046</v>
      </c>
      <c r="C3915" s="26" t="s">
        <v>17</v>
      </c>
      <c r="D3915" s="28" t="s">
        <v>8047</v>
      </c>
      <c r="E3915" s="26">
        <v>13436</v>
      </c>
      <c r="F3915" s="29" t="s">
        <v>247</v>
      </c>
    </row>
    <row r="3916" spans="1:6" ht="29" x14ac:dyDescent="0.35">
      <c r="A3916" s="26" t="s">
        <v>216</v>
      </c>
      <c r="B3916" s="26" t="s">
        <v>8048</v>
      </c>
      <c r="C3916" s="26" t="s">
        <v>20</v>
      </c>
      <c r="D3916" s="28" t="s">
        <v>8049</v>
      </c>
      <c r="E3916" s="26">
        <v>13436</v>
      </c>
      <c r="F3916" s="29" t="s">
        <v>223</v>
      </c>
    </row>
    <row r="3917" spans="1:6" ht="58" x14ac:dyDescent="0.35">
      <c r="A3917" s="26" t="s">
        <v>216</v>
      </c>
      <c r="B3917" s="26" t="s">
        <v>8050</v>
      </c>
      <c r="C3917" s="26" t="s">
        <v>25</v>
      </c>
      <c r="D3917" s="28" t="s">
        <v>8051</v>
      </c>
      <c r="E3917" s="26">
        <v>0</v>
      </c>
      <c r="F3917" s="29" t="s">
        <v>226</v>
      </c>
    </row>
    <row r="3918" spans="1:6" ht="43.5" x14ac:dyDescent="0.35">
      <c r="A3918" s="26" t="s">
        <v>216</v>
      </c>
      <c r="B3918" s="26" t="s">
        <v>8052</v>
      </c>
      <c r="C3918" s="26" t="s">
        <v>27</v>
      </c>
      <c r="D3918" s="28" t="s">
        <v>8053</v>
      </c>
      <c r="E3918" s="26">
        <v>0</v>
      </c>
      <c r="F3918" s="29" t="s">
        <v>229</v>
      </c>
    </row>
    <row r="3919" spans="1:6" ht="29" x14ac:dyDescent="0.35">
      <c r="A3919" s="26" t="s">
        <v>216</v>
      </c>
      <c r="B3919" s="26" t="s">
        <v>8054</v>
      </c>
      <c r="C3919" s="26" t="s">
        <v>24</v>
      </c>
      <c r="D3919" s="28" t="s">
        <v>8055</v>
      </c>
      <c r="E3919" s="26">
        <v>0</v>
      </c>
      <c r="F3919" s="29" t="s">
        <v>232</v>
      </c>
    </row>
    <row r="3920" spans="1:6" ht="43.5" x14ac:dyDescent="0.35">
      <c r="A3920" s="26" t="s">
        <v>216</v>
      </c>
      <c r="B3920" s="26" t="s">
        <v>8056</v>
      </c>
      <c r="C3920" s="26" t="s">
        <v>15</v>
      </c>
      <c r="D3920" s="28" t="s">
        <v>218</v>
      </c>
      <c r="E3920" s="26" t="s">
        <v>8057</v>
      </c>
      <c r="F3920" s="29" t="s">
        <v>220</v>
      </c>
    </row>
    <row r="3921" spans="1:6" ht="29" x14ac:dyDescent="0.35">
      <c r="A3921" s="26" t="s">
        <v>216</v>
      </c>
      <c r="B3921" s="26" t="s">
        <v>8058</v>
      </c>
      <c r="C3921" s="26" t="s">
        <v>17</v>
      </c>
      <c r="D3921" s="28" t="s">
        <v>8059</v>
      </c>
      <c r="E3921" s="26">
        <v>13436</v>
      </c>
      <c r="F3921" s="29" t="s">
        <v>247</v>
      </c>
    </row>
    <row r="3922" spans="1:6" ht="29" x14ac:dyDescent="0.35">
      <c r="A3922" s="26" t="s">
        <v>216</v>
      </c>
      <c r="B3922" s="26" t="s">
        <v>8060</v>
      </c>
      <c r="C3922" s="26" t="s">
        <v>20</v>
      </c>
      <c r="D3922" s="28" t="s">
        <v>8061</v>
      </c>
      <c r="E3922" s="26">
        <v>13436</v>
      </c>
      <c r="F3922" s="29" t="s">
        <v>223</v>
      </c>
    </row>
    <row r="3923" spans="1:6" ht="58" x14ac:dyDescent="0.35">
      <c r="A3923" s="26" t="s">
        <v>216</v>
      </c>
      <c r="B3923" s="26" t="s">
        <v>8062</v>
      </c>
      <c r="C3923" s="26" t="s">
        <v>25</v>
      </c>
      <c r="D3923" s="28" t="s">
        <v>8063</v>
      </c>
      <c r="E3923" s="26">
        <v>0</v>
      </c>
      <c r="F3923" s="29" t="s">
        <v>226</v>
      </c>
    </row>
    <row r="3924" spans="1:6" ht="43.5" x14ac:dyDescent="0.35">
      <c r="A3924" s="26" t="s">
        <v>216</v>
      </c>
      <c r="B3924" s="26" t="s">
        <v>8064</v>
      </c>
      <c r="C3924" s="26" t="s">
        <v>27</v>
      </c>
      <c r="D3924" s="28" t="s">
        <v>8065</v>
      </c>
      <c r="E3924" s="26">
        <v>0</v>
      </c>
      <c r="F3924" s="29" t="s">
        <v>229</v>
      </c>
    </row>
    <row r="3925" spans="1:6" ht="29" x14ac:dyDescent="0.35">
      <c r="A3925" s="26" t="s">
        <v>216</v>
      </c>
      <c r="B3925" s="26" t="s">
        <v>8066</v>
      </c>
      <c r="C3925" s="26" t="s">
        <v>24</v>
      </c>
      <c r="D3925" s="28" t="s">
        <v>8067</v>
      </c>
      <c r="E3925" s="26">
        <v>0</v>
      </c>
      <c r="F3925" s="29" t="s">
        <v>232</v>
      </c>
    </row>
    <row r="3926" spans="1:6" ht="43.5" x14ac:dyDescent="0.35">
      <c r="A3926" s="26" t="s">
        <v>216</v>
      </c>
      <c r="B3926" s="26" t="s">
        <v>8068</v>
      </c>
      <c r="C3926" s="26" t="s">
        <v>15</v>
      </c>
      <c r="D3926" s="28" t="s">
        <v>218</v>
      </c>
      <c r="E3926" s="26" t="s">
        <v>8069</v>
      </c>
      <c r="F3926" s="29" t="s">
        <v>220</v>
      </c>
    </row>
    <row r="3927" spans="1:6" ht="29" x14ac:dyDescent="0.35">
      <c r="A3927" s="26" t="s">
        <v>216</v>
      </c>
      <c r="B3927" s="26" t="s">
        <v>8070</v>
      </c>
      <c r="C3927" s="26" t="s">
        <v>17</v>
      </c>
      <c r="D3927" s="28" t="s">
        <v>8071</v>
      </c>
      <c r="E3927" s="26">
        <v>13436</v>
      </c>
      <c r="F3927" s="29" t="s">
        <v>247</v>
      </c>
    </row>
    <row r="3928" spans="1:6" ht="29" x14ac:dyDescent="0.35">
      <c r="A3928" s="26" t="s">
        <v>216</v>
      </c>
      <c r="B3928" s="26" t="s">
        <v>8072</v>
      </c>
      <c r="C3928" s="26" t="s">
        <v>20</v>
      </c>
      <c r="D3928" s="28" t="s">
        <v>8073</v>
      </c>
      <c r="E3928" s="26">
        <v>13436</v>
      </c>
      <c r="F3928" s="29" t="s">
        <v>223</v>
      </c>
    </row>
    <row r="3929" spans="1:6" ht="58" x14ac:dyDescent="0.35">
      <c r="A3929" s="26" t="s">
        <v>216</v>
      </c>
      <c r="B3929" s="26" t="s">
        <v>8074</v>
      </c>
      <c r="C3929" s="26" t="s">
        <v>25</v>
      </c>
      <c r="D3929" s="28" t="s">
        <v>8075</v>
      </c>
      <c r="E3929" s="26">
        <v>0</v>
      </c>
      <c r="F3929" s="29" t="s">
        <v>226</v>
      </c>
    </row>
    <row r="3930" spans="1:6" ht="43.5" x14ac:dyDescent="0.35">
      <c r="A3930" s="26" t="s">
        <v>216</v>
      </c>
      <c r="B3930" s="26" t="s">
        <v>8076</v>
      </c>
      <c r="C3930" s="26" t="s">
        <v>27</v>
      </c>
      <c r="D3930" s="28" t="s">
        <v>8077</v>
      </c>
      <c r="E3930" s="26">
        <v>0</v>
      </c>
      <c r="F3930" s="29" t="s">
        <v>229</v>
      </c>
    </row>
    <row r="3931" spans="1:6" ht="29" x14ac:dyDescent="0.35">
      <c r="A3931" s="26" t="s">
        <v>216</v>
      </c>
      <c r="B3931" s="26" t="s">
        <v>8078</v>
      </c>
      <c r="C3931" s="26" t="s">
        <v>24</v>
      </c>
      <c r="D3931" s="28" t="s">
        <v>8079</v>
      </c>
      <c r="E3931" s="26">
        <v>0</v>
      </c>
      <c r="F3931" s="29" t="s">
        <v>232</v>
      </c>
    </row>
    <row r="3932" spans="1:6" ht="43.5" x14ac:dyDescent="0.35">
      <c r="A3932" s="26" t="s">
        <v>216</v>
      </c>
      <c r="B3932" s="26" t="s">
        <v>8080</v>
      </c>
      <c r="C3932" s="26" t="s">
        <v>15</v>
      </c>
      <c r="D3932" s="28" t="s">
        <v>218</v>
      </c>
      <c r="E3932" s="26" t="s">
        <v>8081</v>
      </c>
      <c r="F3932" s="29" t="s">
        <v>220</v>
      </c>
    </row>
    <row r="3933" spans="1:6" ht="29" x14ac:dyDescent="0.35">
      <c r="A3933" s="26" t="s">
        <v>216</v>
      </c>
      <c r="B3933" s="26" t="s">
        <v>8082</v>
      </c>
      <c r="C3933" s="26" t="s">
        <v>17</v>
      </c>
      <c r="D3933" s="28" t="s">
        <v>8083</v>
      </c>
      <c r="E3933" s="26">
        <v>13436</v>
      </c>
      <c r="F3933" s="29" t="s">
        <v>247</v>
      </c>
    </row>
    <row r="3934" spans="1:6" ht="29" x14ac:dyDescent="0.35">
      <c r="A3934" s="26" t="s">
        <v>216</v>
      </c>
      <c r="B3934" s="26" t="s">
        <v>8084</v>
      </c>
      <c r="C3934" s="26" t="s">
        <v>20</v>
      </c>
      <c r="D3934" s="28" t="s">
        <v>8085</v>
      </c>
      <c r="E3934" s="26">
        <v>13436</v>
      </c>
      <c r="F3934" s="29" t="s">
        <v>223</v>
      </c>
    </row>
    <row r="3935" spans="1:6" ht="58" x14ac:dyDescent="0.35">
      <c r="A3935" s="26" t="s">
        <v>216</v>
      </c>
      <c r="B3935" s="26" t="s">
        <v>8086</v>
      </c>
      <c r="C3935" s="26" t="s">
        <v>25</v>
      </c>
      <c r="D3935" s="28" t="s">
        <v>8087</v>
      </c>
      <c r="E3935" s="26">
        <v>0</v>
      </c>
      <c r="F3935" s="29" t="s">
        <v>226</v>
      </c>
    </row>
    <row r="3936" spans="1:6" ht="43.5" x14ac:dyDescent="0.35">
      <c r="A3936" s="26" t="s">
        <v>216</v>
      </c>
      <c r="B3936" s="26" t="s">
        <v>8088</v>
      </c>
      <c r="C3936" s="26" t="s">
        <v>27</v>
      </c>
      <c r="D3936" s="28" t="s">
        <v>8089</v>
      </c>
      <c r="E3936" s="26">
        <v>0</v>
      </c>
      <c r="F3936" s="29" t="s">
        <v>229</v>
      </c>
    </row>
    <row r="3937" spans="1:6" ht="29" x14ac:dyDescent="0.35">
      <c r="A3937" s="26" t="s">
        <v>216</v>
      </c>
      <c r="B3937" s="26" t="s">
        <v>8090</v>
      </c>
      <c r="C3937" s="26" t="s">
        <v>24</v>
      </c>
      <c r="D3937" s="28" t="s">
        <v>8091</v>
      </c>
      <c r="E3937" s="26">
        <v>0</v>
      </c>
      <c r="F3937" s="29" t="s">
        <v>232</v>
      </c>
    </row>
    <row r="3938" spans="1:6" ht="43.5" x14ac:dyDescent="0.35">
      <c r="A3938" s="26" t="s">
        <v>216</v>
      </c>
      <c r="B3938" s="26" t="s">
        <v>8092</v>
      </c>
      <c r="C3938" s="26" t="s">
        <v>15</v>
      </c>
      <c r="D3938" s="28" t="s">
        <v>218</v>
      </c>
      <c r="E3938" s="26" t="s">
        <v>8093</v>
      </c>
      <c r="F3938" s="29" t="s">
        <v>220</v>
      </c>
    </row>
    <row r="3939" spans="1:6" ht="29" x14ac:dyDescent="0.35">
      <c r="A3939" s="26" t="s">
        <v>216</v>
      </c>
      <c r="B3939" s="26" t="s">
        <v>8094</v>
      </c>
      <c r="C3939" s="26" t="s">
        <v>17</v>
      </c>
      <c r="D3939" s="28" t="s">
        <v>8095</v>
      </c>
      <c r="E3939" s="26">
        <v>13436</v>
      </c>
      <c r="F3939" s="29" t="s">
        <v>247</v>
      </c>
    </row>
    <row r="3940" spans="1:6" ht="29" x14ac:dyDescent="0.35">
      <c r="A3940" s="26" t="s">
        <v>216</v>
      </c>
      <c r="B3940" s="26" t="s">
        <v>8096</v>
      </c>
      <c r="C3940" s="26" t="s">
        <v>20</v>
      </c>
      <c r="D3940" s="28" t="s">
        <v>8097</v>
      </c>
      <c r="E3940" s="26">
        <v>13436</v>
      </c>
      <c r="F3940" s="29" t="s">
        <v>223</v>
      </c>
    </row>
    <row r="3941" spans="1:6" ht="58" x14ac:dyDescent="0.35">
      <c r="A3941" s="26" t="s">
        <v>216</v>
      </c>
      <c r="B3941" s="26" t="s">
        <v>8098</v>
      </c>
      <c r="C3941" s="26" t="s">
        <v>25</v>
      </c>
      <c r="D3941" s="28" t="s">
        <v>8099</v>
      </c>
      <c r="E3941" s="26">
        <v>0</v>
      </c>
      <c r="F3941" s="29" t="s">
        <v>226</v>
      </c>
    </row>
    <row r="3942" spans="1:6" ht="43.5" x14ac:dyDescent="0.35">
      <c r="A3942" s="26" t="s">
        <v>216</v>
      </c>
      <c r="B3942" s="26" t="s">
        <v>8100</v>
      </c>
      <c r="C3942" s="26" t="s">
        <v>27</v>
      </c>
      <c r="D3942" s="28" t="s">
        <v>8101</v>
      </c>
      <c r="E3942" s="26">
        <v>0</v>
      </c>
      <c r="F3942" s="29" t="s">
        <v>229</v>
      </c>
    </row>
    <row r="3943" spans="1:6" ht="29" x14ac:dyDescent="0.35">
      <c r="A3943" s="26" t="s">
        <v>216</v>
      </c>
      <c r="B3943" s="26" t="s">
        <v>8102</v>
      </c>
      <c r="C3943" s="26" t="s">
        <v>24</v>
      </c>
      <c r="D3943" s="28" t="s">
        <v>8103</v>
      </c>
      <c r="E3943" s="26">
        <v>0</v>
      </c>
      <c r="F3943" s="29" t="s">
        <v>232</v>
      </c>
    </row>
    <row r="3944" spans="1:6" ht="43.5" x14ac:dyDescent="0.35">
      <c r="A3944" s="26" t="s">
        <v>216</v>
      </c>
      <c r="B3944" s="26" t="s">
        <v>8104</v>
      </c>
      <c r="C3944" s="26" t="s">
        <v>15</v>
      </c>
      <c r="D3944" s="28" t="s">
        <v>218</v>
      </c>
      <c r="E3944" s="26" t="s">
        <v>8105</v>
      </c>
      <c r="F3944" s="29" t="s">
        <v>220</v>
      </c>
    </row>
    <row r="3945" spans="1:6" ht="29" x14ac:dyDescent="0.35">
      <c r="A3945" s="26" t="s">
        <v>216</v>
      </c>
      <c r="B3945" s="26" t="s">
        <v>8106</v>
      </c>
      <c r="C3945" s="26" t="s">
        <v>17</v>
      </c>
      <c r="D3945" s="28" t="s">
        <v>8107</v>
      </c>
      <c r="E3945" s="26">
        <v>13436</v>
      </c>
      <c r="F3945" s="29" t="s">
        <v>247</v>
      </c>
    </row>
    <row r="3946" spans="1:6" ht="29" x14ac:dyDescent="0.35">
      <c r="A3946" s="26" t="s">
        <v>216</v>
      </c>
      <c r="B3946" s="26" t="s">
        <v>8108</v>
      </c>
      <c r="C3946" s="26" t="s">
        <v>20</v>
      </c>
      <c r="D3946" s="28" t="s">
        <v>8109</v>
      </c>
      <c r="E3946" s="26">
        <v>13436</v>
      </c>
      <c r="F3946" s="29" t="s">
        <v>223</v>
      </c>
    </row>
    <row r="3947" spans="1:6" ht="58" x14ac:dyDescent="0.35">
      <c r="A3947" s="26" t="s">
        <v>216</v>
      </c>
      <c r="B3947" s="26" t="s">
        <v>8110</v>
      </c>
      <c r="C3947" s="26" t="s">
        <v>25</v>
      </c>
      <c r="D3947" s="28" t="s">
        <v>8111</v>
      </c>
      <c r="E3947" s="26">
        <v>0</v>
      </c>
      <c r="F3947" s="29" t="s">
        <v>226</v>
      </c>
    </row>
    <row r="3948" spans="1:6" ht="43.5" x14ac:dyDescent="0.35">
      <c r="A3948" s="26" t="s">
        <v>216</v>
      </c>
      <c r="B3948" s="26" t="s">
        <v>8112</v>
      </c>
      <c r="C3948" s="26" t="s">
        <v>27</v>
      </c>
      <c r="D3948" s="28" t="s">
        <v>8113</v>
      </c>
      <c r="E3948" s="26">
        <v>0</v>
      </c>
      <c r="F3948" s="29" t="s">
        <v>229</v>
      </c>
    </row>
    <row r="3949" spans="1:6" ht="29" x14ac:dyDescent="0.35">
      <c r="A3949" s="26" t="s">
        <v>216</v>
      </c>
      <c r="B3949" s="26" t="s">
        <v>8114</v>
      </c>
      <c r="C3949" s="26" t="s">
        <v>24</v>
      </c>
      <c r="D3949" s="28" t="s">
        <v>8115</v>
      </c>
      <c r="E3949" s="26">
        <v>0</v>
      </c>
      <c r="F3949" s="29" t="s">
        <v>232</v>
      </c>
    </row>
    <row r="3950" spans="1:6" ht="43.5" x14ac:dyDescent="0.35">
      <c r="A3950" s="26" t="s">
        <v>216</v>
      </c>
      <c r="B3950" s="26" t="s">
        <v>8116</v>
      </c>
      <c r="C3950" s="26" t="s">
        <v>15</v>
      </c>
      <c r="D3950" s="28" t="s">
        <v>218</v>
      </c>
      <c r="E3950" s="26" t="s">
        <v>8117</v>
      </c>
      <c r="F3950" s="29" t="s">
        <v>220</v>
      </c>
    </row>
    <row r="3951" spans="1:6" ht="29" x14ac:dyDescent="0.35">
      <c r="A3951" s="26" t="s">
        <v>216</v>
      </c>
      <c r="B3951" s="26" t="s">
        <v>8118</v>
      </c>
      <c r="C3951" s="26" t="s">
        <v>17</v>
      </c>
      <c r="D3951" s="28" t="s">
        <v>8119</v>
      </c>
      <c r="E3951" s="26">
        <v>13436</v>
      </c>
      <c r="F3951" s="29" t="s">
        <v>247</v>
      </c>
    </row>
    <row r="3952" spans="1:6" ht="29" x14ac:dyDescent="0.35">
      <c r="A3952" s="26" t="s">
        <v>216</v>
      </c>
      <c r="B3952" s="26" t="s">
        <v>8120</v>
      </c>
      <c r="C3952" s="26" t="s">
        <v>20</v>
      </c>
      <c r="D3952" s="28" t="s">
        <v>8121</v>
      </c>
      <c r="E3952" s="26">
        <v>13436</v>
      </c>
      <c r="F3952" s="29" t="s">
        <v>223</v>
      </c>
    </row>
    <row r="3953" spans="1:6" ht="58" x14ac:dyDescent="0.35">
      <c r="A3953" s="26" t="s">
        <v>216</v>
      </c>
      <c r="B3953" s="26" t="s">
        <v>8122</v>
      </c>
      <c r="C3953" s="26" t="s">
        <v>25</v>
      </c>
      <c r="D3953" s="28" t="s">
        <v>8123</v>
      </c>
      <c r="E3953" s="26">
        <v>0</v>
      </c>
      <c r="F3953" s="29" t="s">
        <v>226</v>
      </c>
    </row>
    <row r="3954" spans="1:6" ht="43.5" x14ac:dyDescent="0.35">
      <c r="A3954" s="26" t="s">
        <v>216</v>
      </c>
      <c r="B3954" s="26" t="s">
        <v>8124</v>
      </c>
      <c r="C3954" s="26" t="s">
        <v>27</v>
      </c>
      <c r="D3954" s="28" t="s">
        <v>8125</v>
      </c>
      <c r="E3954" s="26">
        <v>0</v>
      </c>
      <c r="F3954" s="29" t="s">
        <v>229</v>
      </c>
    </row>
    <row r="3955" spans="1:6" ht="29" x14ac:dyDescent="0.35">
      <c r="A3955" s="26" t="s">
        <v>216</v>
      </c>
      <c r="B3955" s="26" t="s">
        <v>8126</v>
      </c>
      <c r="C3955" s="26" t="s">
        <v>24</v>
      </c>
      <c r="D3955" s="28" t="s">
        <v>8127</v>
      </c>
      <c r="E3955" s="26">
        <v>0</v>
      </c>
      <c r="F3955" s="29" t="s">
        <v>232</v>
      </c>
    </row>
    <row r="3956" spans="1:6" ht="43.5" x14ac:dyDescent="0.35">
      <c r="A3956" s="26" t="s">
        <v>216</v>
      </c>
      <c r="B3956" s="26" t="s">
        <v>8128</v>
      </c>
      <c r="C3956" s="26" t="s">
        <v>15</v>
      </c>
      <c r="D3956" s="28" t="s">
        <v>218</v>
      </c>
      <c r="E3956" s="26" t="s">
        <v>8129</v>
      </c>
      <c r="F3956" s="29" t="s">
        <v>220</v>
      </c>
    </row>
    <row r="3957" spans="1:6" ht="29" x14ac:dyDescent="0.35">
      <c r="A3957" s="26" t="s">
        <v>216</v>
      </c>
      <c r="B3957" s="26" t="s">
        <v>8130</v>
      </c>
      <c r="C3957" s="26" t="s">
        <v>17</v>
      </c>
      <c r="D3957" s="28" t="s">
        <v>8131</v>
      </c>
      <c r="E3957" s="26">
        <v>13436</v>
      </c>
      <c r="F3957" s="29" t="s">
        <v>247</v>
      </c>
    </row>
    <row r="3958" spans="1:6" ht="29" x14ac:dyDescent="0.35">
      <c r="A3958" s="26" t="s">
        <v>216</v>
      </c>
      <c r="B3958" s="26" t="s">
        <v>8132</v>
      </c>
      <c r="C3958" s="26" t="s">
        <v>20</v>
      </c>
      <c r="D3958" s="28" t="s">
        <v>8133</v>
      </c>
      <c r="E3958" s="26">
        <v>13436</v>
      </c>
      <c r="F3958" s="29" t="s">
        <v>223</v>
      </c>
    </row>
    <row r="3959" spans="1:6" ht="58" x14ac:dyDescent="0.35">
      <c r="A3959" s="26" t="s">
        <v>216</v>
      </c>
      <c r="B3959" s="26" t="s">
        <v>8134</v>
      </c>
      <c r="C3959" s="26" t="s">
        <v>25</v>
      </c>
      <c r="D3959" s="28" t="s">
        <v>8135</v>
      </c>
      <c r="E3959" s="26">
        <v>0</v>
      </c>
      <c r="F3959" s="29" t="s">
        <v>226</v>
      </c>
    </row>
    <row r="3960" spans="1:6" ht="43.5" x14ac:dyDescent="0.35">
      <c r="A3960" s="26" t="s">
        <v>216</v>
      </c>
      <c r="B3960" s="26" t="s">
        <v>8136</v>
      </c>
      <c r="C3960" s="26" t="s">
        <v>27</v>
      </c>
      <c r="D3960" s="28" t="s">
        <v>8137</v>
      </c>
      <c r="E3960" s="26">
        <v>0</v>
      </c>
      <c r="F3960" s="29" t="s">
        <v>229</v>
      </c>
    </row>
    <row r="3961" spans="1:6" ht="29" x14ac:dyDescent="0.35">
      <c r="A3961" s="26" t="s">
        <v>216</v>
      </c>
      <c r="B3961" s="26" t="s">
        <v>8138</v>
      </c>
      <c r="C3961" s="26" t="s">
        <v>24</v>
      </c>
      <c r="D3961" s="28" t="s">
        <v>8139</v>
      </c>
      <c r="E3961" s="26">
        <v>0</v>
      </c>
      <c r="F3961" s="29" t="s">
        <v>232</v>
      </c>
    </row>
    <row r="3962" spans="1:6" ht="43.5" x14ac:dyDescent="0.35">
      <c r="A3962" s="26" t="s">
        <v>216</v>
      </c>
      <c r="B3962" s="26" t="s">
        <v>8140</v>
      </c>
      <c r="C3962" s="26" t="s">
        <v>15</v>
      </c>
      <c r="D3962" s="28" t="s">
        <v>218</v>
      </c>
      <c r="E3962" s="26" t="s">
        <v>8141</v>
      </c>
      <c r="F3962" s="29" t="s">
        <v>220</v>
      </c>
    </row>
    <row r="3963" spans="1:6" ht="29" x14ac:dyDescent="0.35">
      <c r="A3963" s="26" t="s">
        <v>216</v>
      </c>
      <c r="B3963" s="26" t="s">
        <v>8142</v>
      </c>
      <c r="C3963" s="26" t="s">
        <v>17</v>
      </c>
      <c r="D3963" s="28" t="s">
        <v>8143</v>
      </c>
      <c r="E3963" s="26">
        <v>13436</v>
      </c>
      <c r="F3963" s="29" t="s">
        <v>247</v>
      </c>
    </row>
    <row r="3964" spans="1:6" ht="29" x14ac:dyDescent="0.35">
      <c r="A3964" s="26" t="s">
        <v>216</v>
      </c>
      <c r="B3964" s="26" t="s">
        <v>8144</v>
      </c>
      <c r="C3964" s="26" t="s">
        <v>20</v>
      </c>
      <c r="D3964" s="28" t="s">
        <v>8145</v>
      </c>
      <c r="E3964" s="26">
        <v>13436</v>
      </c>
      <c r="F3964" s="29" t="s">
        <v>223</v>
      </c>
    </row>
    <row r="3965" spans="1:6" ht="58" x14ac:dyDescent="0.35">
      <c r="A3965" s="26" t="s">
        <v>216</v>
      </c>
      <c r="B3965" s="26" t="s">
        <v>8146</v>
      </c>
      <c r="C3965" s="26" t="s">
        <v>25</v>
      </c>
      <c r="D3965" s="28" t="s">
        <v>8147</v>
      </c>
      <c r="E3965" s="26">
        <v>0</v>
      </c>
      <c r="F3965" s="29" t="s">
        <v>226</v>
      </c>
    </row>
    <row r="3966" spans="1:6" ht="43.5" x14ac:dyDescent="0.35">
      <c r="A3966" s="26" t="s">
        <v>216</v>
      </c>
      <c r="B3966" s="26" t="s">
        <v>8148</v>
      </c>
      <c r="C3966" s="26" t="s">
        <v>27</v>
      </c>
      <c r="D3966" s="28" t="s">
        <v>8149</v>
      </c>
      <c r="E3966" s="26">
        <v>0</v>
      </c>
      <c r="F3966" s="29" t="s">
        <v>229</v>
      </c>
    </row>
    <row r="3967" spans="1:6" ht="29" x14ac:dyDescent="0.35">
      <c r="A3967" s="26" t="s">
        <v>216</v>
      </c>
      <c r="B3967" s="26" t="s">
        <v>8150</v>
      </c>
      <c r="C3967" s="26" t="s">
        <v>24</v>
      </c>
      <c r="D3967" s="28" t="s">
        <v>8151</v>
      </c>
      <c r="E3967" s="26">
        <v>0</v>
      </c>
      <c r="F3967" s="29" t="s">
        <v>232</v>
      </c>
    </row>
    <row r="3968" spans="1:6" ht="43.5" x14ac:dyDescent="0.35">
      <c r="A3968" s="26" t="s">
        <v>216</v>
      </c>
      <c r="B3968" s="26" t="s">
        <v>8152</v>
      </c>
      <c r="C3968" s="26" t="s">
        <v>15</v>
      </c>
      <c r="D3968" s="28" t="s">
        <v>218</v>
      </c>
      <c r="E3968" s="26" t="s">
        <v>8153</v>
      </c>
      <c r="F3968" s="29" t="s">
        <v>220</v>
      </c>
    </row>
    <row r="3969" spans="1:6" ht="29" x14ac:dyDescent="0.35">
      <c r="A3969" s="26" t="s">
        <v>216</v>
      </c>
      <c r="B3969" s="26" t="s">
        <v>8154</v>
      </c>
      <c r="C3969" s="26" t="s">
        <v>17</v>
      </c>
      <c r="D3969" s="28" t="s">
        <v>8155</v>
      </c>
      <c r="E3969" s="26">
        <v>13436</v>
      </c>
      <c r="F3969" s="29" t="s">
        <v>247</v>
      </c>
    </row>
    <row r="3970" spans="1:6" ht="29" x14ac:dyDescent="0.35">
      <c r="A3970" s="26" t="s">
        <v>216</v>
      </c>
      <c r="B3970" s="26" t="s">
        <v>8156</v>
      </c>
      <c r="C3970" s="26" t="s">
        <v>20</v>
      </c>
      <c r="D3970" s="28" t="s">
        <v>8157</v>
      </c>
      <c r="E3970" s="26">
        <v>13436</v>
      </c>
      <c r="F3970" s="29" t="s">
        <v>223</v>
      </c>
    </row>
    <row r="3971" spans="1:6" ht="58" x14ac:dyDescent="0.35">
      <c r="A3971" s="26" t="s">
        <v>216</v>
      </c>
      <c r="B3971" s="26" t="s">
        <v>8158</v>
      </c>
      <c r="C3971" s="26" t="s">
        <v>25</v>
      </c>
      <c r="D3971" s="28" t="s">
        <v>8159</v>
      </c>
      <c r="E3971" s="26">
        <v>0</v>
      </c>
      <c r="F3971" s="29" t="s">
        <v>226</v>
      </c>
    </row>
    <row r="3972" spans="1:6" ht="43.5" x14ac:dyDescent="0.35">
      <c r="A3972" s="26" t="s">
        <v>216</v>
      </c>
      <c r="B3972" s="26" t="s">
        <v>8160</v>
      </c>
      <c r="C3972" s="26" t="s">
        <v>27</v>
      </c>
      <c r="D3972" s="28" t="s">
        <v>8161</v>
      </c>
      <c r="E3972" s="26">
        <v>0</v>
      </c>
      <c r="F3972" s="29" t="s">
        <v>229</v>
      </c>
    </row>
    <row r="3973" spans="1:6" ht="29" x14ac:dyDescent="0.35">
      <c r="A3973" s="26" t="s">
        <v>216</v>
      </c>
      <c r="B3973" s="26" t="s">
        <v>8162</v>
      </c>
      <c r="C3973" s="26" t="s">
        <v>24</v>
      </c>
      <c r="D3973" s="28" t="s">
        <v>8163</v>
      </c>
      <c r="E3973" s="26">
        <v>0</v>
      </c>
      <c r="F3973" s="29" t="s">
        <v>232</v>
      </c>
    </row>
    <row r="3974" spans="1:6" ht="43.5" x14ac:dyDescent="0.35">
      <c r="A3974" s="26" t="s">
        <v>216</v>
      </c>
      <c r="B3974" s="26" t="s">
        <v>8164</v>
      </c>
      <c r="C3974" s="26" t="s">
        <v>15</v>
      </c>
      <c r="D3974" s="28" t="s">
        <v>218</v>
      </c>
      <c r="E3974" s="26" t="s">
        <v>8165</v>
      </c>
      <c r="F3974" s="29" t="s">
        <v>220</v>
      </c>
    </row>
    <row r="3975" spans="1:6" ht="29" x14ac:dyDescent="0.35">
      <c r="A3975" s="26" t="s">
        <v>216</v>
      </c>
      <c r="B3975" s="26" t="s">
        <v>8166</v>
      </c>
      <c r="C3975" s="26" t="s">
        <v>17</v>
      </c>
      <c r="D3975" s="28" t="s">
        <v>8167</v>
      </c>
      <c r="E3975" s="26">
        <v>13436</v>
      </c>
      <c r="F3975" s="29" t="s">
        <v>247</v>
      </c>
    </row>
    <row r="3976" spans="1:6" ht="29" x14ac:dyDescent="0.35">
      <c r="A3976" s="26" t="s">
        <v>216</v>
      </c>
      <c r="B3976" s="26" t="s">
        <v>8168</v>
      </c>
      <c r="C3976" s="26" t="s">
        <v>20</v>
      </c>
      <c r="D3976" s="28" t="s">
        <v>8169</v>
      </c>
      <c r="E3976" s="26">
        <v>13436</v>
      </c>
      <c r="F3976" s="29" t="s">
        <v>223</v>
      </c>
    </row>
    <row r="3977" spans="1:6" ht="58" x14ac:dyDescent="0.35">
      <c r="A3977" s="26" t="s">
        <v>216</v>
      </c>
      <c r="B3977" s="26" t="s">
        <v>8170</v>
      </c>
      <c r="C3977" s="26" t="s">
        <v>25</v>
      </c>
      <c r="D3977" s="28" t="s">
        <v>8171</v>
      </c>
      <c r="E3977" s="26">
        <v>0</v>
      </c>
      <c r="F3977" s="29" t="s">
        <v>226</v>
      </c>
    </row>
    <row r="3978" spans="1:6" ht="43.5" x14ac:dyDescent="0.35">
      <c r="A3978" s="26" t="s">
        <v>216</v>
      </c>
      <c r="B3978" s="26" t="s">
        <v>8172</v>
      </c>
      <c r="C3978" s="26" t="s">
        <v>27</v>
      </c>
      <c r="D3978" s="28" t="s">
        <v>8173</v>
      </c>
      <c r="E3978" s="26">
        <v>0</v>
      </c>
      <c r="F3978" s="29" t="s">
        <v>229</v>
      </c>
    </row>
    <row r="3979" spans="1:6" ht="29" x14ac:dyDescent="0.35">
      <c r="A3979" s="26" t="s">
        <v>216</v>
      </c>
      <c r="B3979" s="26" t="s">
        <v>8174</v>
      </c>
      <c r="C3979" s="26" t="s">
        <v>24</v>
      </c>
      <c r="D3979" s="28" t="s">
        <v>8175</v>
      </c>
      <c r="E3979" s="26">
        <v>0</v>
      </c>
      <c r="F3979" s="29" t="s">
        <v>232</v>
      </c>
    </row>
    <row r="3980" spans="1:6" ht="43.5" x14ac:dyDescent="0.35">
      <c r="A3980" s="26" t="s">
        <v>216</v>
      </c>
      <c r="B3980" s="26" t="s">
        <v>8176</v>
      </c>
      <c r="C3980" s="26" t="s">
        <v>15</v>
      </c>
      <c r="D3980" s="28" t="s">
        <v>218</v>
      </c>
      <c r="E3980" s="26" t="s">
        <v>8177</v>
      </c>
      <c r="F3980" s="29" t="s">
        <v>220</v>
      </c>
    </row>
    <row r="3981" spans="1:6" ht="29" x14ac:dyDescent="0.35">
      <c r="A3981" s="26" t="s">
        <v>216</v>
      </c>
      <c r="B3981" s="26" t="s">
        <v>8178</v>
      </c>
      <c r="C3981" s="26" t="s">
        <v>17</v>
      </c>
      <c r="D3981" s="28" t="s">
        <v>8179</v>
      </c>
      <c r="E3981" s="26">
        <v>13436</v>
      </c>
      <c r="F3981" s="29" t="s">
        <v>247</v>
      </c>
    </row>
    <row r="3982" spans="1:6" ht="29" x14ac:dyDescent="0.35">
      <c r="A3982" s="26" t="s">
        <v>216</v>
      </c>
      <c r="B3982" s="26" t="s">
        <v>8180</v>
      </c>
      <c r="C3982" s="26" t="s">
        <v>20</v>
      </c>
      <c r="D3982" s="28" t="s">
        <v>8181</v>
      </c>
      <c r="E3982" s="26">
        <v>13436</v>
      </c>
      <c r="F3982" s="29" t="s">
        <v>223</v>
      </c>
    </row>
    <row r="3983" spans="1:6" ht="58" x14ac:dyDescent="0.35">
      <c r="A3983" s="26" t="s">
        <v>216</v>
      </c>
      <c r="B3983" s="26" t="s">
        <v>8182</v>
      </c>
      <c r="C3983" s="26" t="s">
        <v>25</v>
      </c>
      <c r="D3983" s="28" t="s">
        <v>8183</v>
      </c>
      <c r="E3983" s="26">
        <v>0</v>
      </c>
      <c r="F3983" s="29" t="s">
        <v>226</v>
      </c>
    </row>
    <row r="3984" spans="1:6" ht="43.5" x14ac:dyDescent="0.35">
      <c r="A3984" s="26" t="s">
        <v>216</v>
      </c>
      <c r="B3984" s="26" t="s">
        <v>8184</v>
      </c>
      <c r="C3984" s="26" t="s">
        <v>27</v>
      </c>
      <c r="D3984" s="28" t="s">
        <v>8185</v>
      </c>
      <c r="E3984" s="26">
        <v>0</v>
      </c>
      <c r="F3984" s="29" t="s">
        <v>229</v>
      </c>
    </row>
    <row r="3985" spans="1:6" ht="29" x14ac:dyDescent="0.35">
      <c r="A3985" s="26" t="s">
        <v>216</v>
      </c>
      <c r="B3985" s="26" t="s">
        <v>8186</v>
      </c>
      <c r="C3985" s="26" t="s">
        <v>24</v>
      </c>
      <c r="D3985" s="28" t="s">
        <v>8187</v>
      </c>
      <c r="E3985" s="26">
        <v>0</v>
      </c>
      <c r="F3985" s="29" t="s">
        <v>232</v>
      </c>
    </row>
    <row r="3986" spans="1:6" ht="43.5" x14ac:dyDescent="0.35">
      <c r="A3986" s="26" t="s">
        <v>216</v>
      </c>
      <c r="B3986" s="26" t="s">
        <v>8188</v>
      </c>
      <c r="C3986" s="26" t="s">
        <v>15</v>
      </c>
      <c r="D3986" s="28" t="s">
        <v>218</v>
      </c>
      <c r="E3986" s="26" t="s">
        <v>8189</v>
      </c>
      <c r="F3986" s="29" t="s">
        <v>220</v>
      </c>
    </row>
    <row r="3987" spans="1:6" ht="29" x14ac:dyDescent="0.35">
      <c r="A3987" s="26" t="s">
        <v>216</v>
      </c>
      <c r="B3987" s="26" t="s">
        <v>8190</v>
      </c>
      <c r="C3987" s="26" t="s">
        <v>17</v>
      </c>
      <c r="D3987" s="28" t="s">
        <v>8191</v>
      </c>
      <c r="E3987" s="26">
        <v>13436</v>
      </c>
      <c r="F3987" s="29" t="s">
        <v>247</v>
      </c>
    </row>
    <row r="3988" spans="1:6" ht="29" x14ac:dyDescent="0.35">
      <c r="A3988" s="26" t="s">
        <v>216</v>
      </c>
      <c r="B3988" s="26" t="s">
        <v>8192</v>
      </c>
      <c r="C3988" s="26" t="s">
        <v>20</v>
      </c>
      <c r="D3988" s="28" t="s">
        <v>8193</v>
      </c>
      <c r="E3988" s="26">
        <v>13436</v>
      </c>
      <c r="F3988" s="29" t="s">
        <v>223</v>
      </c>
    </row>
    <row r="3989" spans="1:6" ht="58" x14ac:dyDescent="0.35">
      <c r="A3989" s="26" t="s">
        <v>216</v>
      </c>
      <c r="B3989" s="26" t="s">
        <v>8194</v>
      </c>
      <c r="C3989" s="26" t="s">
        <v>25</v>
      </c>
      <c r="D3989" s="28" t="s">
        <v>8195</v>
      </c>
      <c r="E3989" s="26">
        <v>0</v>
      </c>
      <c r="F3989" s="29" t="s">
        <v>226</v>
      </c>
    </row>
    <row r="3990" spans="1:6" ht="43.5" x14ac:dyDescent="0.35">
      <c r="A3990" s="26" t="s">
        <v>216</v>
      </c>
      <c r="B3990" s="26" t="s">
        <v>8196</v>
      </c>
      <c r="C3990" s="26" t="s">
        <v>27</v>
      </c>
      <c r="D3990" s="28" t="s">
        <v>8197</v>
      </c>
      <c r="E3990" s="26">
        <v>0</v>
      </c>
      <c r="F3990" s="29" t="s">
        <v>229</v>
      </c>
    </row>
    <row r="3991" spans="1:6" ht="29" x14ac:dyDescent="0.35">
      <c r="A3991" s="26" t="s">
        <v>216</v>
      </c>
      <c r="B3991" s="26" t="s">
        <v>8198</v>
      </c>
      <c r="C3991" s="26" t="s">
        <v>24</v>
      </c>
      <c r="D3991" s="28" t="s">
        <v>8199</v>
      </c>
      <c r="E3991" s="26">
        <v>0</v>
      </c>
      <c r="F3991" s="29" t="s">
        <v>232</v>
      </c>
    </row>
    <row r="3992" spans="1:6" ht="43.5" x14ac:dyDescent="0.35">
      <c r="A3992" s="26" t="s">
        <v>216</v>
      </c>
      <c r="B3992" s="26" t="s">
        <v>8200</v>
      </c>
      <c r="C3992" s="26" t="s">
        <v>15</v>
      </c>
      <c r="D3992" s="28" t="s">
        <v>218</v>
      </c>
      <c r="E3992" s="26" t="s">
        <v>8201</v>
      </c>
      <c r="F3992" s="29" t="s">
        <v>220</v>
      </c>
    </row>
    <row r="3993" spans="1:6" ht="29" x14ac:dyDescent="0.35">
      <c r="A3993" s="26" t="s">
        <v>216</v>
      </c>
      <c r="B3993" s="26" t="s">
        <v>8202</v>
      </c>
      <c r="C3993" s="26" t="s">
        <v>17</v>
      </c>
      <c r="D3993" s="28" t="s">
        <v>8203</v>
      </c>
      <c r="E3993" s="26">
        <v>13436</v>
      </c>
      <c r="F3993" s="29" t="s">
        <v>247</v>
      </c>
    </row>
    <row r="3994" spans="1:6" ht="29" x14ac:dyDescent="0.35">
      <c r="A3994" s="26" t="s">
        <v>216</v>
      </c>
      <c r="B3994" s="26" t="s">
        <v>8204</v>
      </c>
      <c r="C3994" s="26" t="s">
        <v>20</v>
      </c>
      <c r="D3994" s="28" t="s">
        <v>8205</v>
      </c>
      <c r="E3994" s="26">
        <v>13436</v>
      </c>
      <c r="F3994" s="29" t="s">
        <v>223</v>
      </c>
    </row>
    <row r="3995" spans="1:6" ht="58" x14ac:dyDescent="0.35">
      <c r="A3995" s="26" t="s">
        <v>216</v>
      </c>
      <c r="B3995" s="26" t="s">
        <v>8206</v>
      </c>
      <c r="C3995" s="26" t="s">
        <v>25</v>
      </c>
      <c r="D3995" s="28" t="s">
        <v>8207</v>
      </c>
      <c r="E3995" s="26">
        <v>0</v>
      </c>
      <c r="F3995" s="29" t="s">
        <v>226</v>
      </c>
    </row>
    <row r="3996" spans="1:6" ht="43.5" x14ac:dyDescent="0.35">
      <c r="A3996" s="26" t="s">
        <v>216</v>
      </c>
      <c r="B3996" s="26" t="s">
        <v>8208</v>
      </c>
      <c r="C3996" s="26" t="s">
        <v>27</v>
      </c>
      <c r="D3996" s="28" t="s">
        <v>8209</v>
      </c>
      <c r="E3996" s="26">
        <v>0</v>
      </c>
      <c r="F3996" s="29" t="s">
        <v>229</v>
      </c>
    </row>
    <row r="3997" spans="1:6" ht="29" x14ac:dyDescent="0.35">
      <c r="A3997" s="26" t="s">
        <v>216</v>
      </c>
      <c r="B3997" s="26" t="s">
        <v>8210</v>
      </c>
      <c r="C3997" s="26" t="s">
        <v>24</v>
      </c>
      <c r="D3997" s="28" t="s">
        <v>8211</v>
      </c>
      <c r="E3997" s="26">
        <v>0</v>
      </c>
      <c r="F3997" s="29" t="s">
        <v>232</v>
      </c>
    </row>
    <row r="3998" spans="1:6" ht="43.5" x14ac:dyDescent="0.35">
      <c r="A3998" s="26" t="s">
        <v>216</v>
      </c>
      <c r="B3998" s="26" t="s">
        <v>8212</v>
      </c>
      <c r="C3998" s="26" t="s">
        <v>15</v>
      </c>
      <c r="D3998" s="28" t="s">
        <v>218</v>
      </c>
      <c r="E3998" s="26" t="s">
        <v>8213</v>
      </c>
      <c r="F3998" s="29" t="s">
        <v>220</v>
      </c>
    </row>
    <row r="3999" spans="1:6" ht="29" x14ac:dyDescent="0.35">
      <c r="A3999" s="26" t="s">
        <v>216</v>
      </c>
      <c r="B3999" s="26" t="s">
        <v>8214</v>
      </c>
      <c r="C3999" s="26" t="s">
        <v>17</v>
      </c>
      <c r="D3999" s="28" t="s">
        <v>8215</v>
      </c>
      <c r="E3999" s="26">
        <v>13436</v>
      </c>
      <c r="F3999" s="29" t="s">
        <v>247</v>
      </c>
    </row>
    <row r="4000" spans="1:6" ht="29" x14ac:dyDescent="0.35">
      <c r="A4000" s="26" t="s">
        <v>216</v>
      </c>
      <c r="B4000" s="26" t="s">
        <v>8216</v>
      </c>
      <c r="C4000" s="26" t="s">
        <v>20</v>
      </c>
      <c r="D4000" s="28" t="s">
        <v>8217</v>
      </c>
      <c r="E4000" s="26">
        <v>13436</v>
      </c>
      <c r="F4000" s="29" t="s">
        <v>223</v>
      </c>
    </row>
    <row r="4001" spans="1:6" ht="58" x14ac:dyDescent="0.35">
      <c r="A4001" s="26" t="s">
        <v>216</v>
      </c>
      <c r="B4001" s="26" t="s">
        <v>8218</v>
      </c>
      <c r="C4001" s="26" t="s">
        <v>25</v>
      </c>
      <c r="D4001" s="28" t="s">
        <v>8219</v>
      </c>
      <c r="E4001" s="26">
        <v>0</v>
      </c>
      <c r="F4001" s="29" t="s">
        <v>226</v>
      </c>
    </row>
    <row r="4002" spans="1:6" ht="43.5" x14ac:dyDescent="0.35">
      <c r="A4002" s="26" t="s">
        <v>216</v>
      </c>
      <c r="B4002" s="26" t="s">
        <v>8220</v>
      </c>
      <c r="C4002" s="26" t="s">
        <v>27</v>
      </c>
      <c r="D4002" s="28" t="s">
        <v>8221</v>
      </c>
      <c r="E4002" s="26">
        <v>0</v>
      </c>
      <c r="F4002" s="29" t="s">
        <v>229</v>
      </c>
    </row>
    <row r="4003" spans="1:6" ht="29" x14ac:dyDescent="0.35">
      <c r="A4003" s="26" t="s">
        <v>216</v>
      </c>
      <c r="B4003" s="26" t="s">
        <v>8222</v>
      </c>
      <c r="C4003" s="26" t="s">
        <v>24</v>
      </c>
      <c r="D4003" s="28" t="s">
        <v>8223</v>
      </c>
      <c r="E4003" s="26">
        <v>0</v>
      </c>
      <c r="F4003" s="29" t="s">
        <v>232</v>
      </c>
    </row>
    <row r="4004" spans="1:6" ht="43.5" x14ac:dyDescent="0.35">
      <c r="A4004" s="26" t="s">
        <v>216</v>
      </c>
      <c r="B4004" s="26" t="s">
        <v>8224</v>
      </c>
      <c r="C4004" s="26" t="s">
        <v>15</v>
      </c>
      <c r="D4004" s="28" t="s">
        <v>218</v>
      </c>
      <c r="E4004" s="26" t="s">
        <v>8225</v>
      </c>
      <c r="F4004" s="29" t="s">
        <v>220</v>
      </c>
    </row>
    <row r="4005" spans="1:6" ht="29" x14ac:dyDescent="0.35">
      <c r="A4005" s="26" t="s">
        <v>216</v>
      </c>
      <c r="B4005" s="26" t="s">
        <v>8226</v>
      </c>
      <c r="C4005" s="26" t="s">
        <v>17</v>
      </c>
      <c r="D4005" s="28" t="s">
        <v>8227</v>
      </c>
      <c r="E4005" s="26">
        <v>13436</v>
      </c>
      <c r="F4005" s="29" t="s">
        <v>247</v>
      </c>
    </row>
    <row r="4006" spans="1:6" ht="29" x14ac:dyDescent="0.35">
      <c r="A4006" s="26" t="s">
        <v>216</v>
      </c>
      <c r="B4006" s="26" t="s">
        <v>8228</v>
      </c>
      <c r="C4006" s="26" t="s">
        <v>20</v>
      </c>
      <c r="D4006" s="28" t="s">
        <v>8229</v>
      </c>
      <c r="E4006" s="26">
        <v>13436</v>
      </c>
      <c r="F4006" s="29" t="s">
        <v>223</v>
      </c>
    </row>
    <row r="4007" spans="1:6" ht="58" x14ac:dyDescent="0.35">
      <c r="A4007" s="26" t="s">
        <v>216</v>
      </c>
      <c r="B4007" s="26" t="s">
        <v>8230</v>
      </c>
      <c r="C4007" s="26" t="s">
        <v>25</v>
      </c>
      <c r="D4007" s="28" t="s">
        <v>8231</v>
      </c>
      <c r="E4007" s="26">
        <v>0</v>
      </c>
      <c r="F4007" s="29" t="s">
        <v>226</v>
      </c>
    </row>
    <row r="4008" spans="1:6" ht="43.5" x14ac:dyDescent="0.35">
      <c r="A4008" s="26" t="s">
        <v>216</v>
      </c>
      <c r="B4008" s="26" t="s">
        <v>8232</v>
      </c>
      <c r="C4008" s="26" t="s">
        <v>27</v>
      </c>
      <c r="D4008" s="28" t="s">
        <v>8233</v>
      </c>
      <c r="E4008" s="26">
        <v>0</v>
      </c>
      <c r="F4008" s="29" t="s">
        <v>229</v>
      </c>
    </row>
    <row r="4009" spans="1:6" ht="29" x14ac:dyDescent="0.35">
      <c r="A4009" s="26" t="s">
        <v>216</v>
      </c>
      <c r="B4009" s="26" t="s">
        <v>8234</v>
      </c>
      <c r="C4009" s="26" t="s">
        <v>24</v>
      </c>
      <c r="D4009" s="28" t="s">
        <v>8235</v>
      </c>
      <c r="E4009" s="26">
        <v>0</v>
      </c>
      <c r="F4009" s="29" t="s">
        <v>232</v>
      </c>
    </row>
    <row r="4010" spans="1:6" ht="43.5" x14ac:dyDescent="0.35">
      <c r="A4010" s="26" t="s">
        <v>216</v>
      </c>
      <c r="B4010" s="26" t="s">
        <v>8236</v>
      </c>
      <c r="C4010" s="26" t="s">
        <v>15</v>
      </c>
      <c r="D4010" s="28" t="s">
        <v>218</v>
      </c>
      <c r="E4010" s="26" t="s">
        <v>8237</v>
      </c>
      <c r="F4010" s="29" t="s">
        <v>220</v>
      </c>
    </row>
    <row r="4011" spans="1:6" ht="29" x14ac:dyDescent="0.35">
      <c r="A4011" s="26" t="s">
        <v>216</v>
      </c>
      <c r="B4011" s="26" t="s">
        <v>8238</v>
      </c>
      <c r="C4011" s="26" t="s">
        <v>17</v>
      </c>
      <c r="D4011" s="28" t="s">
        <v>8239</v>
      </c>
      <c r="E4011" s="26">
        <v>13436</v>
      </c>
      <c r="F4011" s="29" t="s">
        <v>247</v>
      </c>
    </row>
    <row r="4012" spans="1:6" ht="29" x14ac:dyDescent="0.35">
      <c r="A4012" s="26" t="s">
        <v>216</v>
      </c>
      <c r="B4012" s="26" t="s">
        <v>8240</v>
      </c>
      <c r="C4012" s="26" t="s">
        <v>20</v>
      </c>
      <c r="D4012" s="28" t="s">
        <v>8241</v>
      </c>
      <c r="E4012" s="26">
        <v>13436</v>
      </c>
      <c r="F4012" s="29" t="s">
        <v>223</v>
      </c>
    </row>
    <row r="4013" spans="1:6" ht="58" x14ac:dyDescent="0.35">
      <c r="A4013" s="26" t="s">
        <v>216</v>
      </c>
      <c r="B4013" s="26" t="s">
        <v>8242</v>
      </c>
      <c r="C4013" s="26" t="s">
        <v>25</v>
      </c>
      <c r="D4013" s="28" t="s">
        <v>8243</v>
      </c>
      <c r="E4013" s="26">
        <v>0</v>
      </c>
      <c r="F4013" s="29" t="s">
        <v>226</v>
      </c>
    </row>
    <row r="4014" spans="1:6" ht="43.5" x14ac:dyDescent="0.35">
      <c r="A4014" s="26" t="s">
        <v>216</v>
      </c>
      <c r="B4014" s="26" t="s">
        <v>8244</v>
      </c>
      <c r="C4014" s="26" t="s">
        <v>27</v>
      </c>
      <c r="D4014" s="28" t="s">
        <v>8245</v>
      </c>
      <c r="E4014" s="26">
        <v>0</v>
      </c>
      <c r="F4014" s="29" t="s">
        <v>229</v>
      </c>
    </row>
    <row r="4015" spans="1:6" ht="29" x14ac:dyDescent="0.35">
      <c r="A4015" s="26" t="s">
        <v>216</v>
      </c>
      <c r="B4015" s="26" t="s">
        <v>8246</v>
      </c>
      <c r="C4015" s="26" t="s">
        <v>24</v>
      </c>
      <c r="D4015" s="28" t="s">
        <v>8247</v>
      </c>
      <c r="E4015" s="26">
        <v>0</v>
      </c>
      <c r="F4015" s="29" t="s">
        <v>232</v>
      </c>
    </row>
    <row r="4016" spans="1:6" ht="43.5" x14ac:dyDescent="0.35">
      <c r="A4016" s="26" t="s">
        <v>216</v>
      </c>
      <c r="B4016" s="26" t="s">
        <v>8248</v>
      </c>
      <c r="C4016" s="26" t="s">
        <v>15</v>
      </c>
      <c r="D4016" s="28" t="s">
        <v>218</v>
      </c>
      <c r="E4016" s="26" t="s">
        <v>8249</v>
      </c>
      <c r="F4016" s="29" t="s">
        <v>220</v>
      </c>
    </row>
    <row r="4017" spans="1:6" ht="29" x14ac:dyDescent="0.35">
      <c r="A4017" s="26" t="s">
        <v>216</v>
      </c>
      <c r="B4017" s="26" t="s">
        <v>8250</v>
      </c>
      <c r="C4017" s="26" t="s">
        <v>17</v>
      </c>
      <c r="D4017" s="28" t="s">
        <v>8251</v>
      </c>
      <c r="E4017" s="26">
        <v>13436</v>
      </c>
      <c r="F4017" s="29" t="s">
        <v>247</v>
      </c>
    </row>
    <row r="4018" spans="1:6" ht="29" x14ac:dyDescent="0.35">
      <c r="A4018" s="26" t="s">
        <v>216</v>
      </c>
      <c r="B4018" s="26" t="s">
        <v>8252</v>
      </c>
      <c r="C4018" s="26" t="s">
        <v>20</v>
      </c>
      <c r="D4018" s="28" t="s">
        <v>8253</v>
      </c>
      <c r="E4018" s="26">
        <v>13436</v>
      </c>
      <c r="F4018" s="29" t="s">
        <v>223</v>
      </c>
    </row>
    <row r="4019" spans="1:6" ht="58" x14ac:dyDescent="0.35">
      <c r="A4019" s="26" t="s">
        <v>216</v>
      </c>
      <c r="B4019" s="26" t="s">
        <v>8254</v>
      </c>
      <c r="C4019" s="26" t="s">
        <v>25</v>
      </c>
      <c r="D4019" s="28" t="s">
        <v>8255</v>
      </c>
      <c r="E4019" s="26">
        <v>0</v>
      </c>
      <c r="F4019" s="29" t="s">
        <v>226</v>
      </c>
    </row>
    <row r="4020" spans="1:6" ht="43.5" x14ac:dyDescent="0.35">
      <c r="A4020" s="26" t="s">
        <v>216</v>
      </c>
      <c r="B4020" s="26" t="s">
        <v>8256</v>
      </c>
      <c r="C4020" s="26" t="s">
        <v>27</v>
      </c>
      <c r="D4020" s="28" t="s">
        <v>8257</v>
      </c>
      <c r="E4020" s="26">
        <v>0</v>
      </c>
      <c r="F4020" s="29" t="s">
        <v>229</v>
      </c>
    </row>
    <row r="4021" spans="1:6" ht="29" x14ac:dyDescent="0.35">
      <c r="A4021" s="26" t="s">
        <v>216</v>
      </c>
      <c r="B4021" s="26" t="s">
        <v>8258</v>
      </c>
      <c r="C4021" s="26" t="s">
        <v>24</v>
      </c>
      <c r="D4021" s="28" t="s">
        <v>8259</v>
      </c>
      <c r="E4021" s="26">
        <v>0</v>
      </c>
      <c r="F4021" s="29" t="s">
        <v>232</v>
      </c>
    </row>
    <row r="4022" spans="1:6" ht="43.5" x14ac:dyDescent="0.35">
      <c r="A4022" s="26" t="s">
        <v>216</v>
      </c>
      <c r="B4022" s="26" t="s">
        <v>8260</v>
      </c>
      <c r="C4022" s="26" t="s">
        <v>15</v>
      </c>
      <c r="D4022" s="28" t="s">
        <v>218</v>
      </c>
      <c r="E4022" s="26" t="s">
        <v>8261</v>
      </c>
      <c r="F4022" s="29" t="s">
        <v>220</v>
      </c>
    </row>
    <row r="4023" spans="1:6" ht="29" x14ac:dyDescent="0.35">
      <c r="A4023" s="26" t="s">
        <v>216</v>
      </c>
      <c r="B4023" s="26" t="s">
        <v>8262</v>
      </c>
      <c r="C4023" s="26" t="s">
        <v>17</v>
      </c>
      <c r="D4023" s="28" t="s">
        <v>8263</v>
      </c>
      <c r="E4023" s="26">
        <v>13436</v>
      </c>
      <c r="F4023" s="29" t="s">
        <v>247</v>
      </c>
    </row>
    <row r="4024" spans="1:6" ht="29" x14ac:dyDescent="0.35">
      <c r="A4024" s="26" t="s">
        <v>216</v>
      </c>
      <c r="B4024" s="26" t="s">
        <v>8264</v>
      </c>
      <c r="C4024" s="26" t="s">
        <v>20</v>
      </c>
      <c r="D4024" s="28" t="s">
        <v>8265</v>
      </c>
      <c r="E4024" s="26">
        <v>13436</v>
      </c>
      <c r="F4024" s="29" t="s">
        <v>223</v>
      </c>
    </row>
    <row r="4025" spans="1:6" ht="58" x14ac:dyDescent="0.35">
      <c r="A4025" s="26" t="s">
        <v>216</v>
      </c>
      <c r="B4025" s="26" t="s">
        <v>8266</v>
      </c>
      <c r="C4025" s="26" t="s">
        <v>25</v>
      </c>
      <c r="D4025" s="28" t="s">
        <v>8267</v>
      </c>
      <c r="E4025" s="26">
        <v>0</v>
      </c>
      <c r="F4025" s="29" t="s">
        <v>226</v>
      </c>
    </row>
    <row r="4026" spans="1:6" ht="43.5" x14ac:dyDescent="0.35">
      <c r="A4026" s="26" t="s">
        <v>216</v>
      </c>
      <c r="B4026" s="26" t="s">
        <v>8268</v>
      </c>
      <c r="C4026" s="26" t="s">
        <v>27</v>
      </c>
      <c r="D4026" s="28" t="s">
        <v>8269</v>
      </c>
      <c r="E4026" s="26">
        <v>0</v>
      </c>
      <c r="F4026" s="29" t="s">
        <v>229</v>
      </c>
    </row>
    <row r="4027" spans="1:6" ht="29" x14ac:dyDescent="0.35">
      <c r="A4027" s="26" t="s">
        <v>216</v>
      </c>
      <c r="B4027" s="26" t="s">
        <v>8270</v>
      </c>
      <c r="C4027" s="26" t="s">
        <v>24</v>
      </c>
      <c r="D4027" s="28" t="s">
        <v>8271</v>
      </c>
      <c r="E4027" s="26">
        <v>0</v>
      </c>
      <c r="F4027" s="29" t="s">
        <v>232</v>
      </c>
    </row>
    <row r="4028" spans="1:6" ht="43.5" x14ac:dyDescent="0.35">
      <c r="A4028" s="26" t="s">
        <v>216</v>
      </c>
      <c r="B4028" s="26" t="s">
        <v>8272</v>
      </c>
      <c r="C4028" s="26" t="s">
        <v>15</v>
      </c>
      <c r="D4028" s="28" t="s">
        <v>218</v>
      </c>
      <c r="E4028" s="26" t="s">
        <v>8273</v>
      </c>
      <c r="F4028" s="29" t="s">
        <v>220</v>
      </c>
    </row>
    <row r="4029" spans="1:6" ht="29" x14ac:dyDescent="0.35">
      <c r="A4029" s="26" t="s">
        <v>216</v>
      </c>
      <c r="B4029" s="26" t="s">
        <v>8274</v>
      </c>
      <c r="C4029" s="26" t="s">
        <v>17</v>
      </c>
      <c r="D4029" s="28" t="s">
        <v>8275</v>
      </c>
      <c r="E4029" s="26">
        <v>13436</v>
      </c>
      <c r="F4029" s="29" t="s">
        <v>247</v>
      </c>
    </row>
    <row r="4030" spans="1:6" ht="29" x14ac:dyDescent="0.35">
      <c r="A4030" s="26" t="s">
        <v>216</v>
      </c>
      <c r="B4030" s="26" t="s">
        <v>8276</v>
      </c>
      <c r="C4030" s="26" t="s">
        <v>20</v>
      </c>
      <c r="D4030" s="28" t="s">
        <v>8277</v>
      </c>
      <c r="E4030" s="26">
        <v>13436</v>
      </c>
      <c r="F4030" s="29" t="s">
        <v>223</v>
      </c>
    </row>
    <row r="4031" spans="1:6" ht="58" x14ac:dyDescent="0.35">
      <c r="A4031" s="26" t="s">
        <v>216</v>
      </c>
      <c r="B4031" s="26" t="s">
        <v>8278</v>
      </c>
      <c r="C4031" s="26" t="s">
        <v>25</v>
      </c>
      <c r="D4031" s="28" t="s">
        <v>8279</v>
      </c>
      <c r="E4031" s="26">
        <v>0</v>
      </c>
      <c r="F4031" s="29" t="s">
        <v>226</v>
      </c>
    </row>
    <row r="4032" spans="1:6" ht="43.5" x14ac:dyDescent="0.35">
      <c r="A4032" s="26" t="s">
        <v>216</v>
      </c>
      <c r="B4032" s="26" t="s">
        <v>8280</v>
      </c>
      <c r="C4032" s="26" t="s">
        <v>27</v>
      </c>
      <c r="D4032" s="28" t="s">
        <v>8281</v>
      </c>
      <c r="E4032" s="26">
        <v>0</v>
      </c>
      <c r="F4032" s="29" t="s">
        <v>229</v>
      </c>
    </row>
    <row r="4033" spans="1:6" ht="29" x14ac:dyDescent="0.35">
      <c r="A4033" s="26" t="s">
        <v>216</v>
      </c>
      <c r="B4033" s="26" t="s">
        <v>8282</v>
      </c>
      <c r="C4033" s="26" t="s">
        <v>24</v>
      </c>
      <c r="D4033" s="28" t="s">
        <v>8283</v>
      </c>
      <c r="E4033" s="26">
        <v>0</v>
      </c>
      <c r="F4033" s="29" t="s">
        <v>232</v>
      </c>
    </row>
    <row r="4034" spans="1:6" ht="43.5" x14ac:dyDescent="0.35">
      <c r="A4034" s="26" t="s">
        <v>216</v>
      </c>
      <c r="B4034" s="26" t="s">
        <v>8284</v>
      </c>
      <c r="C4034" s="26" t="s">
        <v>15</v>
      </c>
      <c r="D4034" s="28" t="s">
        <v>218</v>
      </c>
      <c r="E4034" s="26" t="s">
        <v>8285</v>
      </c>
      <c r="F4034" s="29" t="s">
        <v>220</v>
      </c>
    </row>
    <row r="4035" spans="1:6" ht="29" x14ac:dyDescent="0.35">
      <c r="A4035" s="26" t="s">
        <v>216</v>
      </c>
      <c r="B4035" s="26" t="s">
        <v>8286</v>
      </c>
      <c r="C4035" s="26" t="s">
        <v>17</v>
      </c>
      <c r="D4035" s="28" t="s">
        <v>8287</v>
      </c>
      <c r="E4035" s="26">
        <v>13436</v>
      </c>
      <c r="F4035" s="29" t="s">
        <v>247</v>
      </c>
    </row>
    <row r="4036" spans="1:6" ht="29" x14ac:dyDescent="0.35">
      <c r="A4036" s="26" t="s">
        <v>216</v>
      </c>
      <c r="B4036" s="26" t="s">
        <v>8288</v>
      </c>
      <c r="C4036" s="26" t="s">
        <v>20</v>
      </c>
      <c r="D4036" s="28" t="s">
        <v>8289</v>
      </c>
      <c r="E4036" s="26">
        <v>13436</v>
      </c>
      <c r="F4036" s="29" t="s">
        <v>223</v>
      </c>
    </row>
    <row r="4037" spans="1:6" ht="58" x14ac:dyDescent="0.35">
      <c r="A4037" s="26" t="s">
        <v>216</v>
      </c>
      <c r="B4037" s="26" t="s">
        <v>8290</v>
      </c>
      <c r="C4037" s="26" t="s">
        <v>25</v>
      </c>
      <c r="D4037" s="28" t="s">
        <v>8291</v>
      </c>
      <c r="E4037" s="26">
        <v>0</v>
      </c>
      <c r="F4037" s="29" t="s">
        <v>226</v>
      </c>
    </row>
    <row r="4038" spans="1:6" ht="43.5" x14ac:dyDescent="0.35">
      <c r="A4038" s="26" t="s">
        <v>216</v>
      </c>
      <c r="B4038" s="26" t="s">
        <v>8292</v>
      </c>
      <c r="C4038" s="26" t="s">
        <v>27</v>
      </c>
      <c r="D4038" s="28" t="s">
        <v>8293</v>
      </c>
      <c r="E4038" s="26">
        <v>0</v>
      </c>
      <c r="F4038" s="29" t="s">
        <v>229</v>
      </c>
    </row>
    <row r="4039" spans="1:6" ht="29" x14ac:dyDescent="0.35">
      <c r="A4039" s="26" t="s">
        <v>216</v>
      </c>
      <c r="B4039" s="26" t="s">
        <v>8294</v>
      </c>
      <c r="C4039" s="26" t="s">
        <v>24</v>
      </c>
      <c r="D4039" s="28" t="s">
        <v>8295</v>
      </c>
      <c r="E4039" s="26">
        <v>0</v>
      </c>
      <c r="F4039" s="29" t="s">
        <v>232</v>
      </c>
    </row>
    <row r="4040" spans="1:6" ht="43.5" x14ac:dyDescent="0.35">
      <c r="A4040" s="26" t="s">
        <v>216</v>
      </c>
      <c r="B4040" s="26" t="s">
        <v>8296</v>
      </c>
      <c r="C4040" s="26" t="s">
        <v>15</v>
      </c>
      <c r="D4040" s="28" t="s">
        <v>218</v>
      </c>
      <c r="E4040" s="26" t="s">
        <v>8297</v>
      </c>
      <c r="F4040" s="29" t="s">
        <v>220</v>
      </c>
    </row>
    <row r="4041" spans="1:6" ht="29" x14ac:dyDescent="0.35">
      <c r="A4041" s="26" t="s">
        <v>216</v>
      </c>
      <c r="B4041" s="26" t="s">
        <v>8298</v>
      </c>
      <c r="C4041" s="26" t="s">
        <v>17</v>
      </c>
      <c r="D4041" s="28" t="s">
        <v>8299</v>
      </c>
      <c r="E4041" s="26">
        <v>13436</v>
      </c>
      <c r="F4041" s="29" t="s">
        <v>247</v>
      </c>
    </row>
    <row r="4042" spans="1:6" ht="29" x14ac:dyDescent="0.35">
      <c r="A4042" s="26" t="s">
        <v>216</v>
      </c>
      <c r="B4042" s="26" t="s">
        <v>8300</v>
      </c>
      <c r="C4042" s="26" t="s">
        <v>20</v>
      </c>
      <c r="D4042" s="28" t="s">
        <v>8301</v>
      </c>
      <c r="E4042" s="26">
        <v>13436</v>
      </c>
      <c r="F4042" s="29" t="s">
        <v>223</v>
      </c>
    </row>
    <row r="4043" spans="1:6" ht="58" x14ac:dyDescent="0.35">
      <c r="A4043" s="26" t="s">
        <v>216</v>
      </c>
      <c r="B4043" s="26" t="s">
        <v>8302</v>
      </c>
      <c r="C4043" s="26" t="s">
        <v>25</v>
      </c>
      <c r="D4043" s="28" t="s">
        <v>8303</v>
      </c>
      <c r="E4043" s="26">
        <v>0</v>
      </c>
      <c r="F4043" s="29" t="s">
        <v>226</v>
      </c>
    </row>
    <row r="4044" spans="1:6" ht="43.5" x14ac:dyDescent="0.35">
      <c r="A4044" s="26" t="s">
        <v>216</v>
      </c>
      <c r="B4044" s="26" t="s">
        <v>8304</v>
      </c>
      <c r="C4044" s="26" t="s">
        <v>27</v>
      </c>
      <c r="D4044" s="28" t="s">
        <v>8305</v>
      </c>
      <c r="E4044" s="26">
        <v>0</v>
      </c>
      <c r="F4044" s="29" t="s">
        <v>229</v>
      </c>
    </row>
    <row r="4045" spans="1:6" ht="29" x14ac:dyDescent="0.35">
      <c r="A4045" s="26" t="s">
        <v>216</v>
      </c>
      <c r="B4045" s="26" t="s">
        <v>8306</v>
      </c>
      <c r="C4045" s="26" t="s">
        <v>24</v>
      </c>
      <c r="D4045" s="28" t="s">
        <v>8307</v>
      </c>
      <c r="E4045" s="26">
        <v>0</v>
      </c>
      <c r="F4045" s="29" t="s">
        <v>232</v>
      </c>
    </row>
    <row r="4046" spans="1:6" ht="43.5" x14ac:dyDescent="0.35">
      <c r="A4046" s="26" t="s">
        <v>216</v>
      </c>
      <c r="B4046" s="26" t="s">
        <v>8308</v>
      </c>
      <c r="C4046" s="26" t="s">
        <v>15</v>
      </c>
      <c r="D4046" s="28" t="s">
        <v>218</v>
      </c>
      <c r="E4046" s="26" t="s">
        <v>8309</v>
      </c>
      <c r="F4046" s="29" t="s">
        <v>220</v>
      </c>
    </row>
    <row r="4047" spans="1:6" ht="29" x14ac:dyDescent="0.35">
      <c r="A4047" s="26" t="s">
        <v>216</v>
      </c>
      <c r="B4047" s="26" t="s">
        <v>8310</v>
      </c>
      <c r="C4047" s="26" t="s">
        <v>17</v>
      </c>
      <c r="D4047" s="28" t="s">
        <v>8311</v>
      </c>
      <c r="E4047" s="26">
        <v>13436</v>
      </c>
      <c r="F4047" s="29" t="s">
        <v>247</v>
      </c>
    </row>
    <row r="4048" spans="1:6" ht="29" x14ac:dyDescent="0.35">
      <c r="A4048" s="26" t="s">
        <v>216</v>
      </c>
      <c r="B4048" s="26" t="s">
        <v>8312</v>
      </c>
      <c r="C4048" s="26" t="s">
        <v>20</v>
      </c>
      <c r="D4048" s="28" t="s">
        <v>8313</v>
      </c>
      <c r="E4048" s="26">
        <v>13436</v>
      </c>
      <c r="F4048" s="29" t="s">
        <v>223</v>
      </c>
    </row>
    <row r="4049" spans="1:6" ht="58" x14ac:dyDescent="0.35">
      <c r="A4049" s="26" t="s">
        <v>216</v>
      </c>
      <c r="B4049" s="26" t="s">
        <v>8314</v>
      </c>
      <c r="C4049" s="26" t="s">
        <v>25</v>
      </c>
      <c r="D4049" s="28" t="s">
        <v>8315</v>
      </c>
      <c r="E4049" s="26">
        <v>0</v>
      </c>
      <c r="F4049" s="29" t="s">
        <v>226</v>
      </c>
    </row>
    <row r="4050" spans="1:6" ht="43.5" x14ac:dyDescent="0.35">
      <c r="A4050" s="26" t="s">
        <v>216</v>
      </c>
      <c r="B4050" s="26" t="s">
        <v>8316</v>
      </c>
      <c r="C4050" s="26" t="s">
        <v>27</v>
      </c>
      <c r="D4050" s="28" t="s">
        <v>8317</v>
      </c>
      <c r="E4050" s="26">
        <v>0</v>
      </c>
      <c r="F4050" s="29" t="s">
        <v>229</v>
      </c>
    </row>
    <row r="4051" spans="1:6" ht="29" x14ac:dyDescent="0.35">
      <c r="A4051" s="26" t="s">
        <v>216</v>
      </c>
      <c r="B4051" s="26" t="s">
        <v>8318</v>
      </c>
      <c r="C4051" s="26" t="s">
        <v>24</v>
      </c>
      <c r="D4051" s="28" t="s">
        <v>8319</v>
      </c>
      <c r="E4051" s="26">
        <v>0</v>
      </c>
      <c r="F4051" s="29" t="s">
        <v>232</v>
      </c>
    </row>
    <row r="4052" spans="1:6" ht="43.5" x14ac:dyDescent="0.35">
      <c r="A4052" s="26" t="s">
        <v>216</v>
      </c>
      <c r="B4052" s="26" t="s">
        <v>8320</v>
      </c>
      <c r="C4052" s="26" t="s">
        <v>15</v>
      </c>
      <c r="D4052" s="28" t="s">
        <v>218</v>
      </c>
      <c r="E4052" s="26" t="s">
        <v>8321</v>
      </c>
      <c r="F4052" s="29" t="s">
        <v>220</v>
      </c>
    </row>
    <row r="4053" spans="1:6" ht="29" x14ac:dyDescent="0.35">
      <c r="A4053" s="26" t="s">
        <v>216</v>
      </c>
      <c r="B4053" s="26" t="s">
        <v>8322</v>
      </c>
      <c r="C4053" s="26" t="s">
        <v>17</v>
      </c>
      <c r="D4053" s="28" t="s">
        <v>8323</v>
      </c>
      <c r="E4053" s="26">
        <v>13436</v>
      </c>
      <c r="F4053" s="29" t="s">
        <v>247</v>
      </c>
    </row>
    <row r="4054" spans="1:6" ht="29" x14ac:dyDescent="0.35">
      <c r="A4054" s="26" t="s">
        <v>216</v>
      </c>
      <c r="B4054" s="26" t="s">
        <v>8324</v>
      </c>
      <c r="C4054" s="26" t="s">
        <v>20</v>
      </c>
      <c r="D4054" s="28" t="s">
        <v>8325</v>
      </c>
      <c r="E4054" s="26">
        <v>13436</v>
      </c>
      <c r="F4054" s="29" t="s">
        <v>223</v>
      </c>
    </row>
    <row r="4055" spans="1:6" ht="58" x14ac:dyDescent="0.35">
      <c r="A4055" s="26" t="s">
        <v>216</v>
      </c>
      <c r="B4055" s="26" t="s">
        <v>8326</v>
      </c>
      <c r="C4055" s="26" t="s">
        <v>25</v>
      </c>
      <c r="D4055" s="28" t="s">
        <v>8327</v>
      </c>
      <c r="E4055" s="26">
        <v>0</v>
      </c>
      <c r="F4055" s="29" t="s">
        <v>226</v>
      </c>
    </row>
    <row r="4056" spans="1:6" ht="43.5" x14ac:dyDescent="0.35">
      <c r="A4056" s="26" t="s">
        <v>216</v>
      </c>
      <c r="B4056" s="26" t="s">
        <v>8328</v>
      </c>
      <c r="C4056" s="26" t="s">
        <v>27</v>
      </c>
      <c r="D4056" s="28" t="s">
        <v>8329</v>
      </c>
      <c r="E4056" s="26">
        <v>0</v>
      </c>
      <c r="F4056" s="29" t="s">
        <v>229</v>
      </c>
    </row>
    <row r="4057" spans="1:6" ht="29" x14ac:dyDescent="0.35">
      <c r="A4057" s="26" t="s">
        <v>216</v>
      </c>
      <c r="B4057" s="26" t="s">
        <v>8330</v>
      </c>
      <c r="C4057" s="26" t="s">
        <v>24</v>
      </c>
      <c r="D4057" s="28" t="s">
        <v>8331</v>
      </c>
      <c r="E4057" s="26">
        <v>0</v>
      </c>
      <c r="F4057" s="29" t="s">
        <v>232</v>
      </c>
    </row>
    <row r="4058" spans="1:6" ht="43.5" x14ac:dyDescent="0.35">
      <c r="A4058" s="26" t="s">
        <v>216</v>
      </c>
      <c r="B4058" s="26" t="s">
        <v>8332</v>
      </c>
      <c r="C4058" s="26" t="s">
        <v>15</v>
      </c>
      <c r="D4058" s="28" t="s">
        <v>218</v>
      </c>
      <c r="E4058" s="26" t="s">
        <v>8333</v>
      </c>
      <c r="F4058" s="29" t="s">
        <v>220</v>
      </c>
    </row>
    <row r="4059" spans="1:6" ht="29" x14ac:dyDescent="0.35">
      <c r="A4059" s="26" t="s">
        <v>216</v>
      </c>
      <c r="B4059" s="26" t="s">
        <v>8334</v>
      </c>
      <c r="C4059" s="26" t="s">
        <v>17</v>
      </c>
      <c r="D4059" s="28" t="s">
        <v>8335</v>
      </c>
      <c r="E4059" s="26">
        <v>13436</v>
      </c>
      <c r="F4059" s="29" t="s">
        <v>247</v>
      </c>
    </row>
    <row r="4060" spans="1:6" ht="29" x14ac:dyDescent="0.35">
      <c r="A4060" s="26" t="s">
        <v>216</v>
      </c>
      <c r="B4060" s="26" t="s">
        <v>8336</v>
      </c>
      <c r="C4060" s="26" t="s">
        <v>20</v>
      </c>
      <c r="D4060" s="28" t="s">
        <v>8337</v>
      </c>
      <c r="E4060" s="26">
        <v>13436</v>
      </c>
      <c r="F4060" s="29" t="s">
        <v>223</v>
      </c>
    </row>
    <row r="4061" spans="1:6" ht="58" x14ac:dyDescent="0.35">
      <c r="A4061" s="26" t="s">
        <v>216</v>
      </c>
      <c r="B4061" s="26" t="s">
        <v>8338</v>
      </c>
      <c r="C4061" s="26" t="s">
        <v>25</v>
      </c>
      <c r="D4061" s="28" t="s">
        <v>8339</v>
      </c>
      <c r="E4061" s="26">
        <v>0</v>
      </c>
      <c r="F4061" s="29" t="s">
        <v>226</v>
      </c>
    </row>
    <row r="4062" spans="1:6" ht="43.5" x14ac:dyDescent="0.35">
      <c r="A4062" s="26" t="s">
        <v>216</v>
      </c>
      <c r="B4062" s="26" t="s">
        <v>8340</v>
      </c>
      <c r="C4062" s="26" t="s">
        <v>27</v>
      </c>
      <c r="D4062" s="28" t="s">
        <v>8341</v>
      </c>
      <c r="E4062" s="26">
        <v>0</v>
      </c>
      <c r="F4062" s="29" t="s">
        <v>229</v>
      </c>
    </row>
    <row r="4063" spans="1:6" ht="29" x14ac:dyDescent="0.35">
      <c r="A4063" s="26" t="s">
        <v>216</v>
      </c>
      <c r="B4063" s="26" t="s">
        <v>8342</v>
      </c>
      <c r="C4063" s="26" t="s">
        <v>24</v>
      </c>
      <c r="D4063" s="28" t="s">
        <v>8343</v>
      </c>
      <c r="E4063" s="26">
        <v>0</v>
      </c>
      <c r="F4063" s="29" t="s">
        <v>232</v>
      </c>
    </row>
    <row r="4064" spans="1:6" ht="43.5" x14ac:dyDescent="0.35">
      <c r="A4064" s="26" t="s">
        <v>216</v>
      </c>
      <c r="B4064" s="26" t="s">
        <v>8344</v>
      </c>
      <c r="C4064" s="26" t="s">
        <v>15</v>
      </c>
      <c r="D4064" s="28" t="s">
        <v>218</v>
      </c>
      <c r="E4064" s="26" t="s">
        <v>8345</v>
      </c>
      <c r="F4064" s="29" t="s">
        <v>220</v>
      </c>
    </row>
    <row r="4065" spans="1:6" ht="29" x14ac:dyDescent="0.35">
      <c r="A4065" s="26" t="s">
        <v>216</v>
      </c>
      <c r="B4065" s="26" t="s">
        <v>8346</v>
      </c>
      <c r="C4065" s="26" t="s">
        <v>17</v>
      </c>
      <c r="D4065" s="28" t="s">
        <v>8347</v>
      </c>
      <c r="E4065" s="26">
        <v>13436</v>
      </c>
      <c r="F4065" s="29" t="s">
        <v>247</v>
      </c>
    </row>
    <row r="4066" spans="1:6" ht="29" x14ac:dyDescent="0.35">
      <c r="A4066" s="26" t="s">
        <v>216</v>
      </c>
      <c r="B4066" s="26" t="s">
        <v>8348</v>
      </c>
      <c r="C4066" s="26" t="s">
        <v>20</v>
      </c>
      <c r="D4066" s="28" t="s">
        <v>8349</v>
      </c>
      <c r="E4066" s="26">
        <v>13436</v>
      </c>
      <c r="F4066" s="29" t="s">
        <v>223</v>
      </c>
    </row>
    <row r="4067" spans="1:6" ht="58" x14ac:dyDescent="0.35">
      <c r="A4067" s="26" t="s">
        <v>216</v>
      </c>
      <c r="B4067" s="26" t="s">
        <v>8350</v>
      </c>
      <c r="C4067" s="26" t="s">
        <v>25</v>
      </c>
      <c r="D4067" s="28" t="s">
        <v>8351</v>
      </c>
      <c r="E4067" s="26">
        <v>0</v>
      </c>
      <c r="F4067" s="29" t="s">
        <v>226</v>
      </c>
    </row>
    <row r="4068" spans="1:6" ht="43.5" x14ac:dyDescent="0.35">
      <c r="A4068" s="26" t="s">
        <v>216</v>
      </c>
      <c r="B4068" s="26" t="s">
        <v>8352</v>
      </c>
      <c r="C4068" s="26" t="s">
        <v>27</v>
      </c>
      <c r="D4068" s="28" t="s">
        <v>8353</v>
      </c>
      <c r="E4068" s="26">
        <v>0</v>
      </c>
      <c r="F4068" s="29" t="s">
        <v>229</v>
      </c>
    </row>
    <row r="4069" spans="1:6" ht="29" x14ac:dyDescent="0.35">
      <c r="A4069" s="26" t="s">
        <v>216</v>
      </c>
      <c r="B4069" s="26" t="s">
        <v>8354</v>
      </c>
      <c r="C4069" s="26" t="s">
        <v>24</v>
      </c>
      <c r="D4069" s="28" t="s">
        <v>8355</v>
      </c>
      <c r="E4069" s="26">
        <v>0</v>
      </c>
      <c r="F4069" s="29" t="s">
        <v>232</v>
      </c>
    </row>
    <row r="4070" spans="1:6" ht="43.5" x14ac:dyDescent="0.35">
      <c r="A4070" s="26" t="s">
        <v>216</v>
      </c>
      <c r="B4070" s="26" t="s">
        <v>8356</v>
      </c>
      <c r="C4070" s="26" t="s">
        <v>15</v>
      </c>
      <c r="D4070" s="28" t="s">
        <v>218</v>
      </c>
      <c r="E4070" s="26" t="s">
        <v>8357</v>
      </c>
      <c r="F4070" s="29" t="s">
        <v>220</v>
      </c>
    </row>
    <row r="4071" spans="1:6" ht="29" x14ac:dyDescent="0.35">
      <c r="A4071" s="26" t="s">
        <v>216</v>
      </c>
      <c r="B4071" s="26" t="s">
        <v>8358</v>
      </c>
      <c r="C4071" s="26" t="s">
        <v>17</v>
      </c>
      <c r="D4071" s="28" t="s">
        <v>8359</v>
      </c>
      <c r="E4071" s="26">
        <v>13436</v>
      </c>
      <c r="F4071" s="29" t="s">
        <v>247</v>
      </c>
    </row>
    <row r="4072" spans="1:6" ht="29" x14ac:dyDescent="0.35">
      <c r="A4072" s="26" t="s">
        <v>216</v>
      </c>
      <c r="B4072" s="26" t="s">
        <v>8360</v>
      </c>
      <c r="C4072" s="26" t="s">
        <v>20</v>
      </c>
      <c r="D4072" s="28" t="s">
        <v>8361</v>
      </c>
      <c r="E4072" s="26">
        <v>13436</v>
      </c>
      <c r="F4072" s="29" t="s">
        <v>223</v>
      </c>
    </row>
    <row r="4073" spans="1:6" ht="58" x14ac:dyDescent="0.35">
      <c r="A4073" s="26" t="s">
        <v>216</v>
      </c>
      <c r="B4073" s="26" t="s">
        <v>8362</v>
      </c>
      <c r="C4073" s="26" t="s">
        <v>25</v>
      </c>
      <c r="D4073" s="28" t="s">
        <v>8363</v>
      </c>
      <c r="E4073" s="26">
        <v>0</v>
      </c>
      <c r="F4073" s="29" t="s">
        <v>226</v>
      </c>
    </row>
    <row r="4074" spans="1:6" ht="43.5" x14ac:dyDescent="0.35">
      <c r="A4074" s="26" t="s">
        <v>216</v>
      </c>
      <c r="B4074" s="26" t="s">
        <v>8364</v>
      </c>
      <c r="C4074" s="26" t="s">
        <v>27</v>
      </c>
      <c r="D4074" s="28" t="s">
        <v>8365</v>
      </c>
      <c r="E4074" s="26">
        <v>0</v>
      </c>
      <c r="F4074" s="29" t="s">
        <v>229</v>
      </c>
    </row>
    <row r="4075" spans="1:6" ht="29" x14ac:dyDescent="0.35">
      <c r="A4075" s="26" t="s">
        <v>216</v>
      </c>
      <c r="B4075" s="26" t="s">
        <v>8366</v>
      </c>
      <c r="C4075" s="26" t="s">
        <v>24</v>
      </c>
      <c r="D4075" s="28" t="s">
        <v>8367</v>
      </c>
      <c r="E4075" s="26">
        <v>0</v>
      </c>
      <c r="F4075" s="29" t="s">
        <v>232</v>
      </c>
    </row>
    <row r="4076" spans="1:6" ht="43.5" x14ac:dyDescent="0.35">
      <c r="A4076" s="26" t="s">
        <v>216</v>
      </c>
      <c r="B4076" s="26" t="s">
        <v>8368</v>
      </c>
      <c r="C4076" s="26" t="s">
        <v>15</v>
      </c>
      <c r="D4076" s="28" t="s">
        <v>218</v>
      </c>
      <c r="E4076" s="26" t="s">
        <v>8369</v>
      </c>
      <c r="F4076" s="29" t="s">
        <v>220</v>
      </c>
    </row>
    <row r="4077" spans="1:6" ht="29" x14ac:dyDescent="0.35">
      <c r="A4077" s="26" t="s">
        <v>216</v>
      </c>
      <c r="B4077" s="26" t="s">
        <v>8370</v>
      </c>
      <c r="C4077" s="26" t="s">
        <v>17</v>
      </c>
      <c r="D4077" s="28" t="s">
        <v>8371</v>
      </c>
      <c r="E4077" s="26">
        <v>13436</v>
      </c>
      <c r="F4077" s="29" t="s">
        <v>247</v>
      </c>
    </row>
    <row r="4078" spans="1:6" ht="29" x14ac:dyDescent="0.35">
      <c r="A4078" s="26" t="s">
        <v>216</v>
      </c>
      <c r="B4078" s="26" t="s">
        <v>8372</v>
      </c>
      <c r="C4078" s="26" t="s">
        <v>20</v>
      </c>
      <c r="D4078" s="28" t="s">
        <v>8373</v>
      </c>
      <c r="E4078" s="26">
        <v>13436</v>
      </c>
      <c r="F4078" s="29" t="s">
        <v>223</v>
      </c>
    </row>
    <row r="4079" spans="1:6" ht="58" x14ac:dyDescent="0.35">
      <c r="A4079" s="26" t="s">
        <v>216</v>
      </c>
      <c r="B4079" s="26" t="s">
        <v>8374</v>
      </c>
      <c r="C4079" s="26" t="s">
        <v>25</v>
      </c>
      <c r="D4079" s="28" t="s">
        <v>8375</v>
      </c>
      <c r="E4079" s="26">
        <v>0</v>
      </c>
      <c r="F4079" s="29" t="s">
        <v>226</v>
      </c>
    </row>
    <row r="4080" spans="1:6" ht="43.5" x14ac:dyDescent="0.35">
      <c r="A4080" s="26" t="s">
        <v>216</v>
      </c>
      <c r="B4080" s="26" t="s">
        <v>8376</v>
      </c>
      <c r="C4080" s="26" t="s">
        <v>27</v>
      </c>
      <c r="D4080" s="28" t="s">
        <v>8377</v>
      </c>
      <c r="E4080" s="26">
        <v>0</v>
      </c>
      <c r="F4080" s="29" t="s">
        <v>229</v>
      </c>
    </row>
    <row r="4081" spans="1:6" ht="29" x14ac:dyDescent="0.35">
      <c r="A4081" s="26" t="s">
        <v>216</v>
      </c>
      <c r="B4081" s="26" t="s">
        <v>8378</v>
      </c>
      <c r="C4081" s="26" t="s">
        <v>24</v>
      </c>
      <c r="D4081" s="28" t="s">
        <v>8379</v>
      </c>
      <c r="E4081" s="26">
        <v>0</v>
      </c>
      <c r="F4081" s="29" t="s">
        <v>232</v>
      </c>
    </row>
    <row r="4082" spans="1:6" ht="43.5" x14ac:dyDescent="0.35">
      <c r="A4082" s="26" t="s">
        <v>216</v>
      </c>
      <c r="B4082" s="26" t="s">
        <v>8380</v>
      </c>
      <c r="C4082" s="26" t="s">
        <v>15</v>
      </c>
      <c r="D4082" s="28" t="s">
        <v>218</v>
      </c>
      <c r="E4082" s="26" t="s">
        <v>8381</v>
      </c>
      <c r="F4082" s="29" t="s">
        <v>220</v>
      </c>
    </row>
    <row r="4083" spans="1:6" ht="29" x14ac:dyDescent="0.35">
      <c r="A4083" s="26" t="s">
        <v>216</v>
      </c>
      <c r="B4083" s="26" t="s">
        <v>8382</v>
      </c>
      <c r="C4083" s="26" t="s">
        <v>17</v>
      </c>
      <c r="D4083" s="28" t="s">
        <v>8383</v>
      </c>
      <c r="E4083" s="26">
        <v>13436</v>
      </c>
      <c r="F4083" s="29" t="s">
        <v>247</v>
      </c>
    </row>
    <row r="4084" spans="1:6" ht="29" x14ac:dyDescent="0.35">
      <c r="A4084" s="26" t="s">
        <v>216</v>
      </c>
      <c r="B4084" s="26" t="s">
        <v>8384</v>
      </c>
      <c r="C4084" s="26" t="s">
        <v>20</v>
      </c>
      <c r="D4084" s="28" t="s">
        <v>8385</v>
      </c>
      <c r="E4084" s="26">
        <v>13436</v>
      </c>
      <c r="F4084" s="29" t="s">
        <v>223</v>
      </c>
    </row>
    <row r="4085" spans="1:6" ht="58" x14ac:dyDescent="0.35">
      <c r="A4085" s="26" t="s">
        <v>216</v>
      </c>
      <c r="B4085" s="26" t="s">
        <v>8386</v>
      </c>
      <c r="C4085" s="26" t="s">
        <v>25</v>
      </c>
      <c r="D4085" s="28" t="s">
        <v>8387</v>
      </c>
      <c r="E4085" s="26">
        <v>0</v>
      </c>
      <c r="F4085" s="29" t="s">
        <v>226</v>
      </c>
    </row>
    <row r="4086" spans="1:6" ht="43.5" x14ac:dyDescent="0.35">
      <c r="A4086" s="26" t="s">
        <v>216</v>
      </c>
      <c r="B4086" s="26" t="s">
        <v>8388</v>
      </c>
      <c r="C4086" s="26" t="s">
        <v>27</v>
      </c>
      <c r="D4086" s="28" t="s">
        <v>8389</v>
      </c>
      <c r="E4086" s="26">
        <v>0</v>
      </c>
      <c r="F4086" s="29" t="s">
        <v>229</v>
      </c>
    </row>
    <row r="4087" spans="1:6" ht="29" x14ac:dyDescent="0.35">
      <c r="A4087" s="26" t="s">
        <v>216</v>
      </c>
      <c r="B4087" s="26" t="s">
        <v>8390</v>
      </c>
      <c r="C4087" s="26" t="s">
        <v>24</v>
      </c>
      <c r="D4087" s="28" t="s">
        <v>8391</v>
      </c>
      <c r="E4087" s="26">
        <v>0</v>
      </c>
      <c r="F4087" s="29" t="s">
        <v>232</v>
      </c>
    </row>
    <row r="4088" spans="1:6" ht="43.5" x14ac:dyDescent="0.35">
      <c r="A4088" s="26" t="s">
        <v>216</v>
      </c>
      <c r="B4088" s="26" t="s">
        <v>8392</v>
      </c>
      <c r="C4088" s="26" t="s">
        <v>15</v>
      </c>
      <c r="D4088" s="28" t="s">
        <v>218</v>
      </c>
      <c r="E4088" s="26" t="s">
        <v>8393</v>
      </c>
      <c r="F4088" s="29" t="s">
        <v>220</v>
      </c>
    </row>
    <row r="4089" spans="1:6" ht="29" x14ac:dyDescent="0.35">
      <c r="A4089" s="26" t="s">
        <v>216</v>
      </c>
      <c r="B4089" s="26" t="s">
        <v>8394</v>
      </c>
      <c r="C4089" s="26" t="s">
        <v>17</v>
      </c>
      <c r="D4089" s="28" t="s">
        <v>8395</v>
      </c>
      <c r="E4089" s="26">
        <v>13436</v>
      </c>
      <c r="F4089" s="29" t="s">
        <v>247</v>
      </c>
    </row>
    <row r="4090" spans="1:6" ht="29" x14ac:dyDescent="0.35">
      <c r="A4090" s="26" t="s">
        <v>216</v>
      </c>
      <c r="B4090" s="26" t="s">
        <v>8396</v>
      </c>
      <c r="C4090" s="26" t="s">
        <v>20</v>
      </c>
      <c r="D4090" s="28" t="s">
        <v>8397</v>
      </c>
      <c r="E4090" s="26">
        <v>13436</v>
      </c>
      <c r="F4090" s="29" t="s">
        <v>223</v>
      </c>
    </row>
    <row r="4091" spans="1:6" ht="58" x14ac:dyDescent="0.35">
      <c r="A4091" s="26" t="s">
        <v>216</v>
      </c>
      <c r="B4091" s="26" t="s">
        <v>8398</v>
      </c>
      <c r="C4091" s="26" t="s">
        <v>25</v>
      </c>
      <c r="D4091" s="28" t="s">
        <v>8399</v>
      </c>
      <c r="E4091" s="26">
        <v>0</v>
      </c>
      <c r="F4091" s="29" t="s">
        <v>226</v>
      </c>
    </row>
    <row r="4092" spans="1:6" ht="43.5" x14ac:dyDescent="0.35">
      <c r="A4092" s="26" t="s">
        <v>216</v>
      </c>
      <c r="B4092" s="26" t="s">
        <v>8400</v>
      </c>
      <c r="C4092" s="26" t="s">
        <v>27</v>
      </c>
      <c r="D4092" s="28" t="s">
        <v>8401</v>
      </c>
      <c r="E4092" s="26">
        <v>0</v>
      </c>
      <c r="F4092" s="29" t="s">
        <v>229</v>
      </c>
    </row>
    <row r="4093" spans="1:6" ht="29" x14ac:dyDescent="0.35">
      <c r="A4093" s="26" t="s">
        <v>216</v>
      </c>
      <c r="B4093" s="26" t="s">
        <v>8402</v>
      </c>
      <c r="C4093" s="26" t="s">
        <v>24</v>
      </c>
      <c r="D4093" s="28" t="s">
        <v>8403</v>
      </c>
      <c r="E4093" s="26">
        <v>0</v>
      </c>
      <c r="F4093" s="29" t="s">
        <v>232</v>
      </c>
    </row>
    <row r="4094" spans="1:6" ht="43.5" x14ac:dyDescent="0.35">
      <c r="A4094" s="26" t="s">
        <v>216</v>
      </c>
      <c r="B4094" s="26" t="s">
        <v>8404</v>
      </c>
      <c r="C4094" s="26" t="s">
        <v>15</v>
      </c>
      <c r="D4094" s="28" t="s">
        <v>218</v>
      </c>
      <c r="E4094" s="26" t="s">
        <v>8405</v>
      </c>
      <c r="F4094" s="29" t="s">
        <v>220</v>
      </c>
    </row>
    <row r="4095" spans="1:6" ht="29" x14ac:dyDescent="0.35">
      <c r="A4095" s="26" t="s">
        <v>216</v>
      </c>
      <c r="B4095" s="26" t="s">
        <v>8406</v>
      </c>
      <c r="C4095" s="26" t="s">
        <v>17</v>
      </c>
      <c r="D4095" s="28" t="s">
        <v>8407</v>
      </c>
      <c r="E4095" s="26">
        <v>13436</v>
      </c>
      <c r="F4095" s="29" t="s">
        <v>247</v>
      </c>
    </row>
    <row r="4096" spans="1:6" ht="29" x14ac:dyDescent="0.35">
      <c r="A4096" s="26" t="s">
        <v>216</v>
      </c>
      <c r="B4096" s="26" t="s">
        <v>8408</v>
      </c>
      <c r="C4096" s="26" t="s">
        <v>20</v>
      </c>
      <c r="D4096" s="28" t="s">
        <v>8409</v>
      </c>
      <c r="E4096" s="26">
        <v>13436</v>
      </c>
      <c r="F4096" s="29" t="s">
        <v>223</v>
      </c>
    </row>
    <row r="4097" spans="1:6" ht="58" x14ac:dyDescent="0.35">
      <c r="A4097" s="26" t="s">
        <v>216</v>
      </c>
      <c r="B4097" s="26" t="s">
        <v>8410</v>
      </c>
      <c r="C4097" s="26" t="s">
        <v>25</v>
      </c>
      <c r="D4097" s="28" t="s">
        <v>8411</v>
      </c>
      <c r="E4097" s="26">
        <v>0</v>
      </c>
      <c r="F4097" s="29" t="s">
        <v>226</v>
      </c>
    </row>
    <row r="4098" spans="1:6" ht="43.5" x14ac:dyDescent="0.35">
      <c r="A4098" s="26" t="s">
        <v>216</v>
      </c>
      <c r="B4098" s="26" t="s">
        <v>8412</v>
      </c>
      <c r="C4098" s="26" t="s">
        <v>27</v>
      </c>
      <c r="D4098" s="28" t="s">
        <v>8413</v>
      </c>
      <c r="E4098" s="26">
        <v>0</v>
      </c>
      <c r="F4098" s="29" t="s">
        <v>229</v>
      </c>
    </row>
    <row r="4099" spans="1:6" ht="29" x14ac:dyDescent="0.35">
      <c r="A4099" s="26" t="s">
        <v>216</v>
      </c>
      <c r="B4099" s="26" t="s">
        <v>8414</v>
      </c>
      <c r="C4099" s="26" t="s">
        <v>24</v>
      </c>
      <c r="D4099" s="28" t="s">
        <v>8415</v>
      </c>
      <c r="E4099" s="26">
        <v>0</v>
      </c>
      <c r="F4099" s="29" t="s">
        <v>232</v>
      </c>
    </row>
    <row r="4100" spans="1:6" ht="43.5" x14ac:dyDescent="0.35">
      <c r="A4100" s="26" t="s">
        <v>216</v>
      </c>
      <c r="B4100" s="26" t="s">
        <v>8416</v>
      </c>
      <c r="C4100" s="26" t="s">
        <v>15</v>
      </c>
      <c r="D4100" s="28" t="s">
        <v>218</v>
      </c>
      <c r="E4100" s="26" t="s">
        <v>8417</v>
      </c>
      <c r="F4100" s="29" t="s">
        <v>220</v>
      </c>
    </row>
    <row r="4101" spans="1:6" ht="29" x14ac:dyDescent="0.35">
      <c r="A4101" s="26" t="s">
        <v>216</v>
      </c>
      <c r="B4101" s="26" t="s">
        <v>8418</v>
      </c>
      <c r="C4101" s="26" t="s">
        <v>17</v>
      </c>
      <c r="D4101" s="28" t="s">
        <v>8419</v>
      </c>
      <c r="E4101" s="26">
        <v>13436</v>
      </c>
      <c r="F4101" s="29" t="s">
        <v>247</v>
      </c>
    </row>
    <row r="4102" spans="1:6" ht="29" x14ac:dyDescent="0.35">
      <c r="A4102" s="26" t="s">
        <v>216</v>
      </c>
      <c r="B4102" s="26" t="s">
        <v>8420</v>
      </c>
      <c r="C4102" s="26" t="s">
        <v>20</v>
      </c>
      <c r="D4102" s="28" t="s">
        <v>8421</v>
      </c>
      <c r="E4102" s="26">
        <v>13436</v>
      </c>
      <c r="F4102" s="29" t="s">
        <v>223</v>
      </c>
    </row>
    <row r="4103" spans="1:6" ht="58" x14ac:dyDescent="0.35">
      <c r="A4103" s="26" t="s">
        <v>216</v>
      </c>
      <c r="B4103" s="26" t="s">
        <v>8422</v>
      </c>
      <c r="C4103" s="26" t="s">
        <v>25</v>
      </c>
      <c r="D4103" s="28" t="s">
        <v>8423</v>
      </c>
      <c r="E4103" s="26">
        <v>0</v>
      </c>
      <c r="F4103" s="29" t="s">
        <v>226</v>
      </c>
    </row>
    <row r="4104" spans="1:6" ht="43.5" x14ac:dyDescent="0.35">
      <c r="A4104" s="26" t="s">
        <v>216</v>
      </c>
      <c r="B4104" s="26" t="s">
        <v>8424</v>
      </c>
      <c r="C4104" s="26" t="s">
        <v>27</v>
      </c>
      <c r="D4104" s="28" t="s">
        <v>8425</v>
      </c>
      <c r="E4104" s="26">
        <v>0</v>
      </c>
      <c r="F4104" s="29" t="s">
        <v>229</v>
      </c>
    </row>
    <row r="4105" spans="1:6" ht="29" x14ac:dyDescent="0.35">
      <c r="A4105" s="26" t="s">
        <v>216</v>
      </c>
      <c r="B4105" s="26" t="s">
        <v>8426</v>
      </c>
      <c r="C4105" s="26" t="s">
        <v>24</v>
      </c>
      <c r="D4105" s="28" t="s">
        <v>8427</v>
      </c>
      <c r="E4105" s="26">
        <v>0</v>
      </c>
      <c r="F4105" s="29" t="s">
        <v>232</v>
      </c>
    </row>
    <row r="4106" spans="1:6" ht="43.5" x14ac:dyDescent="0.35">
      <c r="A4106" s="26" t="s">
        <v>216</v>
      </c>
      <c r="B4106" s="26" t="s">
        <v>8428</v>
      </c>
      <c r="C4106" s="26" t="s">
        <v>15</v>
      </c>
      <c r="D4106" s="28" t="s">
        <v>218</v>
      </c>
      <c r="E4106" s="26" t="s">
        <v>8429</v>
      </c>
      <c r="F4106" s="29" t="s">
        <v>220</v>
      </c>
    </row>
    <row r="4107" spans="1:6" ht="29" x14ac:dyDescent="0.35">
      <c r="A4107" s="26" t="s">
        <v>216</v>
      </c>
      <c r="B4107" s="26" t="s">
        <v>8430</v>
      </c>
      <c r="C4107" s="26" t="s">
        <v>17</v>
      </c>
      <c r="D4107" s="28" t="s">
        <v>8431</v>
      </c>
      <c r="E4107" s="26">
        <v>13436</v>
      </c>
      <c r="F4107" s="29" t="s">
        <v>247</v>
      </c>
    </row>
    <row r="4108" spans="1:6" ht="29" x14ac:dyDescent="0.35">
      <c r="A4108" s="26" t="s">
        <v>216</v>
      </c>
      <c r="B4108" s="26" t="s">
        <v>8432</v>
      </c>
      <c r="C4108" s="26" t="s">
        <v>20</v>
      </c>
      <c r="D4108" s="28" t="s">
        <v>8433</v>
      </c>
      <c r="E4108" s="26">
        <v>13436</v>
      </c>
      <c r="F4108" s="29" t="s">
        <v>223</v>
      </c>
    </row>
    <row r="4109" spans="1:6" ht="58" x14ac:dyDescent="0.35">
      <c r="A4109" s="26" t="s">
        <v>216</v>
      </c>
      <c r="B4109" s="26" t="s">
        <v>8434</v>
      </c>
      <c r="C4109" s="26" t="s">
        <v>25</v>
      </c>
      <c r="D4109" s="28" t="s">
        <v>8435</v>
      </c>
      <c r="E4109" s="26">
        <v>0</v>
      </c>
      <c r="F4109" s="29" t="s">
        <v>226</v>
      </c>
    </row>
    <row r="4110" spans="1:6" ht="43.5" x14ac:dyDescent="0.35">
      <c r="A4110" s="26" t="s">
        <v>216</v>
      </c>
      <c r="B4110" s="26" t="s">
        <v>8436</v>
      </c>
      <c r="C4110" s="26" t="s">
        <v>27</v>
      </c>
      <c r="D4110" s="28" t="s">
        <v>8437</v>
      </c>
      <c r="E4110" s="26">
        <v>0</v>
      </c>
      <c r="F4110" s="29" t="s">
        <v>229</v>
      </c>
    </row>
    <row r="4111" spans="1:6" ht="29" x14ac:dyDescent="0.35">
      <c r="A4111" s="26" t="s">
        <v>216</v>
      </c>
      <c r="B4111" s="26" t="s">
        <v>8438</v>
      </c>
      <c r="C4111" s="26" t="s">
        <v>24</v>
      </c>
      <c r="D4111" s="28" t="s">
        <v>8439</v>
      </c>
      <c r="E4111" s="26">
        <v>0</v>
      </c>
      <c r="F4111" s="29" t="s">
        <v>232</v>
      </c>
    </row>
    <row r="4112" spans="1:6" ht="43.5" x14ac:dyDescent="0.35">
      <c r="A4112" s="26" t="s">
        <v>216</v>
      </c>
      <c r="B4112" s="26" t="s">
        <v>8440</v>
      </c>
      <c r="C4112" s="26" t="s">
        <v>15</v>
      </c>
      <c r="D4112" s="28" t="s">
        <v>218</v>
      </c>
      <c r="E4112" s="26" t="s">
        <v>8441</v>
      </c>
      <c r="F4112" s="29" t="s">
        <v>220</v>
      </c>
    </row>
    <row r="4113" spans="1:6" ht="29" x14ac:dyDescent="0.35">
      <c r="A4113" s="26" t="s">
        <v>216</v>
      </c>
      <c r="B4113" s="26" t="s">
        <v>8442</v>
      </c>
      <c r="C4113" s="26" t="s">
        <v>17</v>
      </c>
      <c r="D4113" s="28" t="s">
        <v>8443</v>
      </c>
      <c r="E4113" s="26">
        <v>13436</v>
      </c>
      <c r="F4113" s="29" t="s">
        <v>247</v>
      </c>
    </row>
    <row r="4114" spans="1:6" ht="29" x14ac:dyDescent="0.35">
      <c r="A4114" s="26" t="s">
        <v>216</v>
      </c>
      <c r="B4114" s="26" t="s">
        <v>8444</v>
      </c>
      <c r="C4114" s="26" t="s">
        <v>20</v>
      </c>
      <c r="D4114" s="28" t="s">
        <v>8445</v>
      </c>
      <c r="E4114" s="26">
        <v>13436</v>
      </c>
      <c r="F4114" s="29" t="s">
        <v>223</v>
      </c>
    </row>
    <row r="4115" spans="1:6" ht="58" x14ac:dyDescent="0.35">
      <c r="A4115" s="26" t="s">
        <v>216</v>
      </c>
      <c r="B4115" s="26" t="s">
        <v>8446</v>
      </c>
      <c r="C4115" s="26" t="s">
        <v>25</v>
      </c>
      <c r="D4115" s="28" t="s">
        <v>8447</v>
      </c>
      <c r="E4115" s="26">
        <v>0</v>
      </c>
      <c r="F4115" s="29" t="s">
        <v>226</v>
      </c>
    </row>
    <row r="4116" spans="1:6" ht="43.5" x14ac:dyDescent="0.35">
      <c r="A4116" s="26" t="s">
        <v>216</v>
      </c>
      <c r="B4116" s="26" t="s">
        <v>8448</v>
      </c>
      <c r="C4116" s="26" t="s">
        <v>27</v>
      </c>
      <c r="D4116" s="28" t="s">
        <v>8449</v>
      </c>
      <c r="E4116" s="26">
        <v>0</v>
      </c>
      <c r="F4116" s="29" t="s">
        <v>229</v>
      </c>
    </row>
    <row r="4117" spans="1:6" ht="29" x14ac:dyDescent="0.35">
      <c r="A4117" s="26" t="s">
        <v>216</v>
      </c>
      <c r="B4117" s="26" t="s">
        <v>8450</v>
      </c>
      <c r="C4117" s="26" t="s">
        <v>24</v>
      </c>
      <c r="D4117" s="28" t="s">
        <v>8451</v>
      </c>
      <c r="E4117" s="26">
        <v>0</v>
      </c>
      <c r="F4117" s="29" t="s">
        <v>232</v>
      </c>
    </row>
    <row r="4118" spans="1:6" ht="43.5" x14ac:dyDescent="0.35">
      <c r="A4118" s="26" t="s">
        <v>216</v>
      </c>
      <c r="B4118" s="26" t="s">
        <v>8452</v>
      </c>
      <c r="C4118" s="26" t="s">
        <v>15</v>
      </c>
      <c r="D4118" s="28" t="s">
        <v>218</v>
      </c>
      <c r="E4118" s="26" t="s">
        <v>8453</v>
      </c>
      <c r="F4118" s="29" t="s">
        <v>220</v>
      </c>
    </row>
    <row r="4119" spans="1:6" ht="29" x14ac:dyDescent="0.35">
      <c r="A4119" s="26" t="s">
        <v>216</v>
      </c>
      <c r="B4119" s="26" t="s">
        <v>8454</v>
      </c>
      <c r="C4119" s="26" t="s">
        <v>17</v>
      </c>
      <c r="D4119" s="28" t="s">
        <v>8455</v>
      </c>
      <c r="E4119" s="26">
        <v>13436</v>
      </c>
      <c r="F4119" s="29" t="s">
        <v>247</v>
      </c>
    </row>
    <row r="4120" spans="1:6" ht="29" x14ac:dyDescent="0.35">
      <c r="A4120" s="26" t="s">
        <v>216</v>
      </c>
      <c r="B4120" s="26" t="s">
        <v>8456</v>
      </c>
      <c r="C4120" s="26" t="s">
        <v>20</v>
      </c>
      <c r="D4120" s="28" t="s">
        <v>8457</v>
      </c>
      <c r="E4120" s="26">
        <v>13436</v>
      </c>
      <c r="F4120" s="29" t="s">
        <v>223</v>
      </c>
    </row>
    <row r="4121" spans="1:6" ht="58" x14ac:dyDescent="0.35">
      <c r="A4121" s="26" t="s">
        <v>216</v>
      </c>
      <c r="B4121" s="26" t="s">
        <v>8458</v>
      </c>
      <c r="C4121" s="26" t="s">
        <v>25</v>
      </c>
      <c r="D4121" s="28" t="s">
        <v>8459</v>
      </c>
      <c r="E4121" s="26">
        <v>0</v>
      </c>
      <c r="F4121" s="29" t="s">
        <v>226</v>
      </c>
    </row>
    <row r="4122" spans="1:6" ht="43.5" x14ac:dyDescent="0.35">
      <c r="A4122" s="26" t="s">
        <v>216</v>
      </c>
      <c r="B4122" s="26" t="s">
        <v>8460</v>
      </c>
      <c r="C4122" s="26" t="s">
        <v>27</v>
      </c>
      <c r="D4122" s="28" t="s">
        <v>8461</v>
      </c>
      <c r="E4122" s="26">
        <v>0</v>
      </c>
      <c r="F4122" s="29" t="s">
        <v>229</v>
      </c>
    </row>
    <row r="4123" spans="1:6" ht="29" x14ac:dyDescent="0.35">
      <c r="A4123" s="26" t="s">
        <v>216</v>
      </c>
      <c r="B4123" s="26" t="s">
        <v>8462</v>
      </c>
      <c r="C4123" s="26" t="s">
        <v>24</v>
      </c>
      <c r="D4123" s="28" t="s">
        <v>8463</v>
      </c>
      <c r="E4123" s="26">
        <v>0</v>
      </c>
      <c r="F4123" s="29" t="s">
        <v>232</v>
      </c>
    </row>
    <row r="4124" spans="1:6" ht="43.5" x14ac:dyDescent="0.35">
      <c r="A4124" s="26" t="s">
        <v>216</v>
      </c>
      <c r="B4124" s="26" t="s">
        <v>8464</v>
      </c>
      <c r="C4124" s="26" t="s">
        <v>15</v>
      </c>
      <c r="D4124" s="28" t="s">
        <v>218</v>
      </c>
      <c r="E4124" s="26" t="s">
        <v>8465</v>
      </c>
      <c r="F4124" s="29" t="s">
        <v>220</v>
      </c>
    </row>
    <row r="4125" spans="1:6" ht="29" x14ac:dyDescent="0.35">
      <c r="A4125" s="26" t="s">
        <v>216</v>
      </c>
      <c r="B4125" s="26" t="s">
        <v>8466</v>
      </c>
      <c r="C4125" s="26" t="s">
        <v>17</v>
      </c>
      <c r="D4125" s="28" t="s">
        <v>8467</v>
      </c>
      <c r="E4125" s="26">
        <v>13436</v>
      </c>
      <c r="F4125" s="29" t="s">
        <v>247</v>
      </c>
    </row>
    <row r="4126" spans="1:6" ht="29" x14ac:dyDescent="0.35">
      <c r="A4126" s="26" t="s">
        <v>216</v>
      </c>
      <c r="B4126" s="26" t="s">
        <v>8468</v>
      </c>
      <c r="C4126" s="26" t="s">
        <v>20</v>
      </c>
      <c r="D4126" s="28" t="s">
        <v>8469</v>
      </c>
      <c r="E4126" s="26">
        <v>13436</v>
      </c>
      <c r="F4126" s="29" t="s">
        <v>223</v>
      </c>
    </row>
    <row r="4127" spans="1:6" ht="58" x14ac:dyDescent="0.35">
      <c r="A4127" s="26" t="s">
        <v>216</v>
      </c>
      <c r="B4127" s="26" t="s">
        <v>8470</v>
      </c>
      <c r="C4127" s="26" t="s">
        <v>25</v>
      </c>
      <c r="D4127" s="28" t="s">
        <v>8471</v>
      </c>
      <c r="E4127" s="26">
        <v>0</v>
      </c>
      <c r="F4127" s="29" t="s">
        <v>226</v>
      </c>
    </row>
    <row r="4128" spans="1:6" ht="43.5" x14ac:dyDescent="0.35">
      <c r="A4128" s="26" t="s">
        <v>216</v>
      </c>
      <c r="B4128" s="26" t="s">
        <v>8472</v>
      </c>
      <c r="C4128" s="26" t="s">
        <v>27</v>
      </c>
      <c r="D4128" s="28" t="s">
        <v>8473</v>
      </c>
      <c r="E4128" s="26">
        <v>0</v>
      </c>
      <c r="F4128" s="29" t="s">
        <v>229</v>
      </c>
    </row>
    <row r="4129" spans="1:6" ht="29" x14ac:dyDescent="0.35">
      <c r="A4129" s="26" t="s">
        <v>216</v>
      </c>
      <c r="B4129" s="26" t="s">
        <v>8474</v>
      </c>
      <c r="C4129" s="26" t="s">
        <v>24</v>
      </c>
      <c r="D4129" s="28" t="s">
        <v>8475</v>
      </c>
      <c r="E4129" s="26">
        <v>0</v>
      </c>
      <c r="F4129" s="29" t="s">
        <v>232</v>
      </c>
    </row>
    <row r="4130" spans="1:6" ht="43.5" x14ac:dyDescent="0.35">
      <c r="A4130" s="26" t="s">
        <v>216</v>
      </c>
      <c r="B4130" s="26" t="s">
        <v>8476</v>
      </c>
      <c r="C4130" s="26" t="s">
        <v>15</v>
      </c>
      <c r="D4130" s="28" t="s">
        <v>218</v>
      </c>
      <c r="E4130" s="26" t="s">
        <v>8477</v>
      </c>
      <c r="F4130" s="29" t="s">
        <v>220</v>
      </c>
    </row>
    <row r="4131" spans="1:6" ht="29" x14ac:dyDescent="0.35">
      <c r="A4131" s="26" t="s">
        <v>216</v>
      </c>
      <c r="B4131" s="26" t="s">
        <v>8478</v>
      </c>
      <c r="C4131" s="26" t="s">
        <v>17</v>
      </c>
      <c r="D4131" s="28" t="s">
        <v>8479</v>
      </c>
      <c r="E4131" s="26">
        <v>13436</v>
      </c>
      <c r="F4131" s="29" t="s">
        <v>247</v>
      </c>
    </row>
    <row r="4132" spans="1:6" ht="29" x14ac:dyDescent="0.35">
      <c r="A4132" s="26" t="s">
        <v>216</v>
      </c>
      <c r="B4132" s="26" t="s">
        <v>8480</v>
      </c>
      <c r="C4132" s="26" t="s">
        <v>20</v>
      </c>
      <c r="D4132" s="28" t="s">
        <v>8481</v>
      </c>
      <c r="E4132" s="26">
        <v>13436</v>
      </c>
      <c r="F4132" s="29" t="s">
        <v>223</v>
      </c>
    </row>
    <row r="4133" spans="1:6" ht="58" x14ac:dyDescent="0.35">
      <c r="A4133" s="26" t="s">
        <v>216</v>
      </c>
      <c r="B4133" s="26" t="s">
        <v>8482</v>
      </c>
      <c r="C4133" s="26" t="s">
        <v>25</v>
      </c>
      <c r="D4133" s="28" t="s">
        <v>8483</v>
      </c>
      <c r="E4133" s="26">
        <v>0</v>
      </c>
      <c r="F4133" s="29" t="s">
        <v>226</v>
      </c>
    </row>
    <row r="4134" spans="1:6" ht="43.5" x14ac:dyDescent="0.35">
      <c r="A4134" s="26" t="s">
        <v>216</v>
      </c>
      <c r="B4134" s="26" t="s">
        <v>8484</v>
      </c>
      <c r="C4134" s="26" t="s">
        <v>27</v>
      </c>
      <c r="D4134" s="28" t="s">
        <v>8485</v>
      </c>
      <c r="E4134" s="26">
        <v>0</v>
      </c>
      <c r="F4134" s="29" t="s">
        <v>229</v>
      </c>
    </row>
    <row r="4135" spans="1:6" ht="29" x14ac:dyDescent="0.35">
      <c r="A4135" s="26" t="s">
        <v>216</v>
      </c>
      <c r="B4135" s="26" t="s">
        <v>8486</v>
      </c>
      <c r="C4135" s="26" t="s">
        <v>24</v>
      </c>
      <c r="D4135" s="28" t="s">
        <v>8487</v>
      </c>
      <c r="E4135" s="26">
        <v>0</v>
      </c>
      <c r="F4135" s="29" t="s">
        <v>232</v>
      </c>
    </row>
    <row r="4136" spans="1:6" ht="43.5" x14ac:dyDescent="0.35">
      <c r="A4136" s="26" t="s">
        <v>216</v>
      </c>
      <c r="B4136" s="26" t="s">
        <v>8488</v>
      </c>
      <c r="C4136" s="26" t="s">
        <v>15</v>
      </c>
      <c r="D4136" s="28" t="s">
        <v>218</v>
      </c>
      <c r="E4136" s="26" t="s">
        <v>8489</v>
      </c>
      <c r="F4136" s="29" t="s">
        <v>220</v>
      </c>
    </row>
    <row r="4137" spans="1:6" ht="29" x14ac:dyDescent="0.35">
      <c r="A4137" s="26" t="s">
        <v>216</v>
      </c>
      <c r="B4137" s="26" t="s">
        <v>8490</v>
      </c>
      <c r="C4137" s="26" t="s">
        <v>17</v>
      </c>
      <c r="D4137" s="28" t="s">
        <v>8491</v>
      </c>
      <c r="E4137" s="26">
        <v>13436</v>
      </c>
      <c r="F4137" s="29" t="s">
        <v>247</v>
      </c>
    </row>
    <row r="4138" spans="1:6" ht="29" x14ac:dyDescent="0.35">
      <c r="A4138" s="26" t="s">
        <v>216</v>
      </c>
      <c r="B4138" s="26" t="s">
        <v>8492</v>
      </c>
      <c r="C4138" s="26" t="s">
        <v>20</v>
      </c>
      <c r="D4138" s="28" t="s">
        <v>8493</v>
      </c>
      <c r="E4138" s="26">
        <v>13436</v>
      </c>
      <c r="F4138" s="29" t="s">
        <v>223</v>
      </c>
    </row>
    <row r="4139" spans="1:6" ht="58" x14ac:dyDescent="0.35">
      <c r="A4139" s="26" t="s">
        <v>216</v>
      </c>
      <c r="B4139" s="26" t="s">
        <v>8494</v>
      </c>
      <c r="C4139" s="26" t="s">
        <v>25</v>
      </c>
      <c r="D4139" s="28" t="s">
        <v>8495</v>
      </c>
      <c r="E4139" s="26">
        <v>0</v>
      </c>
      <c r="F4139" s="29" t="s">
        <v>226</v>
      </c>
    </row>
    <row r="4140" spans="1:6" ht="43.5" x14ac:dyDescent="0.35">
      <c r="A4140" s="26" t="s">
        <v>216</v>
      </c>
      <c r="B4140" s="26" t="s">
        <v>8496</v>
      </c>
      <c r="C4140" s="26" t="s">
        <v>27</v>
      </c>
      <c r="D4140" s="28" t="s">
        <v>8497</v>
      </c>
      <c r="E4140" s="26">
        <v>0</v>
      </c>
      <c r="F4140" s="29" t="s">
        <v>229</v>
      </c>
    </row>
    <row r="4141" spans="1:6" ht="29" x14ac:dyDescent="0.35">
      <c r="A4141" s="26" t="s">
        <v>216</v>
      </c>
      <c r="B4141" s="26" t="s">
        <v>8498</v>
      </c>
      <c r="C4141" s="26" t="s">
        <v>24</v>
      </c>
      <c r="D4141" s="28" t="s">
        <v>8499</v>
      </c>
      <c r="E4141" s="26">
        <v>0</v>
      </c>
      <c r="F4141" s="29" t="s">
        <v>232</v>
      </c>
    </row>
    <row r="4142" spans="1:6" ht="43.5" x14ac:dyDescent="0.35">
      <c r="A4142" s="26" t="s">
        <v>216</v>
      </c>
      <c r="B4142" s="26" t="s">
        <v>8500</v>
      </c>
      <c r="C4142" s="26" t="s">
        <v>15</v>
      </c>
      <c r="D4142" s="28" t="s">
        <v>218</v>
      </c>
      <c r="E4142" s="26" t="s">
        <v>8501</v>
      </c>
      <c r="F4142" s="29" t="s">
        <v>220</v>
      </c>
    </row>
    <row r="4143" spans="1:6" ht="29" x14ac:dyDescent="0.35">
      <c r="A4143" s="26" t="s">
        <v>216</v>
      </c>
      <c r="B4143" s="26" t="s">
        <v>8502</v>
      </c>
      <c r="C4143" s="26" t="s">
        <v>17</v>
      </c>
      <c r="D4143" s="28" t="s">
        <v>8503</v>
      </c>
      <c r="E4143" s="26">
        <v>13436</v>
      </c>
      <c r="F4143" s="29" t="s">
        <v>247</v>
      </c>
    </row>
    <row r="4144" spans="1:6" ht="29" x14ac:dyDescent="0.35">
      <c r="A4144" s="26" t="s">
        <v>216</v>
      </c>
      <c r="B4144" s="26" t="s">
        <v>8504</v>
      </c>
      <c r="C4144" s="26" t="s">
        <v>20</v>
      </c>
      <c r="D4144" s="28" t="s">
        <v>8505</v>
      </c>
      <c r="E4144" s="26">
        <v>13436</v>
      </c>
      <c r="F4144" s="29" t="s">
        <v>223</v>
      </c>
    </row>
    <row r="4145" spans="1:6" ht="58" x14ac:dyDescent="0.35">
      <c r="A4145" s="26" t="s">
        <v>216</v>
      </c>
      <c r="B4145" s="26" t="s">
        <v>8506</v>
      </c>
      <c r="C4145" s="26" t="s">
        <v>25</v>
      </c>
      <c r="D4145" s="28" t="s">
        <v>8507</v>
      </c>
      <c r="E4145" s="26">
        <v>0</v>
      </c>
      <c r="F4145" s="29" t="s">
        <v>226</v>
      </c>
    </row>
    <row r="4146" spans="1:6" ht="43.5" x14ac:dyDescent="0.35">
      <c r="A4146" s="26" t="s">
        <v>216</v>
      </c>
      <c r="B4146" s="26" t="s">
        <v>8508</v>
      </c>
      <c r="C4146" s="26" t="s">
        <v>27</v>
      </c>
      <c r="D4146" s="28" t="s">
        <v>8509</v>
      </c>
      <c r="E4146" s="26">
        <v>0</v>
      </c>
      <c r="F4146" s="29" t="s">
        <v>229</v>
      </c>
    </row>
    <row r="4147" spans="1:6" ht="29" x14ac:dyDescent="0.35">
      <c r="A4147" s="26" t="s">
        <v>216</v>
      </c>
      <c r="B4147" s="26" t="s">
        <v>8510</v>
      </c>
      <c r="C4147" s="26" t="s">
        <v>24</v>
      </c>
      <c r="D4147" s="28" t="s">
        <v>8511</v>
      </c>
      <c r="E4147" s="26">
        <v>0</v>
      </c>
      <c r="F4147" s="29" t="s">
        <v>232</v>
      </c>
    </row>
    <row r="4148" spans="1:6" ht="43.5" x14ac:dyDescent="0.35">
      <c r="A4148" s="26" t="s">
        <v>216</v>
      </c>
      <c r="B4148" s="26" t="s">
        <v>8512</v>
      </c>
      <c r="C4148" s="26" t="s">
        <v>15</v>
      </c>
      <c r="D4148" s="28" t="s">
        <v>218</v>
      </c>
      <c r="E4148" s="26" t="s">
        <v>8513</v>
      </c>
      <c r="F4148" s="29" t="s">
        <v>220</v>
      </c>
    </row>
    <row r="4149" spans="1:6" ht="29" x14ac:dyDescent="0.35">
      <c r="A4149" s="26" t="s">
        <v>216</v>
      </c>
      <c r="B4149" s="26" t="s">
        <v>8514</v>
      </c>
      <c r="C4149" s="26" t="s">
        <v>17</v>
      </c>
      <c r="D4149" s="28" t="s">
        <v>8515</v>
      </c>
      <c r="E4149" s="26">
        <v>13436</v>
      </c>
      <c r="F4149" s="29" t="s">
        <v>247</v>
      </c>
    </row>
    <row r="4150" spans="1:6" ht="29" x14ac:dyDescent="0.35">
      <c r="A4150" s="26" t="s">
        <v>216</v>
      </c>
      <c r="B4150" s="26" t="s">
        <v>8516</v>
      </c>
      <c r="C4150" s="26" t="s">
        <v>20</v>
      </c>
      <c r="D4150" s="28" t="s">
        <v>8517</v>
      </c>
      <c r="E4150" s="26">
        <v>13436</v>
      </c>
      <c r="F4150" s="29" t="s">
        <v>223</v>
      </c>
    </row>
    <row r="4151" spans="1:6" ht="58" x14ac:dyDescent="0.35">
      <c r="A4151" s="26" t="s">
        <v>216</v>
      </c>
      <c r="B4151" s="26" t="s">
        <v>8518</v>
      </c>
      <c r="C4151" s="26" t="s">
        <v>25</v>
      </c>
      <c r="D4151" s="28" t="s">
        <v>8519</v>
      </c>
      <c r="E4151" s="26">
        <v>0</v>
      </c>
      <c r="F4151" s="29" t="s">
        <v>226</v>
      </c>
    </row>
    <row r="4152" spans="1:6" ht="43.5" x14ac:dyDescent="0.35">
      <c r="A4152" s="26" t="s">
        <v>216</v>
      </c>
      <c r="B4152" s="26" t="s">
        <v>8520</v>
      </c>
      <c r="C4152" s="26" t="s">
        <v>27</v>
      </c>
      <c r="D4152" s="28" t="s">
        <v>8521</v>
      </c>
      <c r="E4152" s="26">
        <v>0</v>
      </c>
      <c r="F4152" s="29" t="s">
        <v>229</v>
      </c>
    </row>
    <row r="4153" spans="1:6" ht="29" x14ac:dyDescent="0.35">
      <c r="A4153" s="26" t="s">
        <v>216</v>
      </c>
      <c r="B4153" s="26" t="s">
        <v>8522</v>
      </c>
      <c r="C4153" s="26" t="s">
        <v>24</v>
      </c>
      <c r="D4153" s="28" t="s">
        <v>8523</v>
      </c>
      <c r="E4153" s="26">
        <v>0</v>
      </c>
      <c r="F4153" s="29" t="s">
        <v>232</v>
      </c>
    </row>
    <row r="4154" spans="1:6" ht="43.5" x14ac:dyDescent="0.35">
      <c r="A4154" s="26" t="s">
        <v>216</v>
      </c>
      <c r="B4154" s="26" t="s">
        <v>8524</v>
      </c>
      <c r="C4154" s="26" t="s">
        <v>15</v>
      </c>
      <c r="D4154" s="28" t="s">
        <v>218</v>
      </c>
      <c r="E4154" s="26" t="s">
        <v>8525</v>
      </c>
      <c r="F4154" s="29" t="s">
        <v>220</v>
      </c>
    </row>
    <row r="4155" spans="1:6" ht="29" x14ac:dyDescent="0.35">
      <c r="A4155" s="26" t="s">
        <v>216</v>
      </c>
      <c r="B4155" s="26" t="s">
        <v>8526</v>
      </c>
      <c r="C4155" s="26" t="s">
        <v>17</v>
      </c>
      <c r="D4155" s="28" t="s">
        <v>8527</v>
      </c>
      <c r="E4155" s="26">
        <v>13436</v>
      </c>
      <c r="F4155" s="29" t="s">
        <v>247</v>
      </c>
    </row>
    <row r="4156" spans="1:6" ht="29" x14ac:dyDescent="0.35">
      <c r="A4156" s="26" t="s">
        <v>216</v>
      </c>
      <c r="B4156" s="26" t="s">
        <v>8528</v>
      </c>
      <c r="C4156" s="26" t="s">
        <v>20</v>
      </c>
      <c r="D4156" s="28" t="s">
        <v>8529</v>
      </c>
      <c r="E4156" s="26">
        <v>13436</v>
      </c>
      <c r="F4156" s="29" t="s">
        <v>223</v>
      </c>
    </row>
    <row r="4157" spans="1:6" ht="58" x14ac:dyDescent="0.35">
      <c r="A4157" s="26" t="s">
        <v>216</v>
      </c>
      <c r="B4157" s="26" t="s">
        <v>8530</v>
      </c>
      <c r="C4157" s="26" t="s">
        <v>25</v>
      </c>
      <c r="D4157" s="28" t="s">
        <v>8531</v>
      </c>
      <c r="E4157" s="26">
        <v>0</v>
      </c>
      <c r="F4157" s="29" t="s">
        <v>226</v>
      </c>
    </row>
    <row r="4158" spans="1:6" ht="43.5" x14ac:dyDescent="0.35">
      <c r="A4158" s="26" t="s">
        <v>216</v>
      </c>
      <c r="B4158" s="26" t="s">
        <v>8532</v>
      </c>
      <c r="C4158" s="26" t="s">
        <v>27</v>
      </c>
      <c r="D4158" s="28" t="s">
        <v>8533</v>
      </c>
      <c r="E4158" s="26">
        <v>0</v>
      </c>
      <c r="F4158" s="29" t="s">
        <v>229</v>
      </c>
    </row>
    <row r="4159" spans="1:6" ht="29" x14ac:dyDescent="0.35">
      <c r="A4159" s="26" t="s">
        <v>216</v>
      </c>
      <c r="B4159" s="26" t="s">
        <v>8534</v>
      </c>
      <c r="C4159" s="26" t="s">
        <v>24</v>
      </c>
      <c r="D4159" s="28" t="s">
        <v>8535</v>
      </c>
      <c r="E4159" s="26">
        <v>0</v>
      </c>
      <c r="F4159" s="29" t="s">
        <v>232</v>
      </c>
    </row>
    <row r="4160" spans="1:6" ht="43.5" x14ac:dyDescent="0.35">
      <c r="A4160" s="26" t="s">
        <v>216</v>
      </c>
      <c r="B4160" s="26" t="s">
        <v>8536</v>
      </c>
      <c r="C4160" s="26" t="s">
        <v>15</v>
      </c>
      <c r="D4160" s="28" t="s">
        <v>218</v>
      </c>
      <c r="E4160" s="26" t="s">
        <v>8537</v>
      </c>
      <c r="F4160" s="29" t="s">
        <v>220</v>
      </c>
    </row>
    <row r="4161" spans="1:6" ht="29" x14ac:dyDescent="0.35">
      <c r="A4161" s="26" t="s">
        <v>216</v>
      </c>
      <c r="B4161" s="26" t="s">
        <v>8538</v>
      </c>
      <c r="C4161" s="26" t="s">
        <v>17</v>
      </c>
      <c r="D4161" s="28" t="s">
        <v>8539</v>
      </c>
      <c r="E4161" s="26">
        <v>13436</v>
      </c>
      <c r="F4161" s="29" t="s">
        <v>247</v>
      </c>
    </row>
    <row r="4162" spans="1:6" ht="29" x14ac:dyDescent="0.35">
      <c r="A4162" s="26" t="s">
        <v>216</v>
      </c>
      <c r="B4162" s="26" t="s">
        <v>8540</v>
      </c>
      <c r="C4162" s="26" t="s">
        <v>20</v>
      </c>
      <c r="D4162" s="28" t="s">
        <v>8541</v>
      </c>
      <c r="E4162" s="26">
        <v>13436</v>
      </c>
      <c r="F4162" s="29" t="s">
        <v>223</v>
      </c>
    </row>
    <row r="4163" spans="1:6" ht="58" x14ac:dyDescent="0.35">
      <c r="A4163" s="26" t="s">
        <v>216</v>
      </c>
      <c r="B4163" s="26" t="s">
        <v>8542</v>
      </c>
      <c r="C4163" s="26" t="s">
        <v>25</v>
      </c>
      <c r="D4163" s="28" t="s">
        <v>8543</v>
      </c>
      <c r="E4163" s="26">
        <v>0</v>
      </c>
      <c r="F4163" s="29" t="s">
        <v>226</v>
      </c>
    </row>
    <row r="4164" spans="1:6" ht="43.5" x14ac:dyDescent="0.35">
      <c r="A4164" s="26" t="s">
        <v>216</v>
      </c>
      <c r="B4164" s="26" t="s">
        <v>8544</v>
      </c>
      <c r="C4164" s="26" t="s">
        <v>27</v>
      </c>
      <c r="D4164" s="28" t="s">
        <v>8545</v>
      </c>
      <c r="E4164" s="26">
        <v>0</v>
      </c>
      <c r="F4164" s="29" t="s">
        <v>229</v>
      </c>
    </row>
    <row r="4165" spans="1:6" ht="29" x14ac:dyDescent="0.35">
      <c r="A4165" s="26" t="s">
        <v>216</v>
      </c>
      <c r="B4165" s="26" t="s">
        <v>8546</v>
      </c>
      <c r="C4165" s="26" t="s">
        <v>24</v>
      </c>
      <c r="D4165" s="28" t="s">
        <v>8547</v>
      </c>
      <c r="E4165" s="26">
        <v>0</v>
      </c>
      <c r="F4165" s="29" t="s">
        <v>232</v>
      </c>
    </row>
    <row r="4166" spans="1:6" ht="43.5" x14ac:dyDescent="0.35">
      <c r="A4166" s="26" t="s">
        <v>216</v>
      </c>
      <c r="B4166" s="26" t="s">
        <v>8548</v>
      </c>
      <c r="C4166" s="26" t="s">
        <v>15</v>
      </c>
      <c r="D4166" s="28" t="s">
        <v>218</v>
      </c>
      <c r="E4166" s="26" t="s">
        <v>8549</v>
      </c>
      <c r="F4166" s="29" t="s">
        <v>220</v>
      </c>
    </row>
    <row r="4167" spans="1:6" ht="29" x14ac:dyDescent="0.35">
      <c r="A4167" s="26" t="s">
        <v>216</v>
      </c>
      <c r="B4167" s="26" t="s">
        <v>8550</v>
      </c>
      <c r="C4167" s="26" t="s">
        <v>17</v>
      </c>
      <c r="D4167" s="28" t="s">
        <v>8551</v>
      </c>
      <c r="E4167" s="26">
        <v>13436</v>
      </c>
      <c r="F4167" s="29" t="s">
        <v>247</v>
      </c>
    </row>
    <row r="4168" spans="1:6" ht="29" x14ac:dyDescent="0.35">
      <c r="A4168" s="26" t="s">
        <v>216</v>
      </c>
      <c r="B4168" s="26" t="s">
        <v>8552</v>
      </c>
      <c r="C4168" s="26" t="s">
        <v>20</v>
      </c>
      <c r="D4168" s="28" t="s">
        <v>8553</v>
      </c>
      <c r="E4168" s="26">
        <v>13436</v>
      </c>
      <c r="F4168" s="29" t="s">
        <v>223</v>
      </c>
    </row>
    <row r="4169" spans="1:6" ht="58" x14ac:dyDescent="0.35">
      <c r="A4169" s="26" t="s">
        <v>216</v>
      </c>
      <c r="B4169" s="26" t="s">
        <v>8554</v>
      </c>
      <c r="C4169" s="26" t="s">
        <v>25</v>
      </c>
      <c r="D4169" s="28" t="s">
        <v>8555</v>
      </c>
      <c r="E4169" s="26">
        <v>0</v>
      </c>
      <c r="F4169" s="29" t="s">
        <v>226</v>
      </c>
    </row>
    <row r="4170" spans="1:6" ht="43.5" x14ac:dyDescent="0.35">
      <c r="A4170" s="26" t="s">
        <v>216</v>
      </c>
      <c r="B4170" s="26" t="s">
        <v>8556</v>
      </c>
      <c r="C4170" s="26" t="s">
        <v>27</v>
      </c>
      <c r="D4170" s="28" t="s">
        <v>8557</v>
      </c>
      <c r="E4170" s="26">
        <v>0</v>
      </c>
      <c r="F4170" s="29" t="s">
        <v>229</v>
      </c>
    </row>
    <row r="4171" spans="1:6" ht="29" x14ac:dyDescent="0.35">
      <c r="A4171" s="26" t="s">
        <v>216</v>
      </c>
      <c r="B4171" s="26" t="s">
        <v>8558</v>
      </c>
      <c r="C4171" s="26" t="s">
        <v>24</v>
      </c>
      <c r="D4171" s="28" t="s">
        <v>8559</v>
      </c>
      <c r="E4171" s="26">
        <v>0</v>
      </c>
      <c r="F4171" s="29" t="s">
        <v>232</v>
      </c>
    </row>
    <row r="4172" spans="1:6" ht="43.5" x14ac:dyDescent="0.35">
      <c r="A4172" s="26" t="s">
        <v>216</v>
      </c>
      <c r="B4172" s="26" t="s">
        <v>8560</v>
      </c>
      <c r="C4172" s="26" t="s">
        <v>15</v>
      </c>
      <c r="D4172" s="28" t="s">
        <v>218</v>
      </c>
      <c r="E4172" s="26" t="s">
        <v>8561</v>
      </c>
      <c r="F4172" s="29" t="s">
        <v>220</v>
      </c>
    </row>
    <row r="4173" spans="1:6" ht="29" x14ac:dyDescent="0.35">
      <c r="A4173" s="26" t="s">
        <v>216</v>
      </c>
      <c r="B4173" s="26" t="s">
        <v>8562</v>
      </c>
      <c r="C4173" s="26" t="s">
        <v>17</v>
      </c>
      <c r="D4173" s="28" t="s">
        <v>8563</v>
      </c>
      <c r="E4173" s="26">
        <v>13436</v>
      </c>
      <c r="F4173" s="29" t="s">
        <v>247</v>
      </c>
    </row>
    <row r="4174" spans="1:6" ht="29" x14ac:dyDescent="0.35">
      <c r="A4174" s="26" t="s">
        <v>216</v>
      </c>
      <c r="B4174" s="26" t="s">
        <v>8564</v>
      </c>
      <c r="C4174" s="26" t="s">
        <v>20</v>
      </c>
      <c r="D4174" s="28" t="s">
        <v>8565</v>
      </c>
      <c r="E4174" s="26">
        <v>13436</v>
      </c>
      <c r="F4174" s="29" t="s">
        <v>223</v>
      </c>
    </row>
    <row r="4175" spans="1:6" ht="58" x14ac:dyDescent="0.35">
      <c r="A4175" s="26" t="s">
        <v>216</v>
      </c>
      <c r="B4175" s="26" t="s">
        <v>8566</v>
      </c>
      <c r="C4175" s="26" t="s">
        <v>25</v>
      </c>
      <c r="D4175" s="28" t="s">
        <v>8567</v>
      </c>
      <c r="E4175" s="26">
        <v>0</v>
      </c>
      <c r="F4175" s="29" t="s">
        <v>226</v>
      </c>
    </row>
    <row r="4176" spans="1:6" ht="43.5" x14ac:dyDescent="0.35">
      <c r="A4176" s="26" t="s">
        <v>216</v>
      </c>
      <c r="B4176" s="26" t="s">
        <v>8568</v>
      </c>
      <c r="C4176" s="26" t="s">
        <v>27</v>
      </c>
      <c r="D4176" s="28" t="s">
        <v>8569</v>
      </c>
      <c r="E4176" s="26">
        <v>0</v>
      </c>
      <c r="F4176" s="29" t="s">
        <v>229</v>
      </c>
    </row>
    <row r="4177" spans="1:6" ht="29" x14ac:dyDescent="0.35">
      <c r="A4177" s="26" t="s">
        <v>216</v>
      </c>
      <c r="B4177" s="26" t="s">
        <v>8570</v>
      </c>
      <c r="C4177" s="26" t="s">
        <v>24</v>
      </c>
      <c r="D4177" s="28" t="s">
        <v>8571</v>
      </c>
      <c r="E4177" s="26">
        <v>0</v>
      </c>
      <c r="F4177" s="29" t="s">
        <v>232</v>
      </c>
    </row>
    <row r="4178" spans="1:6" ht="43.5" x14ac:dyDescent="0.35">
      <c r="A4178" s="26" t="s">
        <v>216</v>
      </c>
      <c r="B4178" s="26" t="s">
        <v>8572</v>
      </c>
      <c r="C4178" s="26" t="s">
        <v>15</v>
      </c>
      <c r="D4178" s="28" t="s">
        <v>218</v>
      </c>
      <c r="E4178" s="26" t="s">
        <v>8573</v>
      </c>
      <c r="F4178" s="29" t="s">
        <v>220</v>
      </c>
    </row>
    <row r="4179" spans="1:6" ht="29" x14ac:dyDescent="0.35">
      <c r="A4179" s="26" t="s">
        <v>216</v>
      </c>
      <c r="B4179" s="26" t="s">
        <v>8574</v>
      </c>
      <c r="C4179" s="26" t="s">
        <v>17</v>
      </c>
      <c r="D4179" s="28" t="s">
        <v>8575</v>
      </c>
      <c r="E4179" s="26">
        <v>13436</v>
      </c>
      <c r="F4179" s="29" t="s">
        <v>247</v>
      </c>
    </row>
    <row r="4180" spans="1:6" ht="29" x14ac:dyDescent="0.35">
      <c r="A4180" s="26" t="s">
        <v>216</v>
      </c>
      <c r="B4180" s="26" t="s">
        <v>8576</v>
      </c>
      <c r="C4180" s="26" t="s">
        <v>20</v>
      </c>
      <c r="D4180" s="28" t="s">
        <v>8577</v>
      </c>
      <c r="E4180" s="26">
        <v>13436</v>
      </c>
      <c r="F4180" s="29" t="s">
        <v>223</v>
      </c>
    </row>
    <row r="4181" spans="1:6" ht="58" x14ac:dyDescent="0.35">
      <c r="A4181" s="26" t="s">
        <v>216</v>
      </c>
      <c r="B4181" s="26" t="s">
        <v>8578</v>
      </c>
      <c r="C4181" s="26" t="s">
        <v>25</v>
      </c>
      <c r="D4181" s="28" t="s">
        <v>8579</v>
      </c>
      <c r="E4181" s="26">
        <v>0</v>
      </c>
      <c r="F4181" s="29" t="s">
        <v>226</v>
      </c>
    </row>
    <row r="4182" spans="1:6" ht="43.5" x14ac:dyDescent="0.35">
      <c r="A4182" s="26" t="s">
        <v>216</v>
      </c>
      <c r="B4182" s="26" t="s">
        <v>8580</v>
      </c>
      <c r="C4182" s="26" t="s">
        <v>27</v>
      </c>
      <c r="D4182" s="28" t="s">
        <v>8581</v>
      </c>
      <c r="E4182" s="26">
        <v>0</v>
      </c>
      <c r="F4182" s="29" t="s">
        <v>229</v>
      </c>
    </row>
    <row r="4183" spans="1:6" ht="29" x14ac:dyDescent="0.35">
      <c r="A4183" s="26" t="s">
        <v>216</v>
      </c>
      <c r="B4183" s="26" t="s">
        <v>8582</v>
      </c>
      <c r="C4183" s="26" t="s">
        <v>24</v>
      </c>
      <c r="D4183" s="28" t="s">
        <v>8583</v>
      </c>
      <c r="E4183" s="26">
        <v>0</v>
      </c>
      <c r="F4183" s="29" t="s">
        <v>232</v>
      </c>
    </row>
    <row r="4184" spans="1:6" ht="43.5" x14ac:dyDescent="0.35">
      <c r="A4184" s="26" t="s">
        <v>216</v>
      </c>
      <c r="B4184" s="26" t="s">
        <v>8584</v>
      </c>
      <c r="C4184" s="26" t="s">
        <v>15</v>
      </c>
      <c r="D4184" s="28" t="s">
        <v>218</v>
      </c>
      <c r="E4184" s="26" t="s">
        <v>8585</v>
      </c>
      <c r="F4184" s="29" t="s">
        <v>220</v>
      </c>
    </row>
    <row r="4185" spans="1:6" ht="29" x14ac:dyDescent="0.35">
      <c r="A4185" s="26" t="s">
        <v>216</v>
      </c>
      <c r="B4185" s="26" t="s">
        <v>8586</v>
      </c>
      <c r="C4185" s="26" t="s">
        <v>17</v>
      </c>
      <c r="D4185" s="28" t="s">
        <v>8587</v>
      </c>
      <c r="E4185" s="26">
        <v>13436</v>
      </c>
      <c r="F4185" s="29" t="s">
        <v>247</v>
      </c>
    </row>
    <row r="4186" spans="1:6" ht="29" x14ac:dyDescent="0.35">
      <c r="A4186" s="26" t="s">
        <v>216</v>
      </c>
      <c r="B4186" s="26" t="s">
        <v>8588</v>
      </c>
      <c r="C4186" s="26" t="s">
        <v>20</v>
      </c>
      <c r="D4186" s="28" t="s">
        <v>8589</v>
      </c>
      <c r="E4186" s="26">
        <v>13436</v>
      </c>
      <c r="F4186" s="29" t="s">
        <v>223</v>
      </c>
    </row>
    <row r="4187" spans="1:6" ht="58" x14ac:dyDescent="0.35">
      <c r="A4187" s="26" t="s">
        <v>216</v>
      </c>
      <c r="B4187" s="26" t="s">
        <v>8590</v>
      </c>
      <c r="C4187" s="26" t="s">
        <v>25</v>
      </c>
      <c r="D4187" s="28" t="s">
        <v>8591</v>
      </c>
      <c r="E4187" s="26">
        <v>0</v>
      </c>
      <c r="F4187" s="29" t="s">
        <v>226</v>
      </c>
    </row>
    <row r="4188" spans="1:6" ht="43.5" x14ac:dyDescent="0.35">
      <c r="A4188" s="26" t="s">
        <v>216</v>
      </c>
      <c r="B4188" s="26" t="s">
        <v>8592</v>
      </c>
      <c r="C4188" s="26" t="s">
        <v>27</v>
      </c>
      <c r="D4188" s="28" t="s">
        <v>8593</v>
      </c>
      <c r="E4188" s="26">
        <v>0</v>
      </c>
      <c r="F4188" s="29" t="s">
        <v>229</v>
      </c>
    </row>
    <row r="4189" spans="1:6" ht="29" x14ac:dyDescent="0.35">
      <c r="A4189" s="26" t="s">
        <v>216</v>
      </c>
      <c r="B4189" s="26" t="s">
        <v>8594</v>
      </c>
      <c r="C4189" s="26" t="s">
        <v>24</v>
      </c>
      <c r="D4189" s="28" t="s">
        <v>8595</v>
      </c>
      <c r="E4189" s="26">
        <v>0</v>
      </c>
      <c r="F4189" s="29" t="s">
        <v>232</v>
      </c>
    </row>
    <row r="4190" spans="1:6" ht="43.5" x14ac:dyDescent="0.35">
      <c r="A4190" s="26" t="s">
        <v>216</v>
      </c>
      <c r="B4190" s="26" t="s">
        <v>8596</v>
      </c>
      <c r="C4190" s="26" t="s">
        <v>15</v>
      </c>
      <c r="D4190" s="28" t="s">
        <v>218</v>
      </c>
      <c r="E4190" s="26" t="s">
        <v>8597</v>
      </c>
      <c r="F4190" s="29" t="s">
        <v>220</v>
      </c>
    </row>
    <row r="4191" spans="1:6" ht="29" x14ac:dyDescent="0.35">
      <c r="A4191" s="26" t="s">
        <v>216</v>
      </c>
      <c r="B4191" s="26" t="s">
        <v>8598</v>
      </c>
      <c r="C4191" s="26" t="s">
        <v>17</v>
      </c>
      <c r="D4191" s="28" t="s">
        <v>8599</v>
      </c>
      <c r="E4191" s="26">
        <v>13436</v>
      </c>
      <c r="F4191" s="29" t="s">
        <v>247</v>
      </c>
    </row>
    <row r="4192" spans="1:6" ht="29" x14ac:dyDescent="0.35">
      <c r="A4192" s="26" t="s">
        <v>216</v>
      </c>
      <c r="B4192" s="26" t="s">
        <v>8600</v>
      </c>
      <c r="C4192" s="26" t="s">
        <v>20</v>
      </c>
      <c r="D4192" s="28" t="s">
        <v>8601</v>
      </c>
      <c r="E4192" s="26">
        <v>13436</v>
      </c>
      <c r="F4192" s="29" t="s">
        <v>223</v>
      </c>
    </row>
    <row r="4193" spans="1:6" ht="58" x14ac:dyDescent="0.35">
      <c r="A4193" s="26" t="s">
        <v>216</v>
      </c>
      <c r="B4193" s="26" t="s">
        <v>8602</v>
      </c>
      <c r="C4193" s="26" t="s">
        <v>25</v>
      </c>
      <c r="D4193" s="28" t="s">
        <v>8603</v>
      </c>
      <c r="E4193" s="26">
        <v>0</v>
      </c>
      <c r="F4193" s="29" t="s">
        <v>226</v>
      </c>
    </row>
    <row r="4194" spans="1:6" ht="43.5" x14ac:dyDescent="0.35">
      <c r="A4194" s="26" t="s">
        <v>216</v>
      </c>
      <c r="B4194" s="26" t="s">
        <v>8604</v>
      </c>
      <c r="C4194" s="26" t="s">
        <v>27</v>
      </c>
      <c r="D4194" s="28" t="s">
        <v>8605</v>
      </c>
      <c r="E4194" s="26">
        <v>0</v>
      </c>
      <c r="F4194" s="29" t="s">
        <v>229</v>
      </c>
    </row>
    <row r="4195" spans="1:6" ht="29" x14ac:dyDescent="0.35">
      <c r="A4195" s="26" t="s">
        <v>216</v>
      </c>
      <c r="B4195" s="26" t="s">
        <v>8606</v>
      </c>
      <c r="C4195" s="26" t="s">
        <v>24</v>
      </c>
      <c r="D4195" s="28" t="s">
        <v>8607</v>
      </c>
      <c r="E4195" s="26">
        <v>0</v>
      </c>
      <c r="F4195" s="29" t="s">
        <v>232</v>
      </c>
    </row>
    <row r="4196" spans="1:6" ht="43.5" x14ac:dyDescent="0.35">
      <c r="A4196" s="26" t="s">
        <v>216</v>
      </c>
      <c r="B4196" s="26" t="s">
        <v>8608</v>
      </c>
      <c r="C4196" s="26" t="s">
        <v>15</v>
      </c>
      <c r="D4196" s="28" t="s">
        <v>218</v>
      </c>
      <c r="E4196" s="26" t="s">
        <v>8609</v>
      </c>
      <c r="F4196" s="29" t="s">
        <v>220</v>
      </c>
    </row>
    <row r="4197" spans="1:6" ht="29" x14ac:dyDescent="0.35">
      <c r="A4197" s="26" t="s">
        <v>216</v>
      </c>
      <c r="B4197" s="26" t="s">
        <v>8610</v>
      </c>
      <c r="C4197" s="26" t="s">
        <v>17</v>
      </c>
      <c r="D4197" s="28" t="s">
        <v>8611</v>
      </c>
      <c r="E4197" s="26">
        <v>13436</v>
      </c>
      <c r="F4197" s="29" t="s">
        <v>247</v>
      </c>
    </row>
    <row r="4198" spans="1:6" ht="29" x14ac:dyDescent="0.35">
      <c r="A4198" s="26" t="s">
        <v>216</v>
      </c>
      <c r="B4198" s="26" t="s">
        <v>8612</v>
      </c>
      <c r="C4198" s="26" t="s">
        <v>20</v>
      </c>
      <c r="D4198" s="28" t="s">
        <v>8613</v>
      </c>
      <c r="E4198" s="26">
        <v>13436</v>
      </c>
      <c r="F4198" s="29" t="s">
        <v>223</v>
      </c>
    </row>
    <row r="4199" spans="1:6" ht="58" x14ac:dyDescent="0.35">
      <c r="A4199" s="26" t="s">
        <v>216</v>
      </c>
      <c r="B4199" s="26" t="s">
        <v>8614</v>
      </c>
      <c r="C4199" s="26" t="s">
        <v>25</v>
      </c>
      <c r="D4199" s="28" t="s">
        <v>8615</v>
      </c>
      <c r="E4199" s="26">
        <v>0</v>
      </c>
      <c r="F4199" s="29" t="s">
        <v>226</v>
      </c>
    </row>
    <row r="4200" spans="1:6" ht="43.5" x14ac:dyDescent="0.35">
      <c r="A4200" s="26" t="s">
        <v>216</v>
      </c>
      <c r="B4200" s="26" t="s">
        <v>8616</v>
      </c>
      <c r="C4200" s="26" t="s">
        <v>27</v>
      </c>
      <c r="D4200" s="28" t="s">
        <v>8617</v>
      </c>
      <c r="E4200" s="26">
        <v>0</v>
      </c>
      <c r="F4200" s="29" t="s">
        <v>229</v>
      </c>
    </row>
    <row r="4201" spans="1:6" ht="29" x14ac:dyDescent="0.35">
      <c r="A4201" s="26" t="s">
        <v>216</v>
      </c>
      <c r="B4201" s="26" t="s">
        <v>8618</v>
      </c>
      <c r="C4201" s="26" t="s">
        <v>24</v>
      </c>
      <c r="D4201" s="28" t="s">
        <v>8619</v>
      </c>
      <c r="E4201" s="26">
        <v>0</v>
      </c>
      <c r="F4201" s="29" t="s">
        <v>232</v>
      </c>
    </row>
    <row r="4202" spans="1:6" ht="43.5" x14ac:dyDescent="0.35">
      <c r="A4202" s="26" t="s">
        <v>216</v>
      </c>
      <c r="B4202" s="26" t="s">
        <v>8620</v>
      </c>
      <c r="C4202" s="26" t="s">
        <v>15</v>
      </c>
      <c r="D4202" s="28" t="s">
        <v>218</v>
      </c>
      <c r="E4202" s="26" t="s">
        <v>8621</v>
      </c>
      <c r="F4202" s="29" t="s">
        <v>220</v>
      </c>
    </row>
    <row r="4203" spans="1:6" ht="29" x14ac:dyDescent="0.35">
      <c r="A4203" s="26" t="s">
        <v>216</v>
      </c>
      <c r="B4203" s="26" t="s">
        <v>8622</v>
      </c>
      <c r="C4203" s="26" t="s">
        <v>17</v>
      </c>
      <c r="D4203" s="28" t="s">
        <v>8623</v>
      </c>
      <c r="E4203" s="26">
        <v>13436</v>
      </c>
      <c r="F4203" s="29" t="s">
        <v>247</v>
      </c>
    </row>
    <row r="4204" spans="1:6" ht="29" x14ac:dyDescent="0.35">
      <c r="A4204" s="26" t="s">
        <v>216</v>
      </c>
      <c r="B4204" s="26" t="s">
        <v>8624</v>
      </c>
      <c r="C4204" s="26" t="s">
        <v>20</v>
      </c>
      <c r="D4204" s="28" t="s">
        <v>8625</v>
      </c>
      <c r="E4204" s="26">
        <v>13436</v>
      </c>
      <c r="F4204" s="29" t="s">
        <v>223</v>
      </c>
    </row>
    <row r="4205" spans="1:6" ht="58" x14ac:dyDescent="0.35">
      <c r="A4205" s="26" t="s">
        <v>216</v>
      </c>
      <c r="B4205" s="26" t="s">
        <v>8626</v>
      </c>
      <c r="C4205" s="26" t="s">
        <v>25</v>
      </c>
      <c r="D4205" s="28" t="s">
        <v>8627</v>
      </c>
      <c r="E4205" s="26">
        <v>0</v>
      </c>
      <c r="F4205" s="29" t="s">
        <v>226</v>
      </c>
    </row>
    <row r="4206" spans="1:6" ht="43.5" x14ac:dyDescent="0.35">
      <c r="A4206" s="26" t="s">
        <v>216</v>
      </c>
      <c r="B4206" s="26" t="s">
        <v>8628</v>
      </c>
      <c r="C4206" s="26" t="s">
        <v>27</v>
      </c>
      <c r="D4206" s="28" t="s">
        <v>8629</v>
      </c>
      <c r="E4206" s="26">
        <v>0</v>
      </c>
      <c r="F4206" s="29" t="s">
        <v>229</v>
      </c>
    </row>
    <row r="4207" spans="1:6" ht="29" x14ac:dyDescent="0.35">
      <c r="A4207" s="26" t="s">
        <v>216</v>
      </c>
      <c r="B4207" s="26" t="s">
        <v>8630</v>
      </c>
      <c r="C4207" s="26" t="s">
        <v>24</v>
      </c>
      <c r="D4207" s="28" t="s">
        <v>8631</v>
      </c>
      <c r="E4207" s="26">
        <v>0</v>
      </c>
      <c r="F4207" s="29" t="s">
        <v>232</v>
      </c>
    </row>
    <row r="4208" spans="1:6" ht="43.5" x14ac:dyDescent="0.35">
      <c r="A4208" s="26" t="s">
        <v>216</v>
      </c>
      <c r="B4208" s="26" t="s">
        <v>8632</v>
      </c>
      <c r="C4208" s="26" t="s">
        <v>15</v>
      </c>
      <c r="D4208" s="28" t="s">
        <v>218</v>
      </c>
      <c r="E4208" s="26" t="s">
        <v>8633</v>
      </c>
      <c r="F4208" s="29" t="s">
        <v>220</v>
      </c>
    </row>
    <row r="4209" spans="1:6" ht="29" x14ac:dyDescent="0.35">
      <c r="A4209" s="26" t="s">
        <v>216</v>
      </c>
      <c r="B4209" s="26" t="s">
        <v>8634</v>
      </c>
      <c r="C4209" s="26" t="s">
        <v>17</v>
      </c>
      <c r="D4209" s="28" t="s">
        <v>8635</v>
      </c>
      <c r="E4209" s="26">
        <v>13436</v>
      </c>
      <c r="F4209" s="29" t="s">
        <v>247</v>
      </c>
    </row>
    <row r="4210" spans="1:6" ht="29" x14ac:dyDescent="0.35">
      <c r="A4210" s="26" t="s">
        <v>216</v>
      </c>
      <c r="B4210" s="26" t="s">
        <v>8636</v>
      </c>
      <c r="C4210" s="26" t="s">
        <v>20</v>
      </c>
      <c r="D4210" s="28" t="s">
        <v>8637</v>
      </c>
      <c r="E4210" s="26">
        <v>13436</v>
      </c>
      <c r="F4210" s="29" t="s">
        <v>223</v>
      </c>
    </row>
    <row r="4211" spans="1:6" ht="58" x14ac:dyDescent="0.35">
      <c r="A4211" s="26" t="s">
        <v>216</v>
      </c>
      <c r="B4211" s="26" t="s">
        <v>8638</v>
      </c>
      <c r="C4211" s="26" t="s">
        <v>25</v>
      </c>
      <c r="D4211" s="28" t="s">
        <v>8639</v>
      </c>
      <c r="E4211" s="26">
        <v>0</v>
      </c>
      <c r="F4211" s="29" t="s">
        <v>226</v>
      </c>
    </row>
    <row r="4212" spans="1:6" ht="43.5" x14ac:dyDescent="0.35">
      <c r="A4212" s="26" t="s">
        <v>216</v>
      </c>
      <c r="B4212" s="26" t="s">
        <v>8640</v>
      </c>
      <c r="C4212" s="26" t="s">
        <v>27</v>
      </c>
      <c r="D4212" s="28" t="s">
        <v>8641</v>
      </c>
      <c r="E4212" s="26">
        <v>0</v>
      </c>
      <c r="F4212" s="29" t="s">
        <v>229</v>
      </c>
    </row>
    <row r="4213" spans="1:6" ht="29" x14ac:dyDescent="0.35">
      <c r="A4213" s="26" t="s">
        <v>216</v>
      </c>
      <c r="B4213" s="26" t="s">
        <v>8642</v>
      </c>
      <c r="C4213" s="26" t="s">
        <v>24</v>
      </c>
      <c r="D4213" s="28" t="s">
        <v>8643</v>
      </c>
      <c r="E4213" s="26">
        <v>0</v>
      </c>
      <c r="F4213" s="29" t="s">
        <v>232</v>
      </c>
    </row>
    <row r="4214" spans="1:6" ht="43.5" x14ac:dyDescent="0.35">
      <c r="A4214" s="26" t="s">
        <v>216</v>
      </c>
      <c r="B4214" s="26" t="s">
        <v>8644</v>
      </c>
      <c r="C4214" s="26" t="s">
        <v>15</v>
      </c>
      <c r="D4214" s="28" t="s">
        <v>218</v>
      </c>
      <c r="E4214" s="26" t="s">
        <v>8645</v>
      </c>
      <c r="F4214" s="29" t="s">
        <v>220</v>
      </c>
    </row>
    <row r="4215" spans="1:6" ht="29" x14ac:dyDescent="0.35">
      <c r="A4215" s="26" t="s">
        <v>216</v>
      </c>
      <c r="B4215" s="26" t="s">
        <v>8646</v>
      </c>
      <c r="C4215" s="26" t="s">
        <v>17</v>
      </c>
      <c r="D4215" s="28" t="s">
        <v>8647</v>
      </c>
      <c r="E4215" s="26">
        <v>13436</v>
      </c>
      <c r="F4215" s="29" t="s">
        <v>247</v>
      </c>
    </row>
    <row r="4216" spans="1:6" ht="29" x14ac:dyDescent="0.35">
      <c r="A4216" s="26" t="s">
        <v>216</v>
      </c>
      <c r="B4216" s="26" t="s">
        <v>8648</v>
      </c>
      <c r="C4216" s="26" t="s">
        <v>20</v>
      </c>
      <c r="D4216" s="28" t="s">
        <v>8649</v>
      </c>
      <c r="E4216" s="26">
        <v>13436</v>
      </c>
      <c r="F4216" s="29" t="s">
        <v>223</v>
      </c>
    </row>
    <row r="4217" spans="1:6" ht="58" x14ac:dyDescent="0.35">
      <c r="A4217" s="26" t="s">
        <v>216</v>
      </c>
      <c r="B4217" s="26" t="s">
        <v>8650</v>
      </c>
      <c r="C4217" s="26" t="s">
        <v>25</v>
      </c>
      <c r="D4217" s="28" t="s">
        <v>8651</v>
      </c>
      <c r="E4217" s="26">
        <v>0</v>
      </c>
      <c r="F4217" s="29" t="s">
        <v>226</v>
      </c>
    </row>
    <row r="4218" spans="1:6" ht="43.5" x14ac:dyDescent="0.35">
      <c r="A4218" s="26" t="s">
        <v>216</v>
      </c>
      <c r="B4218" s="26" t="s">
        <v>8652</v>
      </c>
      <c r="C4218" s="26" t="s">
        <v>27</v>
      </c>
      <c r="D4218" s="28" t="s">
        <v>8653</v>
      </c>
      <c r="E4218" s="26">
        <v>0</v>
      </c>
      <c r="F4218" s="29" t="s">
        <v>229</v>
      </c>
    </row>
    <row r="4219" spans="1:6" ht="29" x14ac:dyDescent="0.35">
      <c r="A4219" s="26" t="s">
        <v>216</v>
      </c>
      <c r="B4219" s="26" t="s">
        <v>8654</v>
      </c>
      <c r="C4219" s="26" t="s">
        <v>24</v>
      </c>
      <c r="D4219" s="28" t="s">
        <v>8655</v>
      </c>
      <c r="E4219" s="26">
        <v>0</v>
      </c>
      <c r="F4219" s="29" t="s">
        <v>232</v>
      </c>
    </row>
    <row r="4220" spans="1:6" ht="43.5" x14ac:dyDescent="0.35">
      <c r="A4220" s="26" t="s">
        <v>216</v>
      </c>
      <c r="B4220" s="26" t="s">
        <v>8656</v>
      </c>
      <c r="C4220" s="26" t="s">
        <v>15</v>
      </c>
      <c r="D4220" s="28" t="s">
        <v>218</v>
      </c>
      <c r="E4220" s="26" t="s">
        <v>8657</v>
      </c>
      <c r="F4220" s="29" t="s">
        <v>220</v>
      </c>
    </row>
    <row r="4221" spans="1:6" ht="29" x14ac:dyDescent="0.35">
      <c r="A4221" s="26" t="s">
        <v>216</v>
      </c>
      <c r="B4221" s="26" t="s">
        <v>8658</v>
      </c>
      <c r="C4221" s="26" t="s">
        <v>17</v>
      </c>
      <c r="D4221" s="28" t="s">
        <v>8659</v>
      </c>
      <c r="E4221" s="26">
        <v>13436</v>
      </c>
      <c r="F4221" s="29" t="s">
        <v>247</v>
      </c>
    </row>
    <row r="4222" spans="1:6" ht="29" x14ac:dyDescent="0.35">
      <c r="A4222" s="26" t="s">
        <v>216</v>
      </c>
      <c r="B4222" s="26" t="s">
        <v>8660</v>
      </c>
      <c r="C4222" s="26" t="s">
        <v>20</v>
      </c>
      <c r="D4222" s="28" t="s">
        <v>8661</v>
      </c>
      <c r="E4222" s="26">
        <v>13436</v>
      </c>
      <c r="F4222" s="29" t="s">
        <v>223</v>
      </c>
    </row>
    <row r="4223" spans="1:6" ht="58" x14ac:dyDescent="0.35">
      <c r="A4223" s="26" t="s">
        <v>216</v>
      </c>
      <c r="B4223" s="26" t="s">
        <v>8662</v>
      </c>
      <c r="C4223" s="26" t="s">
        <v>25</v>
      </c>
      <c r="D4223" s="28" t="s">
        <v>8663</v>
      </c>
      <c r="E4223" s="26">
        <v>0</v>
      </c>
      <c r="F4223" s="29" t="s">
        <v>226</v>
      </c>
    </row>
    <row r="4224" spans="1:6" ht="43.5" x14ac:dyDescent="0.35">
      <c r="A4224" s="26" t="s">
        <v>216</v>
      </c>
      <c r="B4224" s="26" t="s">
        <v>8664</v>
      </c>
      <c r="C4224" s="26" t="s">
        <v>27</v>
      </c>
      <c r="D4224" s="28" t="s">
        <v>8665</v>
      </c>
      <c r="E4224" s="26">
        <v>0</v>
      </c>
      <c r="F4224" s="29" t="s">
        <v>229</v>
      </c>
    </row>
    <row r="4225" spans="1:6" ht="29" x14ac:dyDescent="0.35">
      <c r="A4225" s="26" t="s">
        <v>216</v>
      </c>
      <c r="B4225" s="26" t="s">
        <v>8666</v>
      </c>
      <c r="C4225" s="26" t="s">
        <v>24</v>
      </c>
      <c r="D4225" s="28" t="s">
        <v>8667</v>
      </c>
      <c r="E4225" s="26">
        <v>0</v>
      </c>
      <c r="F4225" s="29" t="s">
        <v>232</v>
      </c>
    </row>
    <row r="4226" spans="1:6" ht="43.5" x14ac:dyDescent="0.35">
      <c r="A4226" s="26" t="s">
        <v>216</v>
      </c>
      <c r="B4226" s="26" t="s">
        <v>8668</v>
      </c>
      <c r="C4226" s="26" t="s">
        <v>15</v>
      </c>
      <c r="D4226" s="28" t="s">
        <v>218</v>
      </c>
      <c r="E4226" s="26" t="s">
        <v>8669</v>
      </c>
      <c r="F4226" s="29" t="s">
        <v>220</v>
      </c>
    </row>
    <row r="4227" spans="1:6" ht="29" x14ac:dyDescent="0.35">
      <c r="A4227" s="26" t="s">
        <v>216</v>
      </c>
      <c r="B4227" s="26" t="s">
        <v>8670</v>
      </c>
      <c r="C4227" s="26" t="s">
        <v>17</v>
      </c>
      <c r="D4227" s="28" t="s">
        <v>8671</v>
      </c>
      <c r="E4227" s="26">
        <v>13436</v>
      </c>
      <c r="F4227" s="29" t="s">
        <v>247</v>
      </c>
    </row>
    <row r="4228" spans="1:6" ht="29" x14ac:dyDescent="0.35">
      <c r="A4228" s="26" t="s">
        <v>216</v>
      </c>
      <c r="B4228" s="26" t="s">
        <v>8672</v>
      </c>
      <c r="C4228" s="26" t="s">
        <v>20</v>
      </c>
      <c r="D4228" s="28" t="s">
        <v>8673</v>
      </c>
      <c r="E4228" s="26">
        <v>13436</v>
      </c>
      <c r="F4228" s="29" t="s">
        <v>223</v>
      </c>
    </row>
    <row r="4229" spans="1:6" ht="58" x14ac:dyDescent="0.35">
      <c r="A4229" s="26" t="s">
        <v>216</v>
      </c>
      <c r="B4229" s="26" t="s">
        <v>8674</v>
      </c>
      <c r="C4229" s="26" t="s">
        <v>25</v>
      </c>
      <c r="D4229" s="28" t="s">
        <v>8675</v>
      </c>
      <c r="E4229" s="26">
        <v>0</v>
      </c>
      <c r="F4229" s="29" t="s">
        <v>226</v>
      </c>
    </row>
    <row r="4230" spans="1:6" ht="43.5" x14ac:dyDescent="0.35">
      <c r="A4230" s="26" t="s">
        <v>216</v>
      </c>
      <c r="B4230" s="26" t="s">
        <v>8676</v>
      </c>
      <c r="C4230" s="26" t="s">
        <v>27</v>
      </c>
      <c r="D4230" s="28" t="s">
        <v>8677</v>
      </c>
      <c r="E4230" s="26">
        <v>0</v>
      </c>
      <c r="F4230" s="29" t="s">
        <v>229</v>
      </c>
    </row>
    <row r="4231" spans="1:6" ht="29" x14ac:dyDescent="0.35">
      <c r="A4231" s="26" t="s">
        <v>216</v>
      </c>
      <c r="B4231" s="26" t="s">
        <v>8678</v>
      </c>
      <c r="C4231" s="26" t="s">
        <v>24</v>
      </c>
      <c r="D4231" s="28" t="s">
        <v>8679</v>
      </c>
      <c r="E4231" s="26">
        <v>0</v>
      </c>
      <c r="F4231" s="29" t="s">
        <v>232</v>
      </c>
    </row>
    <row r="4232" spans="1:6" ht="43.5" x14ac:dyDescent="0.35">
      <c r="A4232" s="26" t="s">
        <v>216</v>
      </c>
      <c r="B4232" s="26" t="s">
        <v>8680</v>
      </c>
      <c r="C4232" s="26" t="s">
        <v>15</v>
      </c>
      <c r="D4232" s="28" t="s">
        <v>218</v>
      </c>
      <c r="E4232" s="26" t="s">
        <v>8681</v>
      </c>
      <c r="F4232" s="29" t="s">
        <v>220</v>
      </c>
    </row>
    <row r="4233" spans="1:6" ht="29" x14ac:dyDescent="0.35">
      <c r="A4233" s="26" t="s">
        <v>216</v>
      </c>
      <c r="B4233" s="26" t="s">
        <v>8682</v>
      </c>
      <c r="C4233" s="26" t="s">
        <v>17</v>
      </c>
      <c r="D4233" s="28" t="s">
        <v>8683</v>
      </c>
      <c r="E4233" s="26">
        <v>13436</v>
      </c>
      <c r="F4233" s="29" t="s">
        <v>247</v>
      </c>
    </row>
    <row r="4234" spans="1:6" ht="29" x14ac:dyDescent="0.35">
      <c r="A4234" s="26" t="s">
        <v>216</v>
      </c>
      <c r="B4234" s="26" t="s">
        <v>8684</v>
      </c>
      <c r="C4234" s="26" t="s">
        <v>20</v>
      </c>
      <c r="D4234" s="28" t="s">
        <v>8685</v>
      </c>
      <c r="E4234" s="26">
        <v>13436</v>
      </c>
      <c r="F4234" s="29" t="s">
        <v>223</v>
      </c>
    </row>
    <row r="4235" spans="1:6" ht="58" x14ac:dyDescent="0.35">
      <c r="A4235" s="26" t="s">
        <v>216</v>
      </c>
      <c r="B4235" s="26" t="s">
        <v>8686</v>
      </c>
      <c r="C4235" s="26" t="s">
        <v>25</v>
      </c>
      <c r="D4235" s="28" t="s">
        <v>8687</v>
      </c>
      <c r="E4235" s="26">
        <v>0</v>
      </c>
      <c r="F4235" s="29" t="s">
        <v>226</v>
      </c>
    </row>
    <row r="4236" spans="1:6" ht="43.5" x14ac:dyDescent="0.35">
      <c r="A4236" s="26" t="s">
        <v>216</v>
      </c>
      <c r="B4236" s="26" t="s">
        <v>8688</v>
      </c>
      <c r="C4236" s="26" t="s">
        <v>27</v>
      </c>
      <c r="D4236" s="28" t="s">
        <v>8689</v>
      </c>
      <c r="E4236" s="26">
        <v>0</v>
      </c>
      <c r="F4236" s="29" t="s">
        <v>229</v>
      </c>
    </row>
    <row r="4237" spans="1:6" ht="29" x14ac:dyDescent="0.35">
      <c r="A4237" s="26" t="s">
        <v>216</v>
      </c>
      <c r="B4237" s="26" t="s">
        <v>8690</v>
      </c>
      <c r="C4237" s="26" t="s">
        <v>24</v>
      </c>
      <c r="D4237" s="28" t="s">
        <v>8691</v>
      </c>
      <c r="E4237" s="26">
        <v>0</v>
      </c>
      <c r="F4237" s="29" t="s">
        <v>232</v>
      </c>
    </row>
    <row r="4238" spans="1:6" ht="43.5" x14ac:dyDescent="0.35">
      <c r="A4238" s="26" t="s">
        <v>216</v>
      </c>
      <c r="B4238" s="26" t="s">
        <v>8692</v>
      </c>
      <c r="C4238" s="26" t="s">
        <v>15</v>
      </c>
      <c r="D4238" s="28" t="s">
        <v>218</v>
      </c>
      <c r="E4238" s="26" t="s">
        <v>8693</v>
      </c>
      <c r="F4238" s="29" t="s">
        <v>220</v>
      </c>
    </row>
    <row r="4239" spans="1:6" ht="29" x14ac:dyDescent="0.35">
      <c r="A4239" s="26" t="s">
        <v>216</v>
      </c>
      <c r="B4239" s="26" t="s">
        <v>8694</v>
      </c>
      <c r="C4239" s="26" t="s">
        <v>17</v>
      </c>
      <c r="D4239" s="28" t="s">
        <v>8695</v>
      </c>
      <c r="E4239" s="26">
        <v>13436</v>
      </c>
      <c r="F4239" s="29" t="s">
        <v>247</v>
      </c>
    </row>
    <row r="4240" spans="1:6" ht="29" x14ac:dyDescent="0.35">
      <c r="A4240" s="26" t="s">
        <v>216</v>
      </c>
      <c r="B4240" s="26" t="s">
        <v>8696</v>
      </c>
      <c r="C4240" s="26" t="s">
        <v>20</v>
      </c>
      <c r="D4240" s="28" t="s">
        <v>8697</v>
      </c>
      <c r="E4240" s="26">
        <v>13436</v>
      </c>
      <c r="F4240" s="29" t="s">
        <v>223</v>
      </c>
    </row>
    <row r="4241" spans="1:6" ht="58" x14ac:dyDescent="0.35">
      <c r="A4241" s="26" t="s">
        <v>216</v>
      </c>
      <c r="B4241" s="26" t="s">
        <v>8698</v>
      </c>
      <c r="C4241" s="26" t="s">
        <v>25</v>
      </c>
      <c r="D4241" s="28" t="s">
        <v>8699</v>
      </c>
      <c r="E4241" s="26">
        <v>0</v>
      </c>
      <c r="F4241" s="29" t="s">
        <v>226</v>
      </c>
    </row>
    <row r="4242" spans="1:6" ht="43.5" x14ac:dyDescent="0.35">
      <c r="A4242" s="26" t="s">
        <v>216</v>
      </c>
      <c r="B4242" s="26" t="s">
        <v>8700</v>
      </c>
      <c r="C4242" s="26" t="s">
        <v>27</v>
      </c>
      <c r="D4242" s="28" t="s">
        <v>8701</v>
      </c>
      <c r="E4242" s="26">
        <v>0</v>
      </c>
      <c r="F4242" s="29" t="s">
        <v>229</v>
      </c>
    </row>
    <row r="4243" spans="1:6" ht="29" x14ac:dyDescent="0.35">
      <c r="A4243" s="26" t="s">
        <v>216</v>
      </c>
      <c r="B4243" s="26" t="s">
        <v>8702</v>
      </c>
      <c r="C4243" s="26" t="s">
        <v>24</v>
      </c>
      <c r="D4243" s="28" t="s">
        <v>8703</v>
      </c>
      <c r="E4243" s="26">
        <v>0</v>
      </c>
      <c r="F4243" s="29" t="s">
        <v>232</v>
      </c>
    </row>
    <row r="4244" spans="1:6" ht="43.5" x14ac:dyDescent="0.35">
      <c r="A4244" s="26" t="s">
        <v>216</v>
      </c>
      <c r="B4244" s="26" t="s">
        <v>8704</v>
      </c>
      <c r="C4244" s="26" t="s">
        <v>15</v>
      </c>
      <c r="D4244" s="28" t="s">
        <v>218</v>
      </c>
      <c r="E4244" s="26" t="s">
        <v>8705</v>
      </c>
      <c r="F4244" s="29" t="s">
        <v>220</v>
      </c>
    </row>
    <row r="4245" spans="1:6" ht="29" x14ac:dyDescent="0.35">
      <c r="A4245" s="26" t="s">
        <v>216</v>
      </c>
      <c r="B4245" s="26" t="s">
        <v>8706</v>
      </c>
      <c r="C4245" s="26" t="s">
        <v>17</v>
      </c>
      <c r="D4245" s="28" t="s">
        <v>8707</v>
      </c>
      <c r="E4245" s="26">
        <v>13436</v>
      </c>
      <c r="F4245" s="29" t="s">
        <v>247</v>
      </c>
    </row>
    <row r="4246" spans="1:6" ht="29" x14ac:dyDescent="0.35">
      <c r="A4246" s="26" t="s">
        <v>216</v>
      </c>
      <c r="B4246" s="26" t="s">
        <v>8708</v>
      </c>
      <c r="C4246" s="26" t="s">
        <v>20</v>
      </c>
      <c r="D4246" s="28" t="s">
        <v>8709</v>
      </c>
      <c r="E4246" s="26">
        <v>13436</v>
      </c>
      <c r="F4246" s="29" t="s">
        <v>223</v>
      </c>
    </row>
    <row r="4247" spans="1:6" ht="58" x14ac:dyDescent="0.35">
      <c r="A4247" s="26" t="s">
        <v>216</v>
      </c>
      <c r="B4247" s="26" t="s">
        <v>8710</v>
      </c>
      <c r="C4247" s="26" t="s">
        <v>25</v>
      </c>
      <c r="D4247" s="28" t="s">
        <v>8711</v>
      </c>
      <c r="E4247" s="26">
        <v>0</v>
      </c>
      <c r="F4247" s="29" t="s">
        <v>226</v>
      </c>
    </row>
    <row r="4248" spans="1:6" ht="43.5" x14ac:dyDescent="0.35">
      <c r="A4248" s="26" t="s">
        <v>216</v>
      </c>
      <c r="B4248" s="26" t="s">
        <v>8712</v>
      </c>
      <c r="C4248" s="26" t="s">
        <v>27</v>
      </c>
      <c r="D4248" s="28" t="s">
        <v>8713</v>
      </c>
      <c r="E4248" s="26">
        <v>0</v>
      </c>
      <c r="F4248" s="29" t="s">
        <v>229</v>
      </c>
    </row>
    <row r="4249" spans="1:6" ht="29" x14ac:dyDescent="0.35">
      <c r="A4249" s="26" t="s">
        <v>216</v>
      </c>
      <c r="B4249" s="26" t="s">
        <v>8714</v>
      </c>
      <c r="C4249" s="26" t="s">
        <v>24</v>
      </c>
      <c r="D4249" s="28" t="s">
        <v>8715</v>
      </c>
      <c r="E4249" s="26">
        <v>0</v>
      </c>
      <c r="F4249" s="29" t="s">
        <v>232</v>
      </c>
    </row>
    <row r="4250" spans="1:6" ht="43.5" x14ac:dyDescent="0.35">
      <c r="A4250" s="26" t="s">
        <v>216</v>
      </c>
      <c r="B4250" s="26" t="s">
        <v>8716</v>
      </c>
      <c r="C4250" s="26" t="s">
        <v>15</v>
      </c>
      <c r="D4250" s="28" t="s">
        <v>218</v>
      </c>
      <c r="E4250" s="26" t="s">
        <v>8717</v>
      </c>
      <c r="F4250" s="29" t="s">
        <v>220</v>
      </c>
    </row>
    <row r="4251" spans="1:6" ht="29" x14ac:dyDescent="0.35">
      <c r="A4251" s="26" t="s">
        <v>216</v>
      </c>
      <c r="B4251" s="26" t="s">
        <v>8718</v>
      </c>
      <c r="C4251" s="26" t="s">
        <v>17</v>
      </c>
      <c r="D4251" s="28" t="s">
        <v>8719</v>
      </c>
      <c r="E4251" s="26">
        <v>13436</v>
      </c>
      <c r="F4251" s="29" t="s">
        <v>247</v>
      </c>
    </row>
    <row r="4252" spans="1:6" ht="29" x14ac:dyDescent="0.35">
      <c r="A4252" s="26" t="s">
        <v>216</v>
      </c>
      <c r="B4252" s="26" t="s">
        <v>8720</v>
      </c>
      <c r="C4252" s="26" t="s">
        <v>20</v>
      </c>
      <c r="D4252" s="28" t="s">
        <v>8721</v>
      </c>
      <c r="E4252" s="26">
        <v>13436</v>
      </c>
      <c r="F4252" s="29" t="s">
        <v>223</v>
      </c>
    </row>
    <row r="4253" spans="1:6" ht="58" x14ac:dyDescent="0.35">
      <c r="A4253" s="26" t="s">
        <v>216</v>
      </c>
      <c r="B4253" s="26" t="s">
        <v>8722</v>
      </c>
      <c r="C4253" s="26" t="s">
        <v>25</v>
      </c>
      <c r="D4253" s="28" t="s">
        <v>8723</v>
      </c>
      <c r="E4253" s="26">
        <v>0</v>
      </c>
      <c r="F4253" s="29" t="s">
        <v>226</v>
      </c>
    </row>
    <row r="4254" spans="1:6" ht="43.5" x14ac:dyDescent="0.35">
      <c r="A4254" s="26" t="s">
        <v>216</v>
      </c>
      <c r="B4254" s="26" t="s">
        <v>8724</v>
      </c>
      <c r="C4254" s="26" t="s">
        <v>27</v>
      </c>
      <c r="D4254" s="28" t="s">
        <v>8725</v>
      </c>
      <c r="E4254" s="26">
        <v>0</v>
      </c>
      <c r="F4254" s="29" t="s">
        <v>229</v>
      </c>
    </row>
    <row r="4255" spans="1:6" ht="29" x14ac:dyDescent="0.35">
      <c r="A4255" s="26" t="s">
        <v>216</v>
      </c>
      <c r="B4255" s="26" t="s">
        <v>8726</v>
      </c>
      <c r="C4255" s="26" t="s">
        <v>24</v>
      </c>
      <c r="D4255" s="28" t="s">
        <v>8727</v>
      </c>
      <c r="E4255" s="26">
        <v>0</v>
      </c>
      <c r="F4255" s="29" t="s">
        <v>232</v>
      </c>
    </row>
    <row r="4256" spans="1:6" ht="43.5" x14ac:dyDescent="0.35">
      <c r="A4256" s="26" t="s">
        <v>216</v>
      </c>
      <c r="B4256" s="26" t="s">
        <v>8728</v>
      </c>
      <c r="C4256" s="26" t="s">
        <v>15</v>
      </c>
      <c r="D4256" s="28" t="s">
        <v>218</v>
      </c>
      <c r="E4256" s="26" t="s">
        <v>8729</v>
      </c>
      <c r="F4256" s="29" t="s">
        <v>220</v>
      </c>
    </row>
    <row r="4257" spans="1:6" ht="29" x14ac:dyDescent="0.35">
      <c r="A4257" s="26" t="s">
        <v>216</v>
      </c>
      <c r="B4257" s="26" t="s">
        <v>8730</v>
      </c>
      <c r="C4257" s="26" t="s">
        <v>17</v>
      </c>
      <c r="D4257" s="28" t="s">
        <v>8731</v>
      </c>
      <c r="E4257" s="26">
        <v>13436</v>
      </c>
      <c r="F4257" s="29" t="s">
        <v>247</v>
      </c>
    </row>
    <row r="4258" spans="1:6" ht="29" x14ac:dyDescent="0.35">
      <c r="A4258" s="26" t="s">
        <v>216</v>
      </c>
      <c r="B4258" s="26" t="s">
        <v>8732</v>
      </c>
      <c r="C4258" s="26" t="s">
        <v>20</v>
      </c>
      <c r="D4258" s="28" t="s">
        <v>8733</v>
      </c>
      <c r="E4258" s="26">
        <v>13436</v>
      </c>
      <c r="F4258" s="29" t="s">
        <v>223</v>
      </c>
    </row>
    <row r="4259" spans="1:6" ht="58" x14ac:dyDescent="0.35">
      <c r="A4259" s="26" t="s">
        <v>216</v>
      </c>
      <c r="B4259" s="26" t="s">
        <v>8734</v>
      </c>
      <c r="C4259" s="26" t="s">
        <v>25</v>
      </c>
      <c r="D4259" s="28" t="s">
        <v>8735</v>
      </c>
      <c r="E4259" s="26">
        <v>0</v>
      </c>
      <c r="F4259" s="29" t="s">
        <v>226</v>
      </c>
    </row>
    <row r="4260" spans="1:6" ht="43.5" x14ac:dyDescent="0.35">
      <c r="A4260" s="26" t="s">
        <v>216</v>
      </c>
      <c r="B4260" s="26" t="s">
        <v>8736</v>
      </c>
      <c r="C4260" s="26" t="s">
        <v>27</v>
      </c>
      <c r="D4260" s="28" t="s">
        <v>8737</v>
      </c>
      <c r="E4260" s="26">
        <v>0</v>
      </c>
      <c r="F4260" s="29" t="s">
        <v>229</v>
      </c>
    </row>
    <row r="4261" spans="1:6" ht="29" x14ac:dyDescent="0.35">
      <c r="A4261" s="26" t="s">
        <v>216</v>
      </c>
      <c r="B4261" s="26" t="s">
        <v>8738</v>
      </c>
      <c r="C4261" s="26" t="s">
        <v>24</v>
      </c>
      <c r="D4261" s="28" t="s">
        <v>8739</v>
      </c>
      <c r="E4261" s="26">
        <v>0</v>
      </c>
      <c r="F4261" s="29" t="s">
        <v>232</v>
      </c>
    </row>
    <row r="4262" spans="1:6" ht="43.5" x14ac:dyDescent="0.35">
      <c r="A4262" s="26" t="s">
        <v>216</v>
      </c>
      <c r="B4262" s="26" t="s">
        <v>8740</v>
      </c>
      <c r="C4262" s="26" t="s">
        <v>15</v>
      </c>
      <c r="D4262" s="28" t="s">
        <v>218</v>
      </c>
      <c r="E4262" s="26" t="s">
        <v>8741</v>
      </c>
      <c r="F4262" s="29" t="s">
        <v>220</v>
      </c>
    </row>
    <row r="4263" spans="1:6" ht="29" x14ac:dyDescent="0.35">
      <c r="A4263" s="26" t="s">
        <v>216</v>
      </c>
      <c r="B4263" s="26" t="s">
        <v>8742</v>
      </c>
      <c r="C4263" s="26" t="s">
        <v>17</v>
      </c>
      <c r="D4263" s="28" t="s">
        <v>8743</v>
      </c>
      <c r="E4263" s="26">
        <v>13436</v>
      </c>
      <c r="F4263" s="29" t="s">
        <v>247</v>
      </c>
    </row>
    <row r="4264" spans="1:6" ht="29" x14ac:dyDescent="0.35">
      <c r="A4264" s="26" t="s">
        <v>216</v>
      </c>
      <c r="B4264" s="26" t="s">
        <v>8744</v>
      </c>
      <c r="C4264" s="26" t="s">
        <v>20</v>
      </c>
      <c r="D4264" s="28" t="s">
        <v>8745</v>
      </c>
      <c r="E4264" s="26">
        <v>13436</v>
      </c>
      <c r="F4264" s="29" t="s">
        <v>223</v>
      </c>
    </row>
    <row r="4265" spans="1:6" ht="58" x14ac:dyDescent="0.35">
      <c r="A4265" s="26" t="s">
        <v>216</v>
      </c>
      <c r="B4265" s="26" t="s">
        <v>8746</v>
      </c>
      <c r="C4265" s="26" t="s">
        <v>25</v>
      </c>
      <c r="D4265" s="28" t="s">
        <v>8747</v>
      </c>
      <c r="E4265" s="26">
        <v>0</v>
      </c>
      <c r="F4265" s="29" t="s">
        <v>226</v>
      </c>
    </row>
    <row r="4266" spans="1:6" ht="43.5" x14ac:dyDescent="0.35">
      <c r="A4266" s="26" t="s">
        <v>216</v>
      </c>
      <c r="B4266" s="26" t="s">
        <v>8748</v>
      </c>
      <c r="C4266" s="26" t="s">
        <v>27</v>
      </c>
      <c r="D4266" s="28" t="s">
        <v>8749</v>
      </c>
      <c r="E4266" s="26">
        <v>0</v>
      </c>
      <c r="F4266" s="29" t="s">
        <v>229</v>
      </c>
    </row>
    <row r="4267" spans="1:6" ht="29" x14ac:dyDescent="0.35">
      <c r="A4267" s="26" t="s">
        <v>216</v>
      </c>
      <c r="B4267" s="26" t="s">
        <v>8750</v>
      </c>
      <c r="C4267" s="26" t="s">
        <v>24</v>
      </c>
      <c r="D4267" s="28" t="s">
        <v>8751</v>
      </c>
      <c r="E4267" s="26">
        <v>0</v>
      </c>
      <c r="F4267" s="29" t="s">
        <v>232</v>
      </c>
    </row>
    <row r="4268" spans="1:6" ht="43.5" x14ac:dyDescent="0.35">
      <c r="A4268" s="26" t="s">
        <v>216</v>
      </c>
      <c r="B4268" s="26" t="s">
        <v>8752</v>
      </c>
      <c r="C4268" s="26" t="s">
        <v>15</v>
      </c>
      <c r="D4268" s="28" t="s">
        <v>218</v>
      </c>
      <c r="E4268" s="26" t="s">
        <v>8753</v>
      </c>
      <c r="F4268" s="29" t="s">
        <v>220</v>
      </c>
    </row>
    <row r="4269" spans="1:6" ht="29" x14ac:dyDescent="0.35">
      <c r="A4269" s="26" t="s">
        <v>216</v>
      </c>
      <c r="B4269" s="26" t="s">
        <v>8754</v>
      </c>
      <c r="C4269" s="26" t="s">
        <v>17</v>
      </c>
      <c r="D4269" s="28" t="s">
        <v>8755</v>
      </c>
      <c r="E4269" s="26">
        <v>13436</v>
      </c>
      <c r="F4269" s="29" t="s">
        <v>247</v>
      </c>
    </row>
    <row r="4270" spans="1:6" ht="29" x14ac:dyDescent="0.35">
      <c r="A4270" s="26" t="s">
        <v>216</v>
      </c>
      <c r="B4270" s="26" t="s">
        <v>8756</v>
      </c>
      <c r="C4270" s="26" t="s">
        <v>20</v>
      </c>
      <c r="D4270" s="28" t="s">
        <v>8757</v>
      </c>
      <c r="E4270" s="26">
        <v>13436</v>
      </c>
      <c r="F4270" s="29" t="s">
        <v>223</v>
      </c>
    </row>
    <row r="4271" spans="1:6" ht="58" x14ac:dyDescent="0.35">
      <c r="A4271" s="26" t="s">
        <v>216</v>
      </c>
      <c r="B4271" s="26" t="s">
        <v>8758</v>
      </c>
      <c r="C4271" s="26" t="s">
        <v>25</v>
      </c>
      <c r="D4271" s="28" t="s">
        <v>8759</v>
      </c>
      <c r="E4271" s="26">
        <v>0</v>
      </c>
      <c r="F4271" s="29" t="s">
        <v>226</v>
      </c>
    </row>
    <row r="4272" spans="1:6" ht="43.5" x14ac:dyDescent="0.35">
      <c r="A4272" s="26" t="s">
        <v>216</v>
      </c>
      <c r="B4272" s="26" t="s">
        <v>8760</v>
      </c>
      <c r="C4272" s="26" t="s">
        <v>27</v>
      </c>
      <c r="D4272" s="28" t="s">
        <v>8761</v>
      </c>
      <c r="E4272" s="26">
        <v>0</v>
      </c>
      <c r="F4272" s="29" t="s">
        <v>229</v>
      </c>
    </row>
    <row r="4273" spans="1:6" ht="29" x14ac:dyDescent="0.35">
      <c r="A4273" s="26" t="s">
        <v>216</v>
      </c>
      <c r="B4273" s="26" t="s">
        <v>8762</v>
      </c>
      <c r="C4273" s="26" t="s">
        <v>24</v>
      </c>
      <c r="D4273" s="28" t="s">
        <v>8763</v>
      </c>
      <c r="E4273" s="26">
        <v>0</v>
      </c>
      <c r="F4273" s="29" t="s">
        <v>232</v>
      </c>
    </row>
    <row r="4274" spans="1:6" ht="43.5" x14ac:dyDescent="0.35">
      <c r="A4274" s="26" t="s">
        <v>216</v>
      </c>
      <c r="B4274" s="26" t="s">
        <v>8764</v>
      </c>
      <c r="C4274" s="26" t="s">
        <v>15</v>
      </c>
      <c r="D4274" s="28" t="s">
        <v>218</v>
      </c>
      <c r="E4274" s="26" t="s">
        <v>8765</v>
      </c>
      <c r="F4274" s="29" t="s">
        <v>220</v>
      </c>
    </row>
    <row r="4275" spans="1:6" ht="29" x14ac:dyDescent="0.35">
      <c r="A4275" s="26" t="s">
        <v>216</v>
      </c>
      <c r="B4275" s="26" t="s">
        <v>8766</v>
      </c>
      <c r="C4275" s="26" t="s">
        <v>17</v>
      </c>
      <c r="D4275" s="28" t="s">
        <v>8767</v>
      </c>
      <c r="E4275" s="26">
        <v>13436</v>
      </c>
      <c r="F4275" s="29" t="s">
        <v>247</v>
      </c>
    </row>
    <row r="4276" spans="1:6" ht="29" x14ac:dyDescent="0.35">
      <c r="A4276" s="26" t="s">
        <v>216</v>
      </c>
      <c r="B4276" s="26" t="s">
        <v>8768</v>
      </c>
      <c r="C4276" s="26" t="s">
        <v>20</v>
      </c>
      <c r="D4276" s="28" t="s">
        <v>8769</v>
      </c>
      <c r="E4276" s="26">
        <v>13436</v>
      </c>
      <c r="F4276" s="29" t="s">
        <v>223</v>
      </c>
    </row>
    <row r="4277" spans="1:6" ht="58" x14ac:dyDescent="0.35">
      <c r="A4277" s="26" t="s">
        <v>216</v>
      </c>
      <c r="B4277" s="26" t="s">
        <v>8770</v>
      </c>
      <c r="C4277" s="26" t="s">
        <v>25</v>
      </c>
      <c r="D4277" s="28" t="s">
        <v>8771</v>
      </c>
      <c r="E4277" s="26">
        <v>0</v>
      </c>
      <c r="F4277" s="29" t="s">
        <v>226</v>
      </c>
    </row>
    <row r="4278" spans="1:6" ht="43.5" x14ac:dyDescent="0.35">
      <c r="A4278" s="26" t="s">
        <v>216</v>
      </c>
      <c r="B4278" s="26" t="s">
        <v>8772</v>
      </c>
      <c r="C4278" s="26" t="s">
        <v>27</v>
      </c>
      <c r="D4278" s="28" t="s">
        <v>8773</v>
      </c>
      <c r="E4278" s="26">
        <v>0</v>
      </c>
      <c r="F4278" s="29" t="s">
        <v>229</v>
      </c>
    </row>
    <row r="4279" spans="1:6" ht="29" x14ac:dyDescent="0.35">
      <c r="A4279" s="26" t="s">
        <v>216</v>
      </c>
      <c r="B4279" s="26" t="s">
        <v>8774</v>
      </c>
      <c r="C4279" s="26" t="s">
        <v>24</v>
      </c>
      <c r="D4279" s="28" t="s">
        <v>8775</v>
      </c>
      <c r="E4279" s="26">
        <v>0</v>
      </c>
      <c r="F4279" s="29" t="s">
        <v>232</v>
      </c>
    </row>
    <row r="4280" spans="1:6" ht="43.5" x14ac:dyDescent="0.35">
      <c r="A4280" s="26" t="s">
        <v>216</v>
      </c>
      <c r="B4280" s="26" t="s">
        <v>8776</v>
      </c>
      <c r="C4280" s="26" t="s">
        <v>15</v>
      </c>
      <c r="D4280" s="28" t="s">
        <v>218</v>
      </c>
      <c r="E4280" s="26" t="s">
        <v>8777</v>
      </c>
      <c r="F4280" s="29" t="s">
        <v>220</v>
      </c>
    </row>
    <row r="4281" spans="1:6" ht="29" x14ac:dyDescent="0.35">
      <c r="A4281" s="26" t="s">
        <v>216</v>
      </c>
      <c r="B4281" s="26" t="s">
        <v>8778</v>
      </c>
      <c r="C4281" s="26" t="s">
        <v>17</v>
      </c>
      <c r="D4281" s="28" t="s">
        <v>8779</v>
      </c>
      <c r="E4281" s="26">
        <v>13436</v>
      </c>
      <c r="F4281" s="29" t="s">
        <v>247</v>
      </c>
    </row>
    <row r="4282" spans="1:6" ht="29" x14ac:dyDescent="0.35">
      <c r="A4282" s="26" t="s">
        <v>216</v>
      </c>
      <c r="B4282" s="26" t="s">
        <v>8780</v>
      </c>
      <c r="C4282" s="26" t="s">
        <v>20</v>
      </c>
      <c r="D4282" s="28" t="s">
        <v>8781</v>
      </c>
      <c r="E4282" s="26">
        <v>13436</v>
      </c>
      <c r="F4282" s="29" t="s">
        <v>223</v>
      </c>
    </row>
    <row r="4283" spans="1:6" ht="58" x14ac:dyDescent="0.35">
      <c r="A4283" s="26" t="s">
        <v>216</v>
      </c>
      <c r="B4283" s="26" t="s">
        <v>8782</v>
      </c>
      <c r="C4283" s="26" t="s">
        <v>25</v>
      </c>
      <c r="D4283" s="28" t="s">
        <v>8783</v>
      </c>
      <c r="E4283" s="26">
        <v>0</v>
      </c>
      <c r="F4283" s="29" t="s">
        <v>226</v>
      </c>
    </row>
    <row r="4284" spans="1:6" ht="43.5" x14ac:dyDescent="0.35">
      <c r="A4284" s="26" t="s">
        <v>216</v>
      </c>
      <c r="B4284" s="26" t="s">
        <v>8784</v>
      </c>
      <c r="C4284" s="26" t="s">
        <v>27</v>
      </c>
      <c r="D4284" s="28" t="s">
        <v>8785</v>
      </c>
      <c r="E4284" s="26">
        <v>0</v>
      </c>
      <c r="F4284" s="29" t="s">
        <v>229</v>
      </c>
    </row>
    <row r="4285" spans="1:6" ht="29" x14ac:dyDescent="0.35">
      <c r="A4285" s="26" t="s">
        <v>216</v>
      </c>
      <c r="B4285" s="26" t="s">
        <v>8786</v>
      </c>
      <c r="C4285" s="26" t="s">
        <v>24</v>
      </c>
      <c r="D4285" s="28" t="s">
        <v>8787</v>
      </c>
      <c r="E4285" s="26">
        <v>0</v>
      </c>
      <c r="F4285" s="29" t="s">
        <v>232</v>
      </c>
    </row>
    <row r="4286" spans="1:6" ht="43.5" x14ac:dyDescent="0.35">
      <c r="A4286" s="26" t="s">
        <v>216</v>
      </c>
      <c r="B4286" s="26" t="s">
        <v>8788</v>
      </c>
      <c r="C4286" s="26" t="s">
        <v>15</v>
      </c>
      <c r="D4286" s="28" t="s">
        <v>218</v>
      </c>
      <c r="E4286" s="26" t="s">
        <v>8789</v>
      </c>
      <c r="F4286" s="29" t="s">
        <v>220</v>
      </c>
    </row>
    <row r="4287" spans="1:6" ht="29" x14ac:dyDescent="0.35">
      <c r="A4287" s="26" t="s">
        <v>216</v>
      </c>
      <c r="B4287" s="26" t="s">
        <v>8790</v>
      </c>
      <c r="C4287" s="26" t="s">
        <v>17</v>
      </c>
      <c r="D4287" s="28" t="s">
        <v>8791</v>
      </c>
      <c r="E4287" s="26">
        <v>13436</v>
      </c>
      <c r="F4287" s="29" t="s">
        <v>247</v>
      </c>
    </row>
    <row r="4288" spans="1:6" ht="29" x14ac:dyDescent="0.35">
      <c r="A4288" s="26" t="s">
        <v>216</v>
      </c>
      <c r="B4288" s="26" t="s">
        <v>8792</v>
      </c>
      <c r="C4288" s="26" t="s">
        <v>20</v>
      </c>
      <c r="D4288" s="28" t="s">
        <v>8793</v>
      </c>
      <c r="E4288" s="26">
        <v>13436</v>
      </c>
      <c r="F4288" s="29" t="s">
        <v>223</v>
      </c>
    </row>
    <row r="4289" spans="1:6" ht="58" x14ac:dyDescent="0.35">
      <c r="A4289" s="26" t="s">
        <v>216</v>
      </c>
      <c r="B4289" s="26" t="s">
        <v>8794</v>
      </c>
      <c r="C4289" s="26" t="s">
        <v>25</v>
      </c>
      <c r="D4289" s="28" t="s">
        <v>8795</v>
      </c>
      <c r="E4289" s="26">
        <v>0</v>
      </c>
      <c r="F4289" s="29" t="s">
        <v>226</v>
      </c>
    </row>
    <row r="4290" spans="1:6" ht="43.5" x14ac:dyDescent="0.35">
      <c r="A4290" s="26" t="s">
        <v>216</v>
      </c>
      <c r="B4290" s="26" t="s">
        <v>8796</v>
      </c>
      <c r="C4290" s="26" t="s">
        <v>27</v>
      </c>
      <c r="D4290" s="28" t="s">
        <v>8797</v>
      </c>
      <c r="E4290" s="26">
        <v>0</v>
      </c>
      <c r="F4290" s="29" t="s">
        <v>229</v>
      </c>
    </row>
    <row r="4291" spans="1:6" ht="29" x14ac:dyDescent="0.35">
      <c r="A4291" s="26" t="s">
        <v>216</v>
      </c>
      <c r="B4291" s="26" t="s">
        <v>8798</v>
      </c>
      <c r="C4291" s="26" t="s">
        <v>24</v>
      </c>
      <c r="D4291" s="28" t="s">
        <v>8799</v>
      </c>
      <c r="E4291" s="26">
        <v>0</v>
      </c>
      <c r="F4291" s="29" t="s">
        <v>232</v>
      </c>
    </row>
    <row r="4292" spans="1:6" ht="43.5" x14ac:dyDescent="0.35">
      <c r="A4292" s="26" t="s">
        <v>216</v>
      </c>
      <c r="B4292" s="26" t="s">
        <v>8800</v>
      </c>
      <c r="C4292" s="26" t="s">
        <v>15</v>
      </c>
      <c r="D4292" s="28" t="s">
        <v>218</v>
      </c>
      <c r="E4292" s="26" t="s">
        <v>8801</v>
      </c>
      <c r="F4292" s="29" t="s">
        <v>220</v>
      </c>
    </row>
    <row r="4293" spans="1:6" ht="29" x14ac:dyDescent="0.35">
      <c r="A4293" s="26" t="s">
        <v>216</v>
      </c>
      <c r="B4293" s="26" t="s">
        <v>8802</v>
      </c>
      <c r="C4293" s="26" t="s">
        <v>17</v>
      </c>
      <c r="D4293" s="28" t="s">
        <v>8803</v>
      </c>
      <c r="E4293" s="26">
        <v>13436</v>
      </c>
      <c r="F4293" s="29" t="s">
        <v>247</v>
      </c>
    </row>
    <row r="4294" spans="1:6" ht="29" x14ac:dyDescent="0.35">
      <c r="A4294" s="26" t="s">
        <v>216</v>
      </c>
      <c r="B4294" s="26" t="s">
        <v>8804</v>
      </c>
      <c r="C4294" s="26" t="s">
        <v>20</v>
      </c>
      <c r="D4294" s="28" t="s">
        <v>8805</v>
      </c>
      <c r="E4294" s="26">
        <v>13436</v>
      </c>
      <c r="F4294" s="29" t="s">
        <v>223</v>
      </c>
    </row>
    <row r="4295" spans="1:6" ht="58" x14ac:dyDescent="0.35">
      <c r="A4295" s="26" t="s">
        <v>216</v>
      </c>
      <c r="B4295" s="26" t="s">
        <v>8806</v>
      </c>
      <c r="C4295" s="26" t="s">
        <v>25</v>
      </c>
      <c r="D4295" s="28" t="s">
        <v>8807</v>
      </c>
      <c r="E4295" s="26">
        <v>0</v>
      </c>
      <c r="F4295" s="29" t="s">
        <v>226</v>
      </c>
    </row>
    <row r="4296" spans="1:6" ht="43.5" x14ac:dyDescent="0.35">
      <c r="A4296" s="26" t="s">
        <v>216</v>
      </c>
      <c r="B4296" s="26" t="s">
        <v>8808</v>
      </c>
      <c r="C4296" s="26" t="s">
        <v>27</v>
      </c>
      <c r="D4296" s="28" t="s">
        <v>8809</v>
      </c>
      <c r="E4296" s="26">
        <v>0</v>
      </c>
      <c r="F4296" s="29" t="s">
        <v>229</v>
      </c>
    </row>
    <row r="4297" spans="1:6" ht="29" x14ac:dyDescent="0.35">
      <c r="A4297" s="26" t="s">
        <v>216</v>
      </c>
      <c r="B4297" s="26" t="s">
        <v>8810</v>
      </c>
      <c r="C4297" s="26" t="s">
        <v>24</v>
      </c>
      <c r="D4297" s="28" t="s">
        <v>8811</v>
      </c>
      <c r="E4297" s="26">
        <v>0</v>
      </c>
      <c r="F4297" s="29" t="s">
        <v>232</v>
      </c>
    </row>
    <row r="4298" spans="1:6" ht="43.5" x14ac:dyDescent="0.35">
      <c r="A4298" s="26" t="s">
        <v>216</v>
      </c>
      <c r="B4298" s="26" t="s">
        <v>8812</v>
      </c>
      <c r="C4298" s="26" t="s">
        <v>15</v>
      </c>
      <c r="D4298" s="28" t="s">
        <v>218</v>
      </c>
      <c r="E4298" s="26" t="s">
        <v>8813</v>
      </c>
      <c r="F4298" s="29" t="s">
        <v>220</v>
      </c>
    </row>
    <row r="4299" spans="1:6" ht="29" x14ac:dyDescent="0.35">
      <c r="A4299" s="26" t="s">
        <v>216</v>
      </c>
      <c r="B4299" s="26" t="s">
        <v>8814</v>
      </c>
      <c r="C4299" s="26" t="s">
        <v>17</v>
      </c>
      <c r="D4299" s="28" t="s">
        <v>8815</v>
      </c>
      <c r="E4299" s="26">
        <v>13436</v>
      </c>
      <c r="F4299" s="29" t="s">
        <v>247</v>
      </c>
    </row>
    <row r="4300" spans="1:6" ht="29" x14ac:dyDescent="0.35">
      <c r="A4300" s="26" t="s">
        <v>216</v>
      </c>
      <c r="B4300" s="26" t="s">
        <v>8816</v>
      </c>
      <c r="C4300" s="26" t="s">
        <v>20</v>
      </c>
      <c r="D4300" s="28" t="s">
        <v>8817</v>
      </c>
      <c r="E4300" s="26">
        <v>13436</v>
      </c>
      <c r="F4300" s="29" t="s">
        <v>223</v>
      </c>
    </row>
    <row r="4301" spans="1:6" ht="58" x14ac:dyDescent="0.35">
      <c r="A4301" s="26" t="s">
        <v>216</v>
      </c>
      <c r="B4301" s="26" t="s">
        <v>8818</v>
      </c>
      <c r="C4301" s="26" t="s">
        <v>25</v>
      </c>
      <c r="D4301" s="28" t="s">
        <v>8819</v>
      </c>
      <c r="E4301" s="26">
        <v>0</v>
      </c>
      <c r="F4301" s="29" t="s">
        <v>226</v>
      </c>
    </row>
    <row r="4302" spans="1:6" ht="43.5" x14ac:dyDescent="0.35">
      <c r="A4302" s="26" t="s">
        <v>216</v>
      </c>
      <c r="B4302" s="26" t="s">
        <v>8820</v>
      </c>
      <c r="C4302" s="26" t="s">
        <v>27</v>
      </c>
      <c r="D4302" s="28" t="s">
        <v>8821</v>
      </c>
      <c r="E4302" s="26">
        <v>0</v>
      </c>
      <c r="F4302" s="29" t="s">
        <v>229</v>
      </c>
    </row>
    <row r="4303" spans="1:6" ht="29" x14ac:dyDescent="0.35">
      <c r="A4303" s="26" t="s">
        <v>216</v>
      </c>
      <c r="B4303" s="26" t="s">
        <v>8822</v>
      </c>
      <c r="C4303" s="26" t="s">
        <v>24</v>
      </c>
      <c r="D4303" s="28" t="s">
        <v>8823</v>
      </c>
      <c r="E4303" s="26">
        <v>0</v>
      </c>
      <c r="F4303" s="29" t="s">
        <v>232</v>
      </c>
    </row>
    <row r="4304" spans="1:6" ht="43.5" x14ac:dyDescent="0.35">
      <c r="A4304" s="26" t="s">
        <v>216</v>
      </c>
      <c r="B4304" s="26" t="s">
        <v>8824</v>
      </c>
      <c r="C4304" s="26" t="s">
        <v>15</v>
      </c>
      <c r="D4304" s="28" t="s">
        <v>218</v>
      </c>
      <c r="E4304" s="26" t="s">
        <v>8825</v>
      </c>
      <c r="F4304" s="29" t="s">
        <v>220</v>
      </c>
    </row>
    <row r="4305" spans="1:6" ht="29" x14ac:dyDescent="0.35">
      <c r="A4305" s="26" t="s">
        <v>216</v>
      </c>
      <c r="B4305" s="26" t="s">
        <v>8826</v>
      </c>
      <c r="C4305" s="26" t="s">
        <v>17</v>
      </c>
      <c r="D4305" s="28" t="s">
        <v>8827</v>
      </c>
      <c r="E4305" s="26">
        <v>13436</v>
      </c>
      <c r="F4305" s="29" t="s">
        <v>247</v>
      </c>
    </row>
    <row r="4306" spans="1:6" ht="29" x14ac:dyDescent="0.35">
      <c r="A4306" s="26" t="s">
        <v>216</v>
      </c>
      <c r="B4306" s="26" t="s">
        <v>8828</v>
      </c>
      <c r="C4306" s="26" t="s">
        <v>20</v>
      </c>
      <c r="D4306" s="28" t="s">
        <v>8829</v>
      </c>
      <c r="E4306" s="26">
        <v>13436</v>
      </c>
      <c r="F4306" s="29" t="s">
        <v>223</v>
      </c>
    </row>
    <row r="4307" spans="1:6" ht="58" x14ac:dyDescent="0.35">
      <c r="A4307" s="26" t="s">
        <v>216</v>
      </c>
      <c r="B4307" s="26" t="s">
        <v>8830</v>
      </c>
      <c r="C4307" s="26" t="s">
        <v>25</v>
      </c>
      <c r="D4307" s="28" t="s">
        <v>8831</v>
      </c>
      <c r="E4307" s="26">
        <v>0</v>
      </c>
      <c r="F4307" s="29" t="s">
        <v>226</v>
      </c>
    </row>
    <row r="4308" spans="1:6" ht="43.5" x14ac:dyDescent="0.35">
      <c r="A4308" s="26" t="s">
        <v>216</v>
      </c>
      <c r="B4308" s="26" t="s">
        <v>8832</v>
      </c>
      <c r="C4308" s="26" t="s">
        <v>27</v>
      </c>
      <c r="D4308" s="28" t="s">
        <v>8833</v>
      </c>
      <c r="E4308" s="26">
        <v>0</v>
      </c>
      <c r="F4308" s="29" t="s">
        <v>229</v>
      </c>
    </row>
    <row r="4309" spans="1:6" ht="29" x14ac:dyDescent="0.35">
      <c r="A4309" s="26" t="s">
        <v>216</v>
      </c>
      <c r="B4309" s="26" t="s">
        <v>8834</v>
      </c>
      <c r="C4309" s="26" t="s">
        <v>24</v>
      </c>
      <c r="D4309" s="28" t="s">
        <v>8835</v>
      </c>
      <c r="E4309" s="26">
        <v>0</v>
      </c>
      <c r="F4309" s="29" t="s">
        <v>232</v>
      </c>
    </row>
    <row r="4310" spans="1:6" ht="43.5" x14ac:dyDescent="0.35">
      <c r="A4310" s="26" t="s">
        <v>216</v>
      </c>
      <c r="B4310" s="26" t="s">
        <v>8836</v>
      </c>
      <c r="C4310" s="26" t="s">
        <v>15</v>
      </c>
      <c r="D4310" s="28" t="s">
        <v>218</v>
      </c>
      <c r="E4310" s="26" t="s">
        <v>8837</v>
      </c>
      <c r="F4310" s="29" t="s">
        <v>220</v>
      </c>
    </row>
    <row r="4311" spans="1:6" ht="29" x14ac:dyDescent="0.35">
      <c r="A4311" s="26" t="s">
        <v>216</v>
      </c>
      <c r="B4311" s="26" t="s">
        <v>8838</v>
      </c>
      <c r="C4311" s="26" t="s">
        <v>17</v>
      </c>
      <c r="D4311" s="28" t="s">
        <v>8839</v>
      </c>
      <c r="E4311" s="26">
        <v>13436</v>
      </c>
      <c r="F4311" s="29" t="s">
        <v>247</v>
      </c>
    </row>
    <row r="4312" spans="1:6" ht="29" x14ac:dyDescent="0.35">
      <c r="A4312" s="26" t="s">
        <v>216</v>
      </c>
      <c r="B4312" s="26" t="s">
        <v>8840</v>
      </c>
      <c r="C4312" s="26" t="s">
        <v>20</v>
      </c>
      <c r="D4312" s="28" t="s">
        <v>8841</v>
      </c>
      <c r="E4312" s="26">
        <v>13436</v>
      </c>
      <c r="F4312" s="29" t="s">
        <v>223</v>
      </c>
    </row>
    <row r="4313" spans="1:6" ht="58" x14ac:dyDescent="0.35">
      <c r="A4313" s="26" t="s">
        <v>216</v>
      </c>
      <c r="B4313" s="26" t="s">
        <v>8842</v>
      </c>
      <c r="C4313" s="26" t="s">
        <v>25</v>
      </c>
      <c r="D4313" s="28" t="s">
        <v>8843</v>
      </c>
      <c r="E4313" s="26">
        <v>0</v>
      </c>
      <c r="F4313" s="29" t="s">
        <v>226</v>
      </c>
    </row>
    <row r="4314" spans="1:6" ht="43.5" x14ac:dyDescent="0.35">
      <c r="A4314" s="26" t="s">
        <v>216</v>
      </c>
      <c r="B4314" s="26" t="s">
        <v>8844</v>
      </c>
      <c r="C4314" s="26" t="s">
        <v>27</v>
      </c>
      <c r="D4314" s="28" t="s">
        <v>8845</v>
      </c>
      <c r="E4314" s="26">
        <v>0</v>
      </c>
      <c r="F4314" s="29" t="s">
        <v>229</v>
      </c>
    </row>
    <row r="4315" spans="1:6" ht="29" x14ac:dyDescent="0.35">
      <c r="A4315" s="26" t="s">
        <v>216</v>
      </c>
      <c r="B4315" s="26" t="s">
        <v>8846</v>
      </c>
      <c r="C4315" s="26" t="s">
        <v>24</v>
      </c>
      <c r="D4315" s="28" t="s">
        <v>8847</v>
      </c>
      <c r="E4315" s="26">
        <v>0</v>
      </c>
      <c r="F4315" s="29" t="s">
        <v>232</v>
      </c>
    </row>
    <row r="4316" spans="1:6" ht="43.5" x14ac:dyDescent="0.35">
      <c r="A4316" s="26" t="s">
        <v>216</v>
      </c>
      <c r="B4316" s="26" t="s">
        <v>8848</v>
      </c>
      <c r="C4316" s="26" t="s">
        <v>15</v>
      </c>
      <c r="D4316" s="28" t="s">
        <v>218</v>
      </c>
      <c r="E4316" s="26" t="s">
        <v>8849</v>
      </c>
      <c r="F4316" s="29" t="s">
        <v>220</v>
      </c>
    </row>
    <row r="4317" spans="1:6" ht="29" x14ac:dyDescent="0.35">
      <c r="A4317" s="26" t="s">
        <v>216</v>
      </c>
      <c r="B4317" s="26" t="s">
        <v>8850</v>
      </c>
      <c r="C4317" s="26" t="s">
        <v>17</v>
      </c>
      <c r="D4317" s="28" t="s">
        <v>8851</v>
      </c>
      <c r="E4317" s="26">
        <v>13436</v>
      </c>
      <c r="F4317" s="29" t="s">
        <v>247</v>
      </c>
    </row>
    <row r="4318" spans="1:6" ht="29" x14ac:dyDescent="0.35">
      <c r="A4318" s="26" t="s">
        <v>216</v>
      </c>
      <c r="B4318" s="26" t="s">
        <v>8852</v>
      </c>
      <c r="C4318" s="26" t="s">
        <v>20</v>
      </c>
      <c r="D4318" s="28" t="s">
        <v>8853</v>
      </c>
      <c r="E4318" s="26">
        <v>13436</v>
      </c>
      <c r="F4318" s="29" t="s">
        <v>223</v>
      </c>
    </row>
    <row r="4319" spans="1:6" ht="58" x14ac:dyDescent="0.35">
      <c r="A4319" s="26" t="s">
        <v>216</v>
      </c>
      <c r="B4319" s="26" t="s">
        <v>8854</v>
      </c>
      <c r="C4319" s="26" t="s">
        <v>25</v>
      </c>
      <c r="D4319" s="28" t="s">
        <v>8855</v>
      </c>
      <c r="E4319" s="26">
        <v>0</v>
      </c>
      <c r="F4319" s="29" t="s">
        <v>226</v>
      </c>
    </row>
    <row r="4320" spans="1:6" ht="43.5" x14ac:dyDescent="0.35">
      <c r="A4320" s="26" t="s">
        <v>216</v>
      </c>
      <c r="B4320" s="26" t="s">
        <v>8856</v>
      </c>
      <c r="C4320" s="26" t="s">
        <v>27</v>
      </c>
      <c r="D4320" s="28" t="s">
        <v>8857</v>
      </c>
      <c r="E4320" s="26">
        <v>0</v>
      </c>
      <c r="F4320" s="29" t="s">
        <v>229</v>
      </c>
    </row>
    <row r="4321" spans="1:6" ht="29" x14ac:dyDescent="0.35">
      <c r="A4321" s="26" t="s">
        <v>216</v>
      </c>
      <c r="B4321" s="26" t="s">
        <v>8858</v>
      </c>
      <c r="C4321" s="26" t="s">
        <v>24</v>
      </c>
      <c r="D4321" s="28" t="s">
        <v>8859</v>
      </c>
      <c r="E4321" s="26">
        <v>0</v>
      </c>
      <c r="F4321" s="29" t="s">
        <v>232</v>
      </c>
    </row>
    <row r="4322" spans="1:6" ht="43.5" x14ac:dyDescent="0.35">
      <c r="A4322" s="26" t="s">
        <v>216</v>
      </c>
      <c r="B4322" s="26" t="s">
        <v>8860</v>
      </c>
      <c r="C4322" s="26" t="s">
        <v>15</v>
      </c>
      <c r="D4322" s="28" t="s">
        <v>218</v>
      </c>
      <c r="E4322" s="26" t="s">
        <v>8861</v>
      </c>
      <c r="F4322" s="29" t="s">
        <v>220</v>
      </c>
    </row>
    <row r="4323" spans="1:6" ht="29" x14ac:dyDescent="0.35">
      <c r="A4323" s="26" t="s">
        <v>216</v>
      </c>
      <c r="B4323" s="26" t="s">
        <v>8862</v>
      </c>
      <c r="C4323" s="26" t="s">
        <v>17</v>
      </c>
      <c r="D4323" s="28" t="s">
        <v>8863</v>
      </c>
      <c r="E4323" s="26">
        <v>13436</v>
      </c>
      <c r="F4323" s="29" t="s">
        <v>247</v>
      </c>
    </row>
    <row r="4324" spans="1:6" ht="29" x14ac:dyDescent="0.35">
      <c r="A4324" s="26" t="s">
        <v>216</v>
      </c>
      <c r="B4324" s="26" t="s">
        <v>8864</v>
      </c>
      <c r="C4324" s="26" t="s">
        <v>20</v>
      </c>
      <c r="D4324" s="28" t="s">
        <v>8865</v>
      </c>
      <c r="E4324" s="26">
        <v>13436</v>
      </c>
      <c r="F4324" s="29" t="s">
        <v>223</v>
      </c>
    </row>
    <row r="4325" spans="1:6" ht="58" x14ac:dyDescent="0.35">
      <c r="A4325" s="26" t="s">
        <v>216</v>
      </c>
      <c r="B4325" s="26" t="s">
        <v>8866</v>
      </c>
      <c r="C4325" s="26" t="s">
        <v>25</v>
      </c>
      <c r="D4325" s="28" t="s">
        <v>8867</v>
      </c>
      <c r="E4325" s="26">
        <v>0</v>
      </c>
      <c r="F4325" s="29" t="s">
        <v>226</v>
      </c>
    </row>
    <row r="4326" spans="1:6" ht="43.5" x14ac:dyDescent="0.35">
      <c r="A4326" s="26" t="s">
        <v>216</v>
      </c>
      <c r="B4326" s="26" t="s">
        <v>8868</v>
      </c>
      <c r="C4326" s="26" t="s">
        <v>27</v>
      </c>
      <c r="D4326" s="28" t="s">
        <v>8869</v>
      </c>
      <c r="E4326" s="26">
        <v>0</v>
      </c>
      <c r="F4326" s="29" t="s">
        <v>229</v>
      </c>
    </row>
    <row r="4327" spans="1:6" ht="29" x14ac:dyDescent="0.35">
      <c r="A4327" s="26" t="s">
        <v>216</v>
      </c>
      <c r="B4327" s="26" t="s">
        <v>8870</v>
      </c>
      <c r="C4327" s="26" t="s">
        <v>24</v>
      </c>
      <c r="D4327" s="28" t="s">
        <v>8871</v>
      </c>
      <c r="E4327" s="26">
        <v>0</v>
      </c>
      <c r="F4327" s="29" t="s">
        <v>232</v>
      </c>
    </row>
    <row r="4328" spans="1:6" ht="43.5" x14ac:dyDescent="0.35">
      <c r="A4328" s="26" t="s">
        <v>216</v>
      </c>
      <c r="B4328" s="26" t="s">
        <v>8872</v>
      </c>
      <c r="C4328" s="26" t="s">
        <v>15</v>
      </c>
      <c r="D4328" s="28" t="s">
        <v>218</v>
      </c>
      <c r="E4328" s="26" t="s">
        <v>8873</v>
      </c>
      <c r="F4328" s="29" t="s">
        <v>220</v>
      </c>
    </row>
    <row r="4329" spans="1:6" ht="29" x14ac:dyDescent="0.35">
      <c r="A4329" s="26" t="s">
        <v>216</v>
      </c>
      <c r="B4329" s="26" t="s">
        <v>8874</v>
      </c>
      <c r="C4329" s="26" t="s">
        <v>17</v>
      </c>
      <c r="D4329" s="28" t="s">
        <v>8875</v>
      </c>
      <c r="E4329" s="26">
        <v>13436</v>
      </c>
      <c r="F4329" s="29" t="s">
        <v>247</v>
      </c>
    </row>
    <row r="4330" spans="1:6" ht="29" x14ac:dyDescent="0.35">
      <c r="A4330" s="26" t="s">
        <v>216</v>
      </c>
      <c r="B4330" s="26" t="s">
        <v>8876</v>
      </c>
      <c r="C4330" s="26" t="s">
        <v>20</v>
      </c>
      <c r="D4330" s="28" t="s">
        <v>8877</v>
      </c>
      <c r="E4330" s="26">
        <v>13436</v>
      </c>
      <c r="F4330" s="29" t="s">
        <v>223</v>
      </c>
    </row>
    <row r="4331" spans="1:6" ht="58" x14ac:dyDescent="0.35">
      <c r="A4331" s="26" t="s">
        <v>216</v>
      </c>
      <c r="B4331" s="26" t="s">
        <v>8878</v>
      </c>
      <c r="C4331" s="26" t="s">
        <v>25</v>
      </c>
      <c r="D4331" s="28" t="s">
        <v>8879</v>
      </c>
      <c r="E4331" s="26">
        <v>0</v>
      </c>
      <c r="F4331" s="29" t="s">
        <v>226</v>
      </c>
    </row>
    <row r="4332" spans="1:6" ht="43.5" x14ac:dyDescent="0.35">
      <c r="A4332" s="26" t="s">
        <v>216</v>
      </c>
      <c r="B4332" s="26" t="s">
        <v>8880</v>
      </c>
      <c r="C4332" s="26" t="s">
        <v>27</v>
      </c>
      <c r="D4332" s="28" t="s">
        <v>8881</v>
      </c>
      <c r="E4332" s="26">
        <v>0</v>
      </c>
      <c r="F4332" s="29" t="s">
        <v>229</v>
      </c>
    </row>
    <row r="4333" spans="1:6" ht="29" x14ac:dyDescent="0.35">
      <c r="A4333" s="26" t="s">
        <v>216</v>
      </c>
      <c r="B4333" s="26" t="s">
        <v>8882</v>
      </c>
      <c r="C4333" s="26" t="s">
        <v>24</v>
      </c>
      <c r="D4333" s="28" t="s">
        <v>8883</v>
      </c>
      <c r="E4333" s="26">
        <v>0</v>
      </c>
      <c r="F4333" s="29" t="s">
        <v>232</v>
      </c>
    </row>
    <row r="4334" spans="1:6" ht="43.5" x14ac:dyDescent="0.35">
      <c r="A4334" s="26" t="s">
        <v>216</v>
      </c>
      <c r="B4334" s="26" t="s">
        <v>8884</v>
      </c>
      <c r="C4334" s="26" t="s">
        <v>15</v>
      </c>
      <c r="D4334" s="28" t="s">
        <v>218</v>
      </c>
      <c r="E4334" s="26" t="s">
        <v>8885</v>
      </c>
      <c r="F4334" s="29" t="s">
        <v>220</v>
      </c>
    </row>
    <row r="4335" spans="1:6" ht="29" x14ac:dyDescent="0.35">
      <c r="A4335" s="26" t="s">
        <v>216</v>
      </c>
      <c r="B4335" s="26" t="s">
        <v>8886</v>
      </c>
      <c r="C4335" s="26" t="s">
        <v>17</v>
      </c>
      <c r="D4335" s="28" t="s">
        <v>8887</v>
      </c>
      <c r="E4335" s="26">
        <v>13436</v>
      </c>
      <c r="F4335" s="29" t="s">
        <v>247</v>
      </c>
    </row>
    <row r="4336" spans="1:6" ht="29" x14ac:dyDescent="0.35">
      <c r="A4336" s="26" t="s">
        <v>216</v>
      </c>
      <c r="B4336" s="26" t="s">
        <v>8888</v>
      </c>
      <c r="C4336" s="26" t="s">
        <v>20</v>
      </c>
      <c r="D4336" s="28" t="s">
        <v>8889</v>
      </c>
      <c r="E4336" s="26">
        <v>13436</v>
      </c>
      <c r="F4336" s="29" t="s">
        <v>223</v>
      </c>
    </row>
    <row r="4337" spans="1:6" ht="58" x14ac:dyDescent="0.35">
      <c r="A4337" s="26" t="s">
        <v>216</v>
      </c>
      <c r="B4337" s="26" t="s">
        <v>8890</v>
      </c>
      <c r="C4337" s="26" t="s">
        <v>25</v>
      </c>
      <c r="D4337" s="28" t="s">
        <v>8891</v>
      </c>
      <c r="E4337" s="26">
        <v>0</v>
      </c>
      <c r="F4337" s="29" t="s">
        <v>226</v>
      </c>
    </row>
    <row r="4338" spans="1:6" ht="43.5" x14ac:dyDescent="0.35">
      <c r="A4338" s="26" t="s">
        <v>216</v>
      </c>
      <c r="B4338" s="26" t="s">
        <v>8892</v>
      </c>
      <c r="C4338" s="26" t="s">
        <v>27</v>
      </c>
      <c r="D4338" s="28" t="s">
        <v>8893</v>
      </c>
      <c r="E4338" s="26">
        <v>0</v>
      </c>
      <c r="F4338" s="29" t="s">
        <v>229</v>
      </c>
    </row>
    <row r="4339" spans="1:6" ht="29" x14ac:dyDescent="0.35">
      <c r="A4339" s="26" t="s">
        <v>216</v>
      </c>
      <c r="B4339" s="26" t="s">
        <v>8894</v>
      </c>
      <c r="C4339" s="26" t="s">
        <v>24</v>
      </c>
      <c r="D4339" s="28" t="s">
        <v>8895</v>
      </c>
      <c r="E4339" s="26">
        <v>0</v>
      </c>
      <c r="F4339" s="29" t="s">
        <v>232</v>
      </c>
    </row>
    <row r="4340" spans="1:6" ht="43.5" x14ac:dyDescent="0.35">
      <c r="A4340" s="26" t="s">
        <v>216</v>
      </c>
      <c r="B4340" s="26" t="s">
        <v>8896</v>
      </c>
      <c r="C4340" s="26" t="s">
        <v>15</v>
      </c>
      <c r="D4340" s="28" t="s">
        <v>218</v>
      </c>
      <c r="E4340" s="26" t="s">
        <v>8897</v>
      </c>
      <c r="F4340" s="29" t="s">
        <v>220</v>
      </c>
    </row>
    <row r="4341" spans="1:6" ht="29" x14ac:dyDescent="0.35">
      <c r="A4341" s="26" t="s">
        <v>216</v>
      </c>
      <c r="B4341" s="26" t="s">
        <v>8898</v>
      </c>
      <c r="C4341" s="26" t="s">
        <v>17</v>
      </c>
      <c r="D4341" s="28" t="s">
        <v>8899</v>
      </c>
      <c r="E4341" s="26">
        <v>13436</v>
      </c>
      <c r="F4341" s="29" t="s">
        <v>247</v>
      </c>
    </row>
    <row r="4342" spans="1:6" ht="29" x14ac:dyDescent="0.35">
      <c r="A4342" s="26" t="s">
        <v>216</v>
      </c>
      <c r="B4342" s="26" t="s">
        <v>8900</v>
      </c>
      <c r="C4342" s="26" t="s">
        <v>20</v>
      </c>
      <c r="D4342" s="28" t="s">
        <v>8901</v>
      </c>
      <c r="E4342" s="26">
        <v>13436</v>
      </c>
      <c r="F4342" s="29" t="s">
        <v>223</v>
      </c>
    </row>
    <row r="4343" spans="1:6" ht="58" x14ac:dyDescent="0.35">
      <c r="A4343" s="26" t="s">
        <v>216</v>
      </c>
      <c r="B4343" s="26" t="s">
        <v>8902</v>
      </c>
      <c r="C4343" s="26" t="s">
        <v>25</v>
      </c>
      <c r="D4343" s="28" t="s">
        <v>8903</v>
      </c>
      <c r="E4343" s="26">
        <v>0</v>
      </c>
      <c r="F4343" s="29" t="s">
        <v>226</v>
      </c>
    </row>
    <row r="4344" spans="1:6" ht="43.5" x14ac:dyDescent="0.35">
      <c r="A4344" s="26" t="s">
        <v>216</v>
      </c>
      <c r="B4344" s="26" t="s">
        <v>8904</v>
      </c>
      <c r="C4344" s="26" t="s">
        <v>27</v>
      </c>
      <c r="D4344" s="28" t="s">
        <v>8905</v>
      </c>
      <c r="E4344" s="26">
        <v>0</v>
      </c>
      <c r="F4344" s="29" t="s">
        <v>229</v>
      </c>
    </row>
    <row r="4345" spans="1:6" ht="29" x14ac:dyDescent="0.35">
      <c r="A4345" s="26" t="s">
        <v>216</v>
      </c>
      <c r="B4345" s="26" t="s">
        <v>8906</v>
      </c>
      <c r="C4345" s="26" t="s">
        <v>24</v>
      </c>
      <c r="D4345" s="28" t="s">
        <v>8907</v>
      </c>
      <c r="E4345" s="26">
        <v>0</v>
      </c>
      <c r="F4345" s="29" t="s">
        <v>232</v>
      </c>
    </row>
    <row r="4346" spans="1:6" ht="43.5" x14ac:dyDescent="0.35">
      <c r="A4346" s="26" t="s">
        <v>216</v>
      </c>
      <c r="B4346" s="26" t="s">
        <v>8908</v>
      </c>
      <c r="C4346" s="26" t="s">
        <v>15</v>
      </c>
      <c r="D4346" s="28" t="s">
        <v>218</v>
      </c>
      <c r="E4346" s="26" t="s">
        <v>8909</v>
      </c>
      <c r="F4346" s="29" t="s">
        <v>220</v>
      </c>
    </row>
    <row r="4347" spans="1:6" ht="29" x14ac:dyDescent="0.35">
      <c r="A4347" s="26" t="s">
        <v>216</v>
      </c>
      <c r="B4347" s="26" t="s">
        <v>8910</v>
      </c>
      <c r="C4347" s="26" t="s">
        <v>17</v>
      </c>
      <c r="D4347" s="28" t="s">
        <v>8911</v>
      </c>
      <c r="E4347" s="26">
        <v>13436</v>
      </c>
      <c r="F4347" s="29" t="s">
        <v>247</v>
      </c>
    </row>
    <row r="4348" spans="1:6" ht="29" x14ac:dyDescent="0.35">
      <c r="A4348" s="26" t="s">
        <v>216</v>
      </c>
      <c r="B4348" s="26" t="s">
        <v>8912</v>
      </c>
      <c r="C4348" s="26" t="s">
        <v>20</v>
      </c>
      <c r="D4348" s="28" t="s">
        <v>8913</v>
      </c>
      <c r="E4348" s="26">
        <v>13436</v>
      </c>
      <c r="F4348" s="29" t="s">
        <v>223</v>
      </c>
    </row>
    <row r="4349" spans="1:6" ht="58" x14ac:dyDescent="0.35">
      <c r="A4349" s="26" t="s">
        <v>216</v>
      </c>
      <c r="B4349" s="26" t="s">
        <v>8914</v>
      </c>
      <c r="C4349" s="26" t="s">
        <v>25</v>
      </c>
      <c r="D4349" s="28" t="s">
        <v>8915</v>
      </c>
      <c r="E4349" s="26">
        <v>0</v>
      </c>
      <c r="F4349" s="29" t="s">
        <v>226</v>
      </c>
    </row>
    <row r="4350" spans="1:6" ht="43.5" x14ac:dyDescent="0.35">
      <c r="A4350" s="26" t="s">
        <v>216</v>
      </c>
      <c r="B4350" s="26" t="s">
        <v>8916</v>
      </c>
      <c r="C4350" s="26" t="s">
        <v>27</v>
      </c>
      <c r="D4350" s="28" t="s">
        <v>8917</v>
      </c>
      <c r="E4350" s="26">
        <v>0</v>
      </c>
      <c r="F4350" s="29" t="s">
        <v>229</v>
      </c>
    </row>
    <row r="4351" spans="1:6" ht="29" x14ac:dyDescent="0.35">
      <c r="A4351" s="26" t="s">
        <v>216</v>
      </c>
      <c r="B4351" s="26" t="s">
        <v>8918</v>
      </c>
      <c r="C4351" s="26" t="s">
        <v>24</v>
      </c>
      <c r="D4351" s="28" t="s">
        <v>8919</v>
      </c>
      <c r="E4351" s="26">
        <v>0</v>
      </c>
      <c r="F4351" s="29" t="s">
        <v>232</v>
      </c>
    </row>
    <row r="4352" spans="1:6" ht="43.5" x14ac:dyDescent="0.35">
      <c r="A4352" s="26" t="s">
        <v>216</v>
      </c>
      <c r="B4352" s="26" t="s">
        <v>8920</v>
      </c>
      <c r="C4352" s="26" t="s">
        <v>15</v>
      </c>
      <c r="D4352" s="28" t="s">
        <v>218</v>
      </c>
      <c r="E4352" s="26" t="s">
        <v>8921</v>
      </c>
      <c r="F4352" s="29" t="s">
        <v>220</v>
      </c>
    </row>
    <row r="4353" spans="1:6" ht="29" x14ac:dyDescent="0.35">
      <c r="A4353" s="26" t="s">
        <v>216</v>
      </c>
      <c r="B4353" s="26" t="s">
        <v>8922</v>
      </c>
      <c r="C4353" s="26" t="s">
        <v>17</v>
      </c>
      <c r="D4353" s="28" t="s">
        <v>8923</v>
      </c>
      <c r="E4353" s="26">
        <v>13436</v>
      </c>
      <c r="F4353" s="29" t="s">
        <v>247</v>
      </c>
    </row>
    <row r="4354" spans="1:6" ht="29" x14ac:dyDescent="0.35">
      <c r="A4354" s="26" t="s">
        <v>216</v>
      </c>
      <c r="B4354" s="26" t="s">
        <v>8924</v>
      </c>
      <c r="C4354" s="26" t="s">
        <v>20</v>
      </c>
      <c r="D4354" s="28" t="s">
        <v>8925</v>
      </c>
      <c r="E4354" s="26">
        <v>13436</v>
      </c>
      <c r="F4354" s="29" t="s">
        <v>223</v>
      </c>
    </row>
    <row r="4355" spans="1:6" ht="58" x14ac:dyDescent="0.35">
      <c r="A4355" s="26" t="s">
        <v>216</v>
      </c>
      <c r="B4355" s="26" t="s">
        <v>8926</v>
      </c>
      <c r="C4355" s="26" t="s">
        <v>25</v>
      </c>
      <c r="D4355" s="28" t="s">
        <v>8927</v>
      </c>
      <c r="E4355" s="26">
        <v>0</v>
      </c>
      <c r="F4355" s="29" t="s">
        <v>226</v>
      </c>
    </row>
    <row r="4356" spans="1:6" ht="43.5" x14ac:dyDescent="0.35">
      <c r="A4356" s="26" t="s">
        <v>216</v>
      </c>
      <c r="B4356" s="26" t="s">
        <v>8928</v>
      </c>
      <c r="C4356" s="26" t="s">
        <v>27</v>
      </c>
      <c r="D4356" s="28" t="s">
        <v>8929</v>
      </c>
      <c r="E4356" s="26">
        <v>0</v>
      </c>
      <c r="F4356" s="29" t="s">
        <v>229</v>
      </c>
    </row>
    <row r="4357" spans="1:6" ht="29" x14ac:dyDescent="0.35">
      <c r="A4357" s="26" t="s">
        <v>216</v>
      </c>
      <c r="B4357" s="26" t="s">
        <v>8930</v>
      </c>
      <c r="C4357" s="26" t="s">
        <v>24</v>
      </c>
      <c r="D4357" s="28" t="s">
        <v>8931</v>
      </c>
      <c r="E4357" s="26">
        <v>0</v>
      </c>
      <c r="F4357" s="29" t="s">
        <v>232</v>
      </c>
    </row>
    <row r="4358" spans="1:6" ht="43.5" x14ac:dyDescent="0.35">
      <c r="A4358" s="26" t="s">
        <v>216</v>
      </c>
      <c r="B4358" s="26" t="s">
        <v>8932</v>
      </c>
      <c r="C4358" s="26" t="s">
        <v>15</v>
      </c>
      <c r="D4358" s="28" t="s">
        <v>218</v>
      </c>
      <c r="E4358" s="26" t="s">
        <v>8933</v>
      </c>
      <c r="F4358" s="29" t="s">
        <v>220</v>
      </c>
    </row>
    <row r="4359" spans="1:6" ht="29" x14ac:dyDescent="0.35">
      <c r="A4359" s="26" t="s">
        <v>216</v>
      </c>
      <c r="B4359" s="26" t="s">
        <v>8934</v>
      </c>
      <c r="C4359" s="26" t="s">
        <v>17</v>
      </c>
      <c r="D4359" s="28" t="s">
        <v>8935</v>
      </c>
      <c r="E4359" s="26">
        <v>13436</v>
      </c>
      <c r="F4359" s="29" t="s">
        <v>247</v>
      </c>
    </row>
    <row r="4360" spans="1:6" ht="29" x14ac:dyDescent="0.35">
      <c r="A4360" s="26" t="s">
        <v>216</v>
      </c>
      <c r="B4360" s="26" t="s">
        <v>8936</v>
      </c>
      <c r="C4360" s="26" t="s">
        <v>20</v>
      </c>
      <c r="D4360" s="28" t="s">
        <v>8937</v>
      </c>
      <c r="E4360" s="26">
        <v>13436</v>
      </c>
      <c r="F4360" s="29" t="s">
        <v>223</v>
      </c>
    </row>
    <row r="4361" spans="1:6" ht="58" x14ac:dyDescent="0.35">
      <c r="A4361" s="26" t="s">
        <v>216</v>
      </c>
      <c r="B4361" s="26" t="s">
        <v>8938</v>
      </c>
      <c r="C4361" s="26" t="s">
        <v>25</v>
      </c>
      <c r="D4361" s="28" t="s">
        <v>8939</v>
      </c>
      <c r="E4361" s="26">
        <v>0</v>
      </c>
      <c r="F4361" s="29" t="s">
        <v>226</v>
      </c>
    </row>
    <row r="4362" spans="1:6" ht="43.5" x14ac:dyDescent="0.35">
      <c r="A4362" s="26" t="s">
        <v>216</v>
      </c>
      <c r="B4362" s="26" t="s">
        <v>8940</v>
      </c>
      <c r="C4362" s="26" t="s">
        <v>27</v>
      </c>
      <c r="D4362" s="28" t="s">
        <v>8941</v>
      </c>
      <c r="E4362" s="26">
        <v>0</v>
      </c>
      <c r="F4362" s="29" t="s">
        <v>229</v>
      </c>
    </row>
    <row r="4363" spans="1:6" ht="29" x14ac:dyDescent="0.35">
      <c r="A4363" s="26" t="s">
        <v>216</v>
      </c>
      <c r="B4363" s="26" t="s">
        <v>8942</v>
      </c>
      <c r="C4363" s="26" t="s">
        <v>24</v>
      </c>
      <c r="D4363" s="28" t="s">
        <v>8943</v>
      </c>
      <c r="E4363" s="26">
        <v>0</v>
      </c>
      <c r="F4363" s="29" t="s">
        <v>232</v>
      </c>
    </row>
    <row r="4364" spans="1:6" ht="43.5" x14ac:dyDescent="0.35">
      <c r="A4364" s="26" t="s">
        <v>216</v>
      </c>
      <c r="B4364" s="26" t="s">
        <v>8944</v>
      </c>
      <c r="C4364" s="26" t="s">
        <v>15</v>
      </c>
      <c r="D4364" s="28" t="s">
        <v>218</v>
      </c>
      <c r="E4364" s="26" t="s">
        <v>8945</v>
      </c>
      <c r="F4364" s="29" t="s">
        <v>220</v>
      </c>
    </row>
    <row r="4365" spans="1:6" ht="29" x14ac:dyDescent="0.35">
      <c r="A4365" s="26" t="s">
        <v>216</v>
      </c>
      <c r="B4365" s="26" t="s">
        <v>8946</v>
      </c>
      <c r="C4365" s="26" t="s">
        <v>17</v>
      </c>
      <c r="D4365" s="28" t="s">
        <v>8947</v>
      </c>
      <c r="E4365" s="26">
        <v>13436</v>
      </c>
      <c r="F4365" s="29" t="s">
        <v>247</v>
      </c>
    </row>
    <row r="4366" spans="1:6" ht="29" x14ac:dyDescent="0.35">
      <c r="A4366" s="26" t="s">
        <v>216</v>
      </c>
      <c r="B4366" s="26" t="s">
        <v>8948</v>
      </c>
      <c r="C4366" s="26" t="s">
        <v>20</v>
      </c>
      <c r="D4366" s="28" t="s">
        <v>8949</v>
      </c>
      <c r="E4366" s="26">
        <v>13436</v>
      </c>
      <c r="F4366" s="29" t="s">
        <v>223</v>
      </c>
    </row>
    <row r="4367" spans="1:6" ht="58" x14ac:dyDescent="0.35">
      <c r="A4367" s="26" t="s">
        <v>216</v>
      </c>
      <c r="B4367" s="26" t="s">
        <v>8950</v>
      </c>
      <c r="C4367" s="26" t="s">
        <v>25</v>
      </c>
      <c r="D4367" s="28" t="s">
        <v>8951</v>
      </c>
      <c r="E4367" s="26">
        <v>0</v>
      </c>
      <c r="F4367" s="29" t="s">
        <v>226</v>
      </c>
    </row>
    <row r="4368" spans="1:6" ht="43.5" x14ac:dyDescent="0.35">
      <c r="A4368" s="26" t="s">
        <v>216</v>
      </c>
      <c r="B4368" s="26" t="s">
        <v>8952</v>
      </c>
      <c r="C4368" s="26" t="s">
        <v>27</v>
      </c>
      <c r="D4368" s="28" t="s">
        <v>8953</v>
      </c>
      <c r="E4368" s="26">
        <v>0</v>
      </c>
      <c r="F4368" s="29" t="s">
        <v>229</v>
      </c>
    </row>
    <row r="4369" spans="1:6" ht="29" x14ac:dyDescent="0.35">
      <c r="A4369" s="26" t="s">
        <v>216</v>
      </c>
      <c r="B4369" s="26" t="s">
        <v>8954</v>
      </c>
      <c r="C4369" s="26" t="s">
        <v>24</v>
      </c>
      <c r="D4369" s="28" t="s">
        <v>8955</v>
      </c>
      <c r="E4369" s="26">
        <v>0</v>
      </c>
      <c r="F4369" s="29" t="s">
        <v>232</v>
      </c>
    </row>
    <row r="4370" spans="1:6" ht="43.5" x14ac:dyDescent="0.35">
      <c r="A4370" s="26" t="s">
        <v>216</v>
      </c>
      <c r="B4370" s="26" t="s">
        <v>8956</v>
      </c>
      <c r="C4370" s="26" t="s">
        <v>15</v>
      </c>
      <c r="D4370" s="28" t="s">
        <v>218</v>
      </c>
      <c r="E4370" s="26" t="s">
        <v>8957</v>
      </c>
      <c r="F4370" s="29" t="s">
        <v>220</v>
      </c>
    </row>
    <row r="4371" spans="1:6" ht="29" x14ac:dyDescent="0.35">
      <c r="A4371" s="26" t="s">
        <v>216</v>
      </c>
      <c r="B4371" s="26" t="s">
        <v>8958</v>
      </c>
      <c r="C4371" s="26" t="s">
        <v>17</v>
      </c>
      <c r="D4371" s="28" t="s">
        <v>8959</v>
      </c>
      <c r="E4371" s="26">
        <v>13436</v>
      </c>
      <c r="F4371" s="29" t="s">
        <v>247</v>
      </c>
    </row>
    <row r="4372" spans="1:6" ht="29" x14ac:dyDescent="0.35">
      <c r="A4372" s="26" t="s">
        <v>216</v>
      </c>
      <c r="B4372" s="26" t="s">
        <v>8960</v>
      </c>
      <c r="C4372" s="26" t="s">
        <v>20</v>
      </c>
      <c r="D4372" s="28" t="s">
        <v>8961</v>
      </c>
      <c r="E4372" s="26">
        <v>13436</v>
      </c>
      <c r="F4372" s="29" t="s">
        <v>223</v>
      </c>
    </row>
    <row r="4373" spans="1:6" ht="58" x14ac:dyDescent="0.35">
      <c r="A4373" s="26" t="s">
        <v>216</v>
      </c>
      <c r="B4373" s="26" t="s">
        <v>8962</v>
      </c>
      <c r="C4373" s="26" t="s">
        <v>25</v>
      </c>
      <c r="D4373" s="28" t="s">
        <v>8963</v>
      </c>
      <c r="E4373" s="26">
        <v>0</v>
      </c>
      <c r="F4373" s="29" t="s">
        <v>226</v>
      </c>
    </row>
    <row r="4374" spans="1:6" ht="43.5" x14ac:dyDescent="0.35">
      <c r="A4374" s="26" t="s">
        <v>216</v>
      </c>
      <c r="B4374" s="26" t="s">
        <v>8964</v>
      </c>
      <c r="C4374" s="26" t="s">
        <v>27</v>
      </c>
      <c r="D4374" s="28" t="s">
        <v>8965</v>
      </c>
      <c r="E4374" s="26">
        <v>0</v>
      </c>
      <c r="F4374" s="29" t="s">
        <v>229</v>
      </c>
    </row>
    <row r="4375" spans="1:6" ht="29" x14ac:dyDescent="0.35">
      <c r="A4375" s="26" t="s">
        <v>216</v>
      </c>
      <c r="B4375" s="26" t="s">
        <v>8966</v>
      </c>
      <c r="C4375" s="26" t="s">
        <v>24</v>
      </c>
      <c r="D4375" s="28" t="s">
        <v>8967</v>
      </c>
      <c r="E4375" s="26">
        <v>0</v>
      </c>
      <c r="F4375" s="29" t="s">
        <v>232</v>
      </c>
    </row>
    <row r="4376" spans="1:6" ht="43.5" x14ac:dyDescent="0.35">
      <c r="A4376" s="26" t="s">
        <v>8968</v>
      </c>
      <c r="B4376" s="26" t="s">
        <v>243</v>
      </c>
      <c r="C4376" s="26" t="s">
        <v>6</v>
      </c>
      <c r="D4376" s="28" t="s">
        <v>8969</v>
      </c>
      <c r="E4376" s="26">
        <v>222</v>
      </c>
      <c r="F4376" s="29" t="s">
        <v>8970</v>
      </c>
    </row>
    <row r="4377" spans="1:6" ht="29" x14ac:dyDescent="0.35">
      <c r="A4377" s="26" t="s">
        <v>8968</v>
      </c>
      <c r="B4377" s="26" t="s">
        <v>8971</v>
      </c>
      <c r="C4377" s="26" t="s">
        <v>3</v>
      </c>
      <c r="D4377" s="28" t="s">
        <v>8972</v>
      </c>
      <c r="E4377" s="26">
        <v>0.74</v>
      </c>
      <c r="F4377" s="29" t="s">
        <v>8973</v>
      </c>
    </row>
    <row r="4378" spans="1:6" ht="43.5" x14ac:dyDescent="0.35">
      <c r="A4378" s="26" t="s">
        <v>8968</v>
      </c>
      <c r="B4378" s="26" t="s">
        <v>245</v>
      </c>
      <c r="C4378" s="26" t="s">
        <v>5</v>
      </c>
      <c r="D4378" s="28" t="s">
        <v>8974</v>
      </c>
      <c r="E4378" s="26">
        <v>0.74</v>
      </c>
      <c r="F4378" s="29" t="s">
        <v>8975</v>
      </c>
    </row>
    <row r="4379" spans="1:6" ht="43.5" x14ac:dyDescent="0.35">
      <c r="A4379" s="26" t="s">
        <v>8968</v>
      </c>
      <c r="B4379" s="26" t="s">
        <v>8976</v>
      </c>
      <c r="C4379" s="26" t="s">
        <v>1</v>
      </c>
      <c r="D4379" s="28" t="s">
        <v>8977</v>
      </c>
      <c r="E4379" s="27">
        <v>15178</v>
      </c>
      <c r="F4379" s="29" t="s">
        <v>8978</v>
      </c>
    </row>
    <row r="4380" spans="1:6" ht="43.5" x14ac:dyDescent="0.35">
      <c r="A4380" s="26" t="s">
        <v>8968</v>
      </c>
      <c r="B4380" s="26" t="s">
        <v>8979</v>
      </c>
      <c r="C4380" s="26" t="s">
        <v>7</v>
      </c>
      <c r="D4380" s="28" t="s">
        <v>8980</v>
      </c>
      <c r="E4380" s="26">
        <v>7.23</v>
      </c>
      <c r="F4380" s="29" t="s">
        <v>8981</v>
      </c>
    </row>
    <row r="4381" spans="1:6" ht="29" x14ac:dyDescent="0.35">
      <c r="A4381" s="26" t="s">
        <v>8968</v>
      </c>
      <c r="B4381" s="26" t="s">
        <v>248</v>
      </c>
      <c r="C4381" s="26" t="s">
        <v>4</v>
      </c>
      <c r="D4381" s="28" t="s">
        <v>8982</v>
      </c>
      <c r="E4381" s="26">
        <v>0.51</v>
      </c>
      <c r="F4381" s="29" t="s">
        <v>8983</v>
      </c>
    </row>
    <row r="4382" spans="1:6" ht="43.5" x14ac:dyDescent="0.35">
      <c r="A4382" s="26" t="s">
        <v>8968</v>
      </c>
      <c r="B4382" s="26" t="s">
        <v>8984</v>
      </c>
      <c r="C4382" s="26" t="s">
        <v>8</v>
      </c>
      <c r="D4382" s="28" t="s">
        <v>259</v>
      </c>
      <c r="E4382" s="26">
        <v>0.51</v>
      </c>
      <c r="F4382" s="29" t="s">
        <v>8985</v>
      </c>
    </row>
    <row r="4383" spans="1:6" ht="43.5" x14ac:dyDescent="0.35">
      <c r="A4383" s="26" t="s">
        <v>8968</v>
      </c>
      <c r="B4383" s="26" t="s">
        <v>8986</v>
      </c>
      <c r="C4383" s="26" t="s">
        <v>2</v>
      </c>
      <c r="D4383" s="28" t="s">
        <v>8987</v>
      </c>
      <c r="E4383" s="26">
        <v>29778</v>
      </c>
      <c r="F4383" s="29" t="s">
        <v>8988</v>
      </c>
    </row>
    <row r="4384" spans="1:6" ht="43.5" x14ac:dyDescent="0.35">
      <c r="A4384" s="26" t="s">
        <v>8968</v>
      </c>
      <c r="B4384" s="26" t="s">
        <v>256</v>
      </c>
      <c r="C4384" s="26" t="s">
        <v>6</v>
      </c>
      <c r="D4384" s="28" t="s">
        <v>8989</v>
      </c>
      <c r="E4384" s="26">
        <v>0</v>
      </c>
      <c r="F4384" s="29" t="s">
        <v>8970</v>
      </c>
    </row>
    <row r="4385" spans="1:6" ht="29" x14ac:dyDescent="0.35">
      <c r="A4385" s="26" t="s">
        <v>8968</v>
      </c>
      <c r="B4385" s="26" t="s">
        <v>8990</v>
      </c>
      <c r="C4385" s="26" t="s">
        <v>3</v>
      </c>
      <c r="D4385" s="28" t="s">
        <v>8991</v>
      </c>
      <c r="E4385" s="26">
        <v>0</v>
      </c>
      <c r="F4385" s="29" t="s">
        <v>8973</v>
      </c>
    </row>
    <row r="4386" spans="1:6" ht="43.5" x14ac:dyDescent="0.35">
      <c r="A4386" s="26" t="s">
        <v>8968</v>
      </c>
      <c r="B4386" s="26" t="s">
        <v>258</v>
      </c>
      <c r="C4386" s="26" t="s">
        <v>5</v>
      </c>
      <c r="D4386" s="28" t="s">
        <v>8992</v>
      </c>
      <c r="E4386" s="26">
        <v>0.74</v>
      </c>
      <c r="F4386" s="29" t="s">
        <v>8975</v>
      </c>
    </row>
    <row r="4387" spans="1:6" ht="43.5" x14ac:dyDescent="0.35">
      <c r="A4387" s="26" t="s">
        <v>8968</v>
      </c>
      <c r="B4387" s="26" t="s">
        <v>8993</v>
      </c>
      <c r="C4387" s="26" t="s">
        <v>1</v>
      </c>
      <c r="D4387" s="28" t="s">
        <v>8994</v>
      </c>
      <c r="E4387" s="26">
        <v>0</v>
      </c>
      <c r="F4387" s="29" t="s">
        <v>8978</v>
      </c>
    </row>
    <row r="4388" spans="1:6" ht="43.5" x14ac:dyDescent="0.35">
      <c r="A4388" s="26" t="s">
        <v>8968</v>
      </c>
      <c r="B4388" s="26" t="s">
        <v>8995</v>
      </c>
      <c r="C4388" s="26" t="s">
        <v>7</v>
      </c>
      <c r="D4388" s="28" t="s">
        <v>8996</v>
      </c>
      <c r="E4388" s="26">
        <v>0</v>
      </c>
      <c r="F4388" s="29" t="s">
        <v>8981</v>
      </c>
    </row>
    <row r="4389" spans="1:6" ht="29" x14ac:dyDescent="0.35">
      <c r="A4389" s="26" t="s">
        <v>8968</v>
      </c>
      <c r="B4389" s="26" t="s">
        <v>260</v>
      </c>
      <c r="C4389" s="26" t="s">
        <v>4</v>
      </c>
      <c r="D4389" s="28" t="s">
        <v>8997</v>
      </c>
      <c r="E4389" s="26">
        <v>0</v>
      </c>
      <c r="F4389" s="29" t="s">
        <v>8983</v>
      </c>
    </row>
    <row r="4390" spans="1:6" ht="43.5" x14ac:dyDescent="0.35">
      <c r="A4390" s="26" t="s">
        <v>8968</v>
      </c>
      <c r="B4390" s="26" t="s">
        <v>8998</v>
      </c>
      <c r="C4390" s="26" t="s">
        <v>8</v>
      </c>
      <c r="D4390" s="28" t="s">
        <v>8999</v>
      </c>
      <c r="E4390" s="26">
        <v>0.51</v>
      </c>
      <c r="F4390" s="29" t="s">
        <v>8985</v>
      </c>
    </row>
    <row r="4391" spans="1:6" ht="43.5" x14ac:dyDescent="0.35">
      <c r="A4391" s="26" t="s">
        <v>8968</v>
      </c>
      <c r="B4391" s="26" t="s">
        <v>9000</v>
      </c>
      <c r="C4391" s="26" t="s">
        <v>2</v>
      </c>
      <c r="D4391" s="28" t="s">
        <v>9001</v>
      </c>
      <c r="E4391" s="26">
        <v>29778</v>
      </c>
      <c r="F4391" s="29" t="s">
        <v>8988</v>
      </c>
    </row>
    <row r="4392" spans="1:6" ht="43.5" x14ac:dyDescent="0.35">
      <c r="A4392" s="26" t="s">
        <v>8968</v>
      </c>
      <c r="B4392" s="26" t="s">
        <v>268</v>
      </c>
      <c r="C4392" s="26" t="s">
        <v>6</v>
      </c>
      <c r="D4392" s="28" t="s">
        <v>9002</v>
      </c>
      <c r="E4392" s="26">
        <v>0</v>
      </c>
      <c r="F4392" s="29" t="s">
        <v>8970</v>
      </c>
    </row>
    <row r="4393" spans="1:6" ht="29" x14ac:dyDescent="0.35">
      <c r="A4393" s="26" t="s">
        <v>8968</v>
      </c>
      <c r="B4393" s="26" t="s">
        <v>9003</v>
      </c>
      <c r="C4393" s="26" t="s">
        <v>3</v>
      </c>
      <c r="D4393" s="28" t="s">
        <v>9004</v>
      </c>
      <c r="E4393" s="26">
        <v>0</v>
      </c>
      <c r="F4393" s="29" t="s">
        <v>8973</v>
      </c>
    </row>
    <row r="4394" spans="1:6" ht="43.5" x14ac:dyDescent="0.35">
      <c r="A4394" s="26" t="s">
        <v>8968</v>
      </c>
      <c r="B4394" s="26" t="s">
        <v>270</v>
      </c>
      <c r="C4394" s="26" t="s">
        <v>5</v>
      </c>
      <c r="D4394" s="28" t="s">
        <v>9005</v>
      </c>
      <c r="E4394" s="26">
        <v>0.74</v>
      </c>
      <c r="F4394" s="29" t="s">
        <v>8975</v>
      </c>
    </row>
    <row r="4395" spans="1:6" ht="43.5" x14ac:dyDescent="0.35">
      <c r="A4395" s="26" t="s">
        <v>8968</v>
      </c>
      <c r="B4395" s="26" t="s">
        <v>9006</v>
      </c>
      <c r="C4395" s="26" t="s">
        <v>1</v>
      </c>
      <c r="D4395" s="28" t="s">
        <v>9007</v>
      </c>
      <c r="E4395" s="26">
        <v>0</v>
      </c>
      <c r="F4395" s="29" t="s">
        <v>8978</v>
      </c>
    </row>
    <row r="4396" spans="1:6" ht="43.5" x14ac:dyDescent="0.35">
      <c r="A4396" s="26" t="s">
        <v>8968</v>
      </c>
      <c r="B4396" s="26" t="s">
        <v>9008</v>
      </c>
      <c r="C4396" s="26" t="s">
        <v>7</v>
      </c>
      <c r="D4396" s="28" t="s">
        <v>9009</v>
      </c>
      <c r="E4396" s="26">
        <v>0</v>
      </c>
      <c r="F4396" s="29" t="s">
        <v>8981</v>
      </c>
    </row>
    <row r="4397" spans="1:6" ht="29" x14ac:dyDescent="0.35">
      <c r="A4397" s="26" t="s">
        <v>8968</v>
      </c>
      <c r="B4397" s="26" t="s">
        <v>272</v>
      </c>
      <c r="C4397" s="26" t="s">
        <v>4</v>
      </c>
      <c r="D4397" s="28" t="s">
        <v>9010</v>
      </c>
      <c r="E4397" s="26">
        <v>0</v>
      </c>
      <c r="F4397" s="29" t="s">
        <v>8983</v>
      </c>
    </row>
    <row r="4398" spans="1:6" ht="43.5" x14ac:dyDescent="0.35">
      <c r="A4398" s="26" t="s">
        <v>8968</v>
      </c>
      <c r="B4398" s="26" t="s">
        <v>9011</v>
      </c>
      <c r="C4398" s="26" t="s">
        <v>8</v>
      </c>
      <c r="D4398" s="28" t="s">
        <v>9012</v>
      </c>
      <c r="E4398" s="26">
        <v>0.51</v>
      </c>
      <c r="F4398" s="29" t="s">
        <v>8985</v>
      </c>
    </row>
    <row r="4399" spans="1:6" ht="43.5" x14ac:dyDescent="0.35">
      <c r="A4399" s="26" t="s">
        <v>8968</v>
      </c>
      <c r="B4399" s="26" t="s">
        <v>9013</v>
      </c>
      <c r="C4399" s="26" t="s">
        <v>2</v>
      </c>
      <c r="D4399" s="28" t="s">
        <v>9014</v>
      </c>
      <c r="E4399" s="26">
        <v>29778</v>
      </c>
      <c r="F4399" s="29" t="s">
        <v>8988</v>
      </c>
    </row>
    <row r="4400" spans="1:6" ht="43.5" x14ac:dyDescent="0.35">
      <c r="A4400" s="26" t="s">
        <v>8968</v>
      </c>
      <c r="B4400" s="26" t="s">
        <v>280</v>
      </c>
      <c r="C4400" s="26" t="s">
        <v>6</v>
      </c>
      <c r="D4400" s="28" t="s">
        <v>9015</v>
      </c>
      <c r="E4400" s="26">
        <v>0</v>
      </c>
      <c r="F4400" s="29" t="s">
        <v>8970</v>
      </c>
    </row>
    <row r="4401" spans="1:6" ht="29" x14ac:dyDescent="0.35">
      <c r="A4401" s="26" t="s">
        <v>8968</v>
      </c>
      <c r="B4401" s="26" t="s">
        <v>9016</v>
      </c>
      <c r="C4401" s="26" t="s">
        <v>3</v>
      </c>
      <c r="D4401" s="28" t="s">
        <v>9017</v>
      </c>
      <c r="E4401" s="26">
        <v>0</v>
      </c>
      <c r="F4401" s="29" t="s">
        <v>8973</v>
      </c>
    </row>
    <row r="4402" spans="1:6" ht="43.5" x14ac:dyDescent="0.35">
      <c r="A4402" s="26" t="s">
        <v>8968</v>
      </c>
      <c r="B4402" s="26" t="s">
        <v>282</v>
      </c>
      <c r="C4402" s="26" t="s">
        <v>5</v>
      </c>
      <c r="D4402" s="28" t="s">
        <v>9018</v>
      </c>
      <c r="E4402" s="26">
        <v>0.74</v>
      </c>
      <c r="F4402" s="29" t="s">
        <v>8975</v>
      </c>
    </row>
    <row r="4403" spans="1:6" ht="43.5" x14ac:dyDescent="0.35">
      <c r="A4403" s="26" t="s">
        <v>8968</v>
      </c>
      <c r="B4403" s="26" t="s">
        <v>9019</v>
      </c>
      <c r="C4403" s="26" t="s">
        <v>1</v>
      </c>
      <c r="D4403" s="28" t="s">
        <v>9020</v>
      </c>
      <c r="E4403" s="26">
        <v>0</v>
      </c>
      <c r="F4403" s="29" t="s">
        <v>8978</v>
      </c>
    </row>
    <row r="4404" spans="1:6" ht="43.5" x14ac:dyDescent="0.35">
      <c r="A4404" s="26" t="s">
        <v>8968</v>
      </c>
      <c r="B4404" s="26" t="s">
        <v>9021</v>
      </c>
      <c r="C4404" s="26" t="s">
        <v>7</v>
      </c>
      <c r="D4404" s="28" t="s">
        <v>9022</v>
      </c>
      <c r="E4404" s="26">
        <v>0</v>
      </c>
      <c r="F4404" s="29" t="s">
        <v>8981</v>
      </c>
    </row>
    <row r="4405" spans="1:6" ht="29" x14ac:dyDescent="0.35">
      <c r="A4405" s="26" t="s">
        <v>8968</v>
      </c>
      <c r="B4405" s="26" t="s">
        <v>284</v>
      </c>
      <c r="C4405" s="26" t="s">
        <v>4</v>
      </c>
      <c r="D4405" s="28" t="s">
        <v>9023</v>
      </c>
      <c r="E4405" s="26">
        <v>0</v>
      </c>
      <c r="F4405" s="29" t="s">
        <v>8983</v>
      </c>
    </row>
    <row r="4406" spans="1:6" ht="43.5" x14ac:dyDescent="0.35">
      <c r="A4406" s="26" t="s">
        <v>8968</v>
      </c>
      <c r="B4406" s="26" t="s">
        <v>9024</v>
      </c>
      <c r="C4406" s="26" t="s">
        <v>8</v>
      </c>
      <c r="D4406" s="28" t="s">
        <v>9025</v>
      </c>
      <c r="E4406" s="26">
        <v>0.51</v>
      </c>
      <c r="F4406" s="29" t="s">
        <v>8985</v>
      </c>
    </row>
    <row r="4407" spans="1:6" ht="43.5" x14ac:dyDescent="0.35">
      <c r="A4407" s="26" t="s">
        <v>8968</v>
      </c>
      <c r="B4407" s="26" t="s">
        <v>9026</v>
      </c>
      <c r="C4407" s="26" t="s">
        <v>2</v>
      </c>
      <c r="D4407" s="28" t="s">
        <v>9027</v>
      </c>
      <c r="E4407" s="26">
        <v>29778</v>
      </c>
      <c r="F4407" s="29" t="s">
        <v>8988</v>
      </c>
    </row>
    <row r="4408" spans="1:6" ht="43.5" x14ac:dyDescent="0.35">
      <c r="A4408" s="26" t="s">
        <v>8968</v>
      </c>
      <c r="B4408" s="26" t="s">
        <v>292</v>
      </c>
      <c r="C4408" s="26" t="s">
        <v>6</v>
      </c>
      <c r="D4408" s="28" t="s">
        <v>9028</v>
      </c>
      <c r="E4408" s="26">
        <v>0</v>
      </c>
      <c r="F4408" s="29" t="s">
        <v>8970</v>
      </c>
    </row>
    <row r="4409" spans="1:6" ht="29" x14ac:dyDescent="0.35">
      <c r="A4409" s="26" t="s">
        <v>8968</v>
      </c>
      <c r="B4409" s="26" t="s">
        <v>9029</v>
      </c>
      <c r="C4409" s="26" t="s">
        <v>3</v>
      </c>
      <c r="D4409" s="28" t="s">
        <v>9030</v>
      </c>
      <c r="E4409" s="26">
        <v>0</v>
      </c>
      <c r="F4409" s="29" t="s">
        <v>8973</v>
      </c>
    </row>
    <row r="4410" spans="1:6" ht="43.5" x14ac:dyDescent="0.35">
      <c r="A4410" s="26" t="s">
        <v>8968</v>
      </c>
      <c r="B4410" s="26" t="s">
        <v>294</v>
      </c>
      <c r="C4410" s="26" t="s">
        <v>5</v>
      </c>
      <c r="D4410" s="28" t="s">
        <v>9031</v>
      </c>
      <c r="E4410" s="26">
        <v>0.74</v>
      </c>
      <c r="F4410" s="29" t="s">
        <v>8975</v>
      </c>
    </row>
    <row r="4411" spans="1:6" ht="43.5" x14ac:dyDescent="0.35">
      <c r="A4411" s="26" t="s">
        <v>8968</v>
      </c>
      <c r="B4411" s="26" t="s">
        <v>9032</v>
      </c>
      <c r="C4411" s="26" t="s">
        <v>1</v>
      </c>
      <c r="D4411" s="28" t="s">
        <v>9033</v>
      </c>
      <c r="E4411" s="26">
        <v>0</v>
      </c>
      <c r="F4411" s="29" t="s">
        <v>8978</v>
      </c>
    </row>
    <row r="4412" spans="1:6" ht="43.5" x14ac:dyDescent="0.35">
      <c r="A4412" s="26" t="s">
        <v>8968</v>
      </c>
      <c r="B4412" s="26" t="s">
        <v>9034</v>
      </c>
      <c r="C4412" s="26" t="s">
        <v>7</v>
      </c>
      <c r="D4412" s="28" t="s">
        <v>9035</v>
      </c>
      <c r="E4412" s="26">
        <v>0</v>
      </c>
      <c r="F4412" s="29" t="s">
        <v>8981</v>
      </c>
    </row>
    <row r="4413" spans="1:6" ht="29" x14ac:dyDescent="0.35">
      <c r="A4413" s="26" t="s">
        <v>8968</v>
      </c>
      <c r="B4413" s="26" t="s">
        <v>296</v>
      </c>
      <c r="C4413" s="26" t="s">
        <v>4</v>
      </c>
      <c r="D4413" s="28" t="s">
        <v>9036</v>
      </c>
      <c r="E4413" s="26">
        <v>0</v>
      </c>
      <c r="F4413" s="29" t="s">
        <v>8983</v>
      </c>
    </row>
    <row r="4414" spans="1:6" ht="43.5" x14ac:dyDescent="0.35">
      <c r="A4414" s="26" t="s">
        <v>8968</v>
      </c>
      <c r="B4414" s="26" t="s">
        <v>9037</v>
      </c>
      <c r="C4414" s="26" t="s">
        <v>8</v>
      </c>
      <c r="D4414" s="28" t="s">
        <v>9038</v>
      </c>
      <c r="E4414" s="26">
        <v>0.51</v>
      </c>
      <c r="F4414" s="29" t="s">
        <v>8985</v>
      </c>
    </row>
    <row r="4415" spans="1:6" ht="43.5" x14ac:dyDescent="0.35">
      <c r="A4415" s="26" t="s">
        <v>8968</v>
      </c>
      <c r="B4415" s="26" t="s">
        <v>9039</v>
      </c>
      <c r="C4415" s="26" t="s">
        <v>2</v>
      </c>
      <c r="D4415" s="28" t="s">
        <v>9040</v>
      </c>
      <c r="E4415" s="26">
        <v>29778</v>
      </c>
      <c r="F4415" s="29" t="s">
        <v>8988</v>
      </c>
    </row>
    <row r="4416" spans="1:6" ht="43.5" x14ac:dyDescent="0.35">
      <c r="A4416" s="26" t="s">
        <v>8968</v>
      </c>
      <c r="B4416" s="26" t="s">
        <v>304</v>
      </c>
      <c r="C4416" s="26" t="s">
        <v>6</v>
      </c>
      <c r="D4416" s="28" t="s">
        <v>9041</v>
      </c>
      <c r="E4416" s="26">
        <v>0</v>
      </c>
      <c r="F4416" s="29" t="s">
        <v>8970</v>
      </c>
    </row>
    <row r="4417" spans="1:6" ht="29" x14ac:dyDescent="0.35">
      <c r="A4417" s="26" t="s">
        <v>8968</v>
      </c>
      <c r="B4417" s="26" t="s">
        <v>9042</v>
      </c>
      <c r="C4417" s="26" t="s">
        <v>3</v>
      </c>
      <c r="D4417" s="28" t="s">
        <v>9043</v>
      </c>
      <c r="E4417" s="26">
        <v>0</v>
      </c>
      <c r="F4417" s="29" t="s">
        <v>8973</v>
      </c>
    </row>
    <row r="4418" spans="1:6" ht="43.5" x14ac:dyDescent="0.35">
      <c r="A4418" s="26" t="s">
        <v>8968</v>
      </c>
      <c r="B4418" s="26" t="s">
        <v>306</v>
      </c>
      <c r="C4418" s="26" t="s">
        <v>5</v>
      </c>
      <c r="D4418" s="28" t="s">
        <v>9044</v>
      </c>
      <c r="E4418" s="26">
        <v>0.74</v>
      </c>
      <c r="F4418" s="29" t="s">
        <v>8975</v>
      </c>
    </row>
    <row r="4419" spans="1:6" ht="43.5" x14ac:dyDescent="0.35">
      <c r="A4419" s="26" t="s">
        <v>8968</v>
      </c>
      <c r="B4419" s="26" t="s">
        <v>9045</v>
      </c>
      <c r="C4419" s="26" t="s">
        <v>1</v>
      </c>
      <c r="D4419" s="28" t="s">
        <v>9046</v>
      </c>
      <c r="E4419" s="26">
        <v>0</v>
      </c>
      <c r="F4419" s="29" t="s">
        <v>8978</v>
      </c>
    </row>
    <row r="4420" spans="1:6" ht="43.5" x14ac:dyDescent="0.35">
      <c r="A4420" s="26" t="s">
        <v>8968</v>
      </c>
      <c r="B4420" s="26" t="s">
        <v>9047</v>
      </c>
      <c r="C4420" s="26" t="s">
        <v>7</v>
      </c>
      <c r="D4420" s="28" t="s">
        <v>9048</v>
      </c>
      <c r="E4420" s="26">
        <v>0</v>
      </c>
      <c r="F4420" s="29" t="s">
        <v>8981</v>
      </c>
    </row>
    <row r="4421" spans="1:6" ht="29" x14ac:dyDescent="0.35">
      <c r="A4421" s="26" t="s">
        <v>8968</v>
      </c>
      <c r="B4421" s="26" t="s">
        <v>308</v>
      </c>
      <c r="C4421" s="26" t="s">
        <v>4</v>
      </c>
      <c r="D4421" s="28" t="s">
        <v>9049</v>
      </c>
      <c r="E4421" s="26">
        <v>0</v>
      </c>
      <c r="F4421" s="29" t="s">
        <v>8983</v>
      </c>
    </row>
    <row r="4422" spans="1:6" ht="43.5" x14ac:dyDescent="0.35">
      <c r="A4422" s="26" t="s">
        <v>8968</v>
      </c>
      <c r="B4422" s="26" t="s">
        <v>9050</v>
      </c>
      <c r="C4422" s="26" t="s">
        <v>8</v>
      </c>
      <c r="D4422" s="28" t="s">
        <v>9051</v>
      </c>
      <c r="E4422" s="26">
        <v>0.51</v>
      </c>
      <c r="F4422" s="29" t="s">
        <v>8985</v>
      </c>
    </row>
    <row r="4423" spans="1:6" ht="43.5" x14ac:dyDescent="0.35">
      <c r="A4423" s="26" t="s">
        <v>8968</v>
      </c>
      <c r="B4423" s="26" t="s">
        <v>9052</v>
      </c>
      <c r="C4423" s="26" t="s">
        <v>2</v>
      </c>
      <c r="D4423" s="28" t="s">
        <v>9053</v>
      </c>
      <c r="E4423" s="26">
        <v>29778</v>
      </c>
      <c r="F4423" s="29" t="s">
        <v>8988</v>
      </c>
    </row>
    <row r="4424" spans="1:6" ht="43.5" x14ac:dyDescent="0.35">
      <c r="A4424" s="26" t="s">
        <v>8968</v>
      </c>
      <c r="B4424" s="26" t="s">
        <v>316</v>
      </c>
      <c r="C4424" s="26" t="s">
        <v>6</v>
      </c>
      <c r="D4424" s="28" t="s">
        <v>9054</v>
      </c>
      <c r="E4424" s="26">
        <v>0</v>
      </c>
      <c r="F4424" s="29" t="s">
        <v>8970</v>
      </c>
    </row>
    <row r="4425" spans="1:6" ht="29" x14ac:dyDescent="0.35">
      <c r="A4425" s="26" t="s">
        <v>8968</v>
      </c>
      <c r="B4425" s="26" t="s">
        <v>9055</v>
      </c>
      <c r="C4425" s="26" t="s">
        <v>3</v>
      </c>
      <c r="D4425" s="28" t="s">
        <v>9056</v>
      </c>
      <c r="E4425" s="26">
        <v>0</v>
      </c>
      <c r="F4425" s="29" t="s">
        <v>8973</v>
      </c>
    </row>
    <row r="4426" spans="1:6" ht="43.5" x14ac:dyDescent="0.35">
      <c r="A4426" s="26" t="s">
        <v>8968</v>
      </c>
      <c r="B4426" s="26" t="s">
        <v>318</v>
      </c>
      <c r="C4426" s="26" t="s">
        <v>5</v>
      </c>
      <c r="D4426" s="28" t="s">
        <v>9057</v>
      </c>
      <c r="E4426" s="26">
        <v>0.74</v>
      </c>
      <c r="F4426" s="29" t="s">
        <v>8975</v>
      </c>
    </row>
    <row r="4427" spans="1:6" ht="43.5" x14ac:dyDescent="0.35">
      <c r="A4427" s="26" t="s">
        <v>8968</v>
      </c>
      <c r="B4427" s="26" t="s">
        <v>9058</v>
      </c>
      <c r="C4427" s="26" t="s">
        <v>1</v>
      </c>
      <c r="D4427" s="28" t="s">
        <v>9059</v>
      </c>
      <c r="E4427" s="26">
        <v>0</v>
      </c>
      <c r="F4427" s="29" t="s">
        <v>8978</v>
      </c>
    </row>
    <row r="4428" spans="1:6" ht="43.5" x14ac:dyDescent="0.35">
      <c r="A4428" s="26" t="s">
        <v>8968</v>
      </c>
      <c r="B4428" s="26" t="s">
        <v>9060</v>
      </c>
      <c r="C4428" s="26" t="s">
        <v>7</v>
      </c>
      <c r="D4428" s="28" t="s">
        <v>9061</v>
      </c>
      <c r="E4428" s="26">
        <v>0</v>
      </c>
      <c r="F4428" s="29" t="s">
        <v>8981</v>
      </c>
    </row>
    <row r="4429" spans="1:6" ht="29" x14ac:dyDescent="0.35">
      <c r="A4429" s="26" t="s">
        <v>8968</v>
      </c>
      <c r="B4429" s="26" t="s">
        <v>320</v>
      </c>
      <c r="C4429" s="26" t="s">
        <v>4</v>
      </c>
      <c r="D4429" s="28" t="s">
        <v>9062</v>
      </c>
      <c r="E4429" s="26">
        <v>0</v>
      </c>
      <c r="F4429" s="29" t="s">
        <v>8983</v>
      </c>
    </row>
    <row r="4430" spans="1:6" ht="43.5" x14ac:dyDescent="0.35">
      <c r="A4430" s="26" t="s">
        <v>8968</v>
      </c>
      <c r="B4430" s="26" t="s">
        <v>9063</v>
      </c>
      <c r="C4430" s="26" t="s">
        <v>8</v>
      </c>
      <c r="D4430" s="28" t="s">
        <v>9064</v>
      </c>
      <c r="E4430" s="26">
        <v>0.51</v>
      </c>
      <c r="F4430" s="29" t="s">
        <v>8985</v>
      </c>
    </row>
    <row r="4431" spans="1:6" ht="43.5" x14ac:dyDescent="0.35">
      <c r="A4431" s="26" t="s">
        <v>8968</v>
      </c>
      <c r="B4431" s="26" t="s">
        <v>9065</v>
      </c>
      <c r="C4431" s="26" t="s">
        <v>2</v>
      </c>
      <c r="D4431" s="28" t="s">
        <v>9066</v>
      </c>
      <c r="E4431" s="26">
        <v>29778</v>
      </c>
      <c r="F4431" s="29" t="s">
        <v>8988</v>
      </c>
    </row>
    <row r="4432" spans="1:6" ht="43.5" x14ac:dyDescent="0.35">
      <c r="A4432" s="26" t="s">
        <v>8968</v>
      </c>
      <c r="B4432" s="26" t="s">
        <v>328</v>
      </c>
      <c r="C4432" s="26" t="s">
        <v>6</v>
      </c>
      <c r="D4432" s="28" t="s">
        <v>9067</v>
      </c>
      <c r="E4432" s="26">
        <v>0</v>
      </c>
      <c r="F4432" s="29" t="s">
        <v>8970</v>
      </c>
    </row>
    <row r="4433" spans="1:6" ht="29" x14ac:dyDescent="0.35">
      <c r="A4433" s="26" t="s">
        <v>8968</v>
      </c>
      <c r="B4433" s="26" t="s">
        <v>9068</v>
      </c>
      <c r="C4433" s="26" t="s">
        <v>3</v>
      </c>
      <c r="D4433" s="28" t="s">
        <v>9069</v>
      </c>
      <c r="E4433" s="26">
        <v>0</v>
      </c>
      <c r="F4433" s="29" t="s">
        <v>8973</v>
      </c>
    </row>
    <row r="4434" spans="1:6" ht="43.5" x14ac:dyDescent="0.35">
      <c r="A4434" s="26" t="s">
        <v>8968</v>
      </c>
      <c r="B4434" s="26" t="s">
        <v>330</v>
      </c>
      <c r="C4434" s="26" t="s">
        <v>5</v>
      </c>
      <c r="D4434" s="28" t="s">
        <v>9070</v>
      </c>
      <c r="E4434" s="26">
        <v>0.74</v>
      </c>
      <c r="F4434" s="29" t="s">
        <v>8975</v>
      </c>
    </row>
    <row r="4435" spans="1:6" ht="43.5" x14ac:dyDescent="0.35">
      <c r="A4435" s="26" t="s">
        <v>8968</v>
      </c>
      <c r="B4435" s="26" t="s">
        <v>9071</v>
      </c>
      <c r="C4435" s="26" t="s">
        <v>1</v>
      </c>
      <c r="D4435" s="28" t="s">
        <v>9072</v>
      </c>
      <c r="E4435" s="26">
        <v>0</v>
      </c>
      <c r="F4435" s="29" t="s">
        <v>8978</v>
      </c>
    </row>
    <row r="4436" spans="1:6" ht="43.5" x14ac:dyDescent="0.35">
      <c r="A4436" s="26" t="s">
        <v>8968</v>
      </c>
      <c r="B4436" s="26" t="s">
        <v>9073</v>
      </c>
      <c r="C4436" s="26" t="s">
        <v>7</v>
      </c>
      <c r="D4436" s="28" t="s">
        <v>9074</v>
      </c>
      <c r="E4436" s="26">
        <v>0</v>
      </c>
      <c r="F4436" s="29" t="s">
        <v>8981</v>
      </c>
    </row>
    <row r="4437" spans="1:6" ht="29" x14ac:dyDescent="0.35">
      <c r="A4437" s="26" t="s">
        <v>8968</v>
      </c>
      <c r="B4437" s="26" t="s">
        <v>332</v>
      </c>
      <c r="C4437" s="26" t="s">
        <v>4</v>
      </c>
      <c r="D4437" s="28" t="s">
        <v>9075</v>
      </c>
      <c r="E4437" s="26">
        <v>0</v>
      </c>
      <c r="F4437" s="29" t="s">
        <v>8983</v>
      </c>
    </row>
    <row r="4438" spans="1:6" ht="43.5" x14ac:dyDescent="0.35">
      <c r="A4438" s="26" t="s">
        <v>8968</v>
      </c>
      <c r="B4438" s="26" t="s">
        <v>9076</v>
      </c>
      <c r="C4438" s="26" t="s">
        <v>8</v>
      </c>
      <c r="D4438" s="28" t="s">
        <v>9077</v>
      </c>
      <c r="E4438" s="26">
        <v>0.51</v>
      </c>
      <c r="F4438" s="29" t="s">
        <v>8985</v>
      </c>
    </row>
    <row r="4439" spans="1:6" ht="43.5" x14ac:dyDescent="0.35">
      <c r="A4439" s="26" t="s">
        <v>8968</v>
      </c>
      <c r="B4439" s="26" t="s">
        <v>9078</v>
      </c>
      <c r="C4439" s="26" t="s">
        <v>2</v>
      </c>
      <c r="D4439" s="28" t="s">
        <v>9079</v>
      </c>
      <c r="E4439" s="26">
        <v>29778</v>
      </c>
      <c r="F4439" s="29" t="s">
        <v>8988</v>
      </c>
    </row>
    <row r="4440" spans="1:6" ht="43.5" x14ac:dyDescent="0.35">
      <c r="A4440" s="26" t="s">
        <v>8968</v>
      </c>
      <c r="B4440" s="26" t="s">
        <v>340</v>
      </c>
      <c r="C4440" s="26" t="s">
        <v>6</v>
      </c>
      <c r="D4440" s="28" t="s">
        <v>9080</v>
      </c>
      <c r="E4440" s="26">
        <v>0</v>
      </c>
      <c r="F4440" s="29" t="s">
        <v>8970</v>
      </c>
    </row>
    <row r="4441" spans="1:6" ht="29" x14ac:dyDescent="0.35">
      <c r="A4441" s="26" t="s">
        <v>8968</v>
      </c>
      <c r="B4441" s="26" t="s">
        <v>9081</v>
      </c>
      <c r="C4441" s="26" t="s">
        <v>3</v>
      </c>
      <c r="D4441" s="28" t="s">
        <v>9082</v>
      </c>
      <c r="E4441" s="26">
        <v>0</v>
      </c>
      <c r="F4441" s="29" t="s">
        <v>8973</v>
      </c>
    </row>
    <row r="4442" spans="1:6" ht="43.5" x14ac:dyDescent="0.35">
      <c r="A4442" s="26" t="s">
        <v>8968</v>
      </c>
      <c r="B4442" s="26" t="s">
        <v>342</v>
      </c>
      <c r="C4442" s="26" t="s">
        <v>5</v>
      </c>
      <c r="D4442" s="28" t="s">
        <v>9083</v>
      </c>
      <c r="E4442" s="26">
        <v>0.74</v>
      </c>
      <c r="F4442" s="29" t="s">
        <v>8975</v>
      </c>
    </row>
    <row r="4443" spans="1:6" ht="43.5" x14ac:dyDescent="0.35">
      <c r="A4443" s="26" t="s">
        <v>8968</v>
      </c>
      <c r="B4443" s="26" t="s">
        <v>9084</v>
      </c>
      <c r="C4443" s="26" t="s">
        <v>1</v>
      </c>
      <c r="D4443" s="28" t="s">
        <v>9085</v>
      </c>
      <c r="E4443" s="26">
        <v>0</v>
      </c>
      <c r="F4443" s="29" t="s">
        <v>8978</v>
      </c>
    </row>
    <row r="4444" spans="1:6" ht="43.5" x14ac:dyDescent="0.35">
      <c r="A4444" s="26" t="s">
        <v>8968</v>
      </c>
      <c r="B4444" s="26" t="s">
        <v>9086</v>
      </c>
      <c r="C4444" s="26" t="s">
        <v>7</v>
      </c>
      <c r="D4444" s="28" t="s">
        <v>9087</v>
      </c>
      <c r="E4444" s="26">
        <v>0</v>
      </c>
      <c r="F4444" s="29" t="s">
        <v>8981</v>
      </c>
    </row>
    <row r="4445" spans="1:6" ht="29" x14ac:dyDescent="0.35">
      <c r="A4445" s="26" t="s">
        <v>8968</v>
      </c>
      <c r="B4445" s="26" t="s">
        <v>344</v>
      </c>
      <c r="C4445" s="26" t="s">
        <v>4</v>
      </c>
      <c r="D4445" s="28" t="s">
        <v>9088</v>
      </c>
      <c r="E4445" s="26">
        <v>0</v>
      </c>
      <c r="F4445" s="29" t="s">
        <v>8983</v>
      </c>
    </row>
    <row r="4446" spans="1:6" ht="43.5" x14ac:dyDescent="0.35">
      <c r="A4446" s="26" t="s">
        <v>8968</v>
      </c>
      <c r="B4446" s="26" t="s">
        <v>9089</v>
      </c>
      <c r="C4446" s="26" t="s">
        <v>8</v>
      </c>
      <c r="D4446" s="28" t="s">
        <v>9090</v>
      </c>
      <c r="E4446" s="26">
        <v>0.51</v>
      </c>
      <c r="F4446" s="29" t="s">
        <v>8985</v>
      </c>
    </row>
    <row r="4447" spans="1:6" ht="43.5" x14ac:dyDescent="0.35">
      <c r="A4447" s="26" t="s">
        <v>8968</v>
      </c>
      <c r="B4447" s="26" t="s">
        <v>9091</v>
      </c>
      <c r="C4447" s="26" t="s">
        <v>2</v>
      </c>
      <c r="D4447" s="28" t="s">
        <v>9092</v>
      </c>
      <c r="E4447" s="26">
        <v>29778</v>
      </c>
      <c r="F4447" s="29" t="s">
        <v>8988</v>
      </c>
    </row>
    <row r="4448" spans="1:6" ht="43.5" x14ac:dyDescent="0.35">
      <c r="A4448" s="26" t="s">
        <v>8968</v>
      </c>
      <c r="B4448" s="26" t="s">
        <v>352</v>
      </c>
      <c r="C4448" s="26" t="s">
        <v>6</v>
      </c>
      <c r="D4448" s="28" t="s">
        <v>9093</v>
      </c>
      <c r="E4448" s="26">
        <v>0</v>
      </c>
      <c r="F4448" s="29" t="s">
        <v>8970</v>
      </c>
    </row>
    <row r="4449" spans="1:6" ht="29" x14ac:dyDescent="0.35">
      <c r="A4449" s="26" t="s">
        <v>8968</v>
      </c>
      <c r="B4449" s="26" t="s">
        <v>9094</v>
      </c>
      <c r="C4449" s="26" t="s">
        <v>3</v>
      </c>
      <c r="D4449" s="28" t="s">
        <v>9095</v>
      </c>
      <c r="E4449" s="26">
        <v>0</v>
      </c>
      <c r="F4449" s="29" t="s">
        <v>8973</v>
      </c>
    </row>
    <row r="4450" spans="1:6" ht="43.5" x14ac:dyDescent="0.35">
      <c r="A4450" s="26" t="s">
        <v>8968</v>
      </c>
      <c r="B4450" s="26" t="s">
        <v>354</v>
      </c>
      <c r="C4450" s="26" t="s">
        <v>5</v>
      </c>
      <c r="D4450" s="28" t="s">
        <v>9096</v>
      </c>
      <c r="E4450" s="26">
        <v>0.74</v>
      </c>
      <c r="F4450" s="29" t="s">
        <v>8975</v>
      </c>
    </row>
    <row r="4451" spans="1:6" ht="43.5" x14ac:dyDescent="0.35">
      <c r="A4451" s="26" t="s">
        <v>8968</v>
      </c>
      <c r="B4451" s="26" t="s">
        <v>9097</v>
      </c>
      <c r="C4451" s="26" t="s">
        <v>1</v>
      </c>
      <c r="D4451" s="28" t="s">
        <v>9098</v>
      </c>
      <c r="E4451" s="26">
        <v>0</v>
      </c>
      <c r="F4451" s="29" t="s">
        <v>8978</v>
      </c>
    </row>
    <row r="4452" spans="1:6" ht="43.5" x14ac:dyDescent="0.35">
      <c r="A4452" s="26" t="s">
        <v>8968</v>
      </c>
      <c r="B4452" s="26" t="s">
        <v>9099</v>
      </c>
      <c r="C4452" s="26" t="s">
        <v>7</v>
      </c>
      <c r="D4452" s="28" t="s">
        <v>9100</v>
      </c>
      <c r="E4452" s="26">
        <v>0</v>
      </c>
      <c r="F4452" s="29" t="s">
        <v>8981</v>
      </c>
    </row>
    <row r="4453" spans="1:6" ht="29" x14ac:dyDescent="0.35">
      <c r="A4453" s="26" t="s">
        <v>8968</v>
      </c>
      <c r="B4453" s="26" t="s">
        <v>356</v>
      </c>
      <c r="C4453" s="26" t="s">
        <v>4</v>
      </c>
      <c r="D4453" s="28" t="s">
        <v>9101</v>
      </c>
      <c r="E4453" s="26">
        <v>0</v>
      </c>
      <c r="F4453" s="29" t="s">
        <v>8983</v>
      </c>
    </row>
    <row r="4454" spans="1:6" ht="43.5" x14ac:dyDescent="0.35">
      <c r="A4454" s="26" t="s">
        <v>8968</v>
      </c>
      <c r="B4454" s="26" t="s">
        <v>9102</v>
      </c>
      <c r="C4454" s="26" t="s">
        <v>8</v>
      </c>
      <c r="D4454" s="28" t="s">
        <v>9103</v>
      </c>
      <c r="E4454" s="26">
        <v>0.51</v>
      </c>
      <c r="F4454" s="29" t="s">
        <v>8985</v>
      </c>
    </row>
    <row r="4455" spans="1:6" ht="43.5" x14ac:dyDescent="0.35">
      <c r="A4455" s="26" t="s">
        <v>8968</v>
      </c>
      <c r="B4455" s="26" t="s">
        <v>9104</v>
      </c>
      <c r="C4455" s="26" t="s">
        <v>2</v>
      </c>
      <c r="D4455" s="28" t="s">
        <v>9105</v>
      </c>
      <c r="E4455" s="26">
        <v>29778</v>
      </c>
      <c r="F4455" s="29" t="s">
        <v>8988</v>
      </c>
    </row>
    <row r="4456" spans="1:6" ht="43.5" x14ac:dyDescent="0.35">
      <c r="A4456" s="26" t="s">
        <v>8968</v>
      </c>
      <c r="B4456" s="26" t="s">
        <v>364</v>
      </c>
      <c r="C4456" s="26" t="s">
        <v>6</v>
      </c>
      <c r="D4456" s="28" t="s">
        <v>9106</v>
      </c>
      <c r="E4456" s="26">
        <v>0</v>
      </c>
      <c r="F4456" s="29" t="s">
        <v>8970</v>
      </c>
    </row>
    <row r="4457" spans="1:6" ht="29" x14ac:dyDescent="0.35">
      <c r="A4457" s="26" t="s">
        <v>8968</v>
      </c>
      <c r="B4457" s="26" t="s">
        <v>9107</v>
      </c>
      <c r="C4457" s="26" t="s">
        <v>3</v>
      </c>
      <c r="D4457" s="28" t="s">
        <v>9108</v>
      </c>
      <c r="E4457" s="26">
        <v>0</v>
      </c>
      <c r="F4457" s="29" t="s">
        <v>8973</v>
      </c>
    </row>
    <row r="4458" spans="1:6" ht="43.5" x14ac:dyDescent="0.35">
      <c r="A4458" s="26" t="s">
        <v>8968</v>
      </c>
      <c r="B4458" s="26" t="s">
        <v>366</v>
      </c>
      <c r="C4458" s="26" t="s">
        <v>5</v>
      </c>
      <c r="D4458" s="28" t="s">
        <v>9109</v>
      </c>
      <c r="E4458" s="26">
        <v>0.74</v>
      </c>
      <c r="F4458" s="29" t="s">
        <v>8975</v>
      </c>
    </row>
    <row r="4459" spans="1:6" ht="43.5" x14ac:dyDescent="0.35">
      <c r="A4459" s="26" t="s">
        <v>8968</v>
      </c>
      <c r="B4459" s="26" t="s">
        <v>9110</v>
      </c>
      <c r="C4459" s="26" t="s">
        <v>1</v>
      </c>
      <c r="D4459" s="28" t="s">
        <v>9111</v>
      </c>
      <c r="E4459" s="26">
        <v>0</v>
      </c>
      <c r="F4459" s="29" t="s">
        <v>8978</v>
      </c>
    </row>
    <row r="4460" spans="1:6" ht="43.5" x14ac:dyDescent="0.35">
      <c r="A4460" s="26" t="s">
        <v>8968</v>
      </c>
      <c r="B4460" s="26" t="s">
        <v>9112</v>
      </c>
      <c r="C4460" s="26" t="s">
        <v>7</v>
      </c>
      <c r="D4460" s="28" t="s">
        <v>9113</v>
      </c>
      <c r="E4460" s="26">
        <v>0</v>
      </c>
      <c r="F4460" s="29" t="s">
        <v>8981</v>
      </c>
    </row>
    <row r="4461" spans="1:6" ht="29" x14ac:dyDescent="0.35">
      <c r="A4461" s="26" t="s">
        <v>8968</v>
      </c>
      <c r="B4461" s="26" t="s">
        <v>368</v>
      </c>
      <c r="C4461" s="26" t="s">
        <v>4</v>
      </c>
      <c r="D4461" s="28" t="s">
        <v>9114</v>
      </c>
      <c r="E4461" s="26">
        <v>0</v>
      </c>
      <c r="F4461" s="29" t="s">
        <v>8983</v>
      </c>
    </row>
    <row r="4462" spans="1:6" ht="43.5" x14ac:dyDescent="0.35">
      <c r="A4462" s="26" t="s">
        <v>8968</v>
      </c>
      <c r="B4462" s="26" t="s">
        <v>9115</v>
      </c>
      <c r="C4462" s="26" t="s">
        <v>8</v>
      </c>
      <c r="D4462" s="28" t="s">
        <v>9116</v>
      </c>
      <c r="E4462" s="26">
        <v>0.51</v>
      </c>
      <c r="F4462" s="29" t="s">
        <v>8985</v>
      </c>
    </row>
    <row r="4463" spans="1:6" ht="43.5" x14ac:dyDescent="0.35">
      <c r="A4463" s="26" t="s">
        <v>8968</v>
      </c>
      <c r="B4463" s="26" t="s">
        <v>9117</v>
      </c>
      <c r="C4463" s="26" t="s">
        <v>2</v>
      </c>
      <c r="D4463" s="28" t="s">
        <v>9118</v>
      </c>
      <c r="E4463" s="26">
        <v>29778</v>
      </c>
      <c r="F4463" s="29" t="s">
        <v>8988</v>
      </c>
    </row>
    <row r="4464" spans="1:6" ht="43.5" x14ac:dyDescent="0.35">
      <c r="A4464" s="26" t="s">
        <v>8968</v>
      </c>
      <c r="B4464" s="26" t="s">
        <v>376</v>
      </c>
      <c r="C4464" s="26" t="s">
        <v>6</v>
      </c>
      <c r="D4464" s="28" t="s">
        <v>9119</v>
      </c>
      <c r="E4464" s="26">
        <v>0</v>
      </c>
      <c r="F4464" s="29" t="s">
        <v>8970</v>
      </c>
    </row>
    <row r="4465" spans="1:6" ht="29" x14ac:dyDescent="0.35">
      <c r="A4465" s="26" t="s">
        <v>8968</v>
      </c>
      <c r="B4465" s="26" t="s">
        <v>9120</v>
      </c>
      <c r="C4465" s="26" t="s">
        <v>3</v>
      </c>
      <c r="D4465" s="28" t="s">
        <v>9121</v>
      </c>
      <c r="E4465" s="26">
        <v>0</v>
      </c>
      <c r="F4465" s="29" t="s">
        <v>8973</v>
      </c>
    </row>
    <row r="4466" spans="1:6" ht="43.5" x14ac:dyDescent="0.35">
      <c r="A4466" s="26" t="s">
        <v>8968</v>
      </c>
      <c r="B4466" s="26" t="s">
        <v>378</v>
      </c>
      <c r="C4466" s="26" t="s">
        <v>5</v>
      </c>
      <c r="D4466" s="28" t="s">
        <v>9122</v>
      </c>
      <c r="E4466" s="26">
        <v>0.74</v>
      </c>
      <c r="F4466" s="29" t="s">
        <v>8975</v>
      </c>
    </row>
    <row r="4467" spans="1:6" ht="43.5" x14ac:dyDescent="0.35">
      <c r="A4467" s="26" t="s">
        <v>8968</v>
      </c>
      <c r="B4467" s="26" t="s">
        <v>9123</v>
      </c>
      <c r="C4467" s="26" t="s">
        <v>1</v>
      </c>
      <c r="D4467" s="28" t="s">
        <v>9124</v>
      </c>
      <c r="E4467" s="26">
        <v>0</v>
      </c>
      <c r="F4467" s="29" t="s">
        <v>8978</v>
      </c>
    </row>
    <row r="4468" spans="1:6" ht="43.5" x14ac:dyDescent="0.35">
      <c r="A4468" s="26" t="s">
        <v>8968</v>
      </c>
      <c r="B4468" s="26" t="s">
        <v>9125</v>
      </c>
      <c r="C4468" s="26" t="s">
        <v>7</v>
      </c>
      <c r="D4468" s="28" t="s">
        <v>9126</v>
      </c>
      <c r="E4468" s="26">
        <v>0</v>
      </c>
      <c r="F4468" s="29" t="s">
        <v>8981</v>
      </c>
    </row>
    <row r="4469" spans="1:6" ht="29" x14ac:dyDescent="0.35">
      <c r="A4469" s="26" t="s">
        <v>8968</v>
      </c>
      <c r="B4469" s="26" t="s">
        <v>380</v>
      </c>
      <c r="C4469" s="26" t="s">
        <v>4</v>
      </c>
      <c r="D4469" s="28" t="s">
        <v>9127</v>
      </c>
      <c r="E4469" s="26">
        <v>0</v>
      </c>
      <c r="F4469" s="29" t="s">
        <v>8983</v>
      </c>
    </row>
    <row r="4470" spans="1:6" ht="43.5" x14ac:dyDescent="0.35">
      <c r="A4470" s="26" t="s">
        <v>8968</v>
      </c>
      <c r="B4470" s="26" t="s">
        <v>9128</v>
      </c>
      <c r="C4470" s="26" t="s">
        <v>8</v>
      </c>
      <c r="D4470" s="28" t="s">
        <v>9129</v>
      </c>
      <c r="E4470" s="26">
        <v>0.51</v>
      </c>
      <c r="F4470" s="29" t="s">
        <v>8985</v>
      </c>
    </row>
    <row r="4471" spans="1:6" ht="43.5" x14ac:dyDescent="0.35">
      <c r="A4471" s="26" t="s">
        <v>8968</v>
      </c>
      <c r="B4471" s="26" t="s">
        <v>9130</v>
      </c>
      <c r="C4471" s="26" t="s">
        <v>2</v>
      </c>
      <c r="D4471" s="28" t="s">
        <v>9131</v>
      </c>
      <c r="E4471" s="26">
        <v>29778</v>
      </c>
      <c r="F4471" s="29" t="s">
        <v>8988</v>
      </c>
    </row>
    <row r="4472" spans="1:6" ht="43.5" x14ac:dyDescent="0.35">
      <c r="A4472" s="26" t="s">
        <v>8968</v>
      </c>
      <c r="B4472" s="26" t="s">
        <v>388</v>
      </c>
      <c r="C4472" s="26" t="s">
        <v>6</v>
      </c>
      <c r="D4472" s="28" t="s">
        <v>9132</v>
      </c>
      <c r="E4472" s="26">
        <v>0</v>
      </c>
      <c r="F4472" s="29" t="s">
        <v>8970</v>
      </c>
    </row>
    <row r="4473" spans="1:6" ht="29" x14ac:dyDescent="0.35">
      <c r="A4473" s="26" t="s">
        <v>8968</v>
      </c>
      <c r="B4473" s="26" t="s">
        <v>9133</v>
      </c>
      <c r="C4473" s="26" t="s">
        <v>3</v>
      </c>
      <c r="D4473" s="28" t="s">
        <v>9134</v>
      </c>
      <c r="E4473" s="26">
        <v>0</v>
      </c>
      <c r="F4473" s="29" t="s">
        <v>8973</v>
      </c>
    </row>
    <row r="4474" spans="1:6" ht="43.5" x14ac:dyDescent="0.35">
      <c r="A4474" s="26" t="s">
        <v>8968</v>
      </c>
      <c r="B4474" s="26" t="s">
        <v>390</v>
      </c>
      <c r="C4474" s="26" t="s">
        <v>5</v>
      </c>
      <c r="D4474" s="28" t="s">
        <v>9135</v>
      </c>
      <c r="E4474" s="26">
        <v>0.74</v>
      </c>
      <c r="F4474" s="29" t="s">
        <v>8975</v>
      </c>
    </row>
    <row r="4475" spans="1:6" ht="43.5" x14ac:dyDescent="0.35">
      <c r="A4475" s="26" t="s">
        <v>8968</v>
      </c>
      <c r="B4475" s="26" t="s">
        <v>9136</v>
      </c>
      <c r="C4475" s="26" t="s">
        <v>1</v>
      </c>
      <c r="D4475" s="28" t="s">
        <v>9137</v>
      </c>
      <c r="E4475" s="26">
        <v>0</v>
      </c>
      <c r="F4475" s="29" t="s">
        <v>8978</v>
      </c>
    </row>
    <row r="4476" spans="1:6" ht="43.5" x14ac:dyDescent="0.35">
      <c r="A4476" s="26" t="s">
        <v>8968</v>
      </c>
      <c r="B4476" s="26" t="s">
        <v>9138</v>
      </c>
      <c r="C4476" s="26" t="s">
        <v>7</v>
      </c>
      <c r="D4476" s="28" t="s">
        <v>9139</v>
      </c>
      <c r="E4476" s="26">
        <v>0</v>
      </c>
      <c r="F4476" s="29" t="s">
        <v>8981</v>
      </c>
    </row>
    <row r="4477" spans="1:6" ht="29" x14ac:dyDescent="0.35">
      <c r="A4477" s="26" t="s">
        <v>8968</v>
      </c>
      <c r="B4477" s="26" t="s">
        <v>392</v>
      </c>
      <c r="C4477" s="26" t="s">
        <v>4</v>
      </c>
      <c r="D4477" s="28" t="s">
        <v>9140</v>
      </c>
      <c r="E4477" s="26">
        <v>0</v>
      </c>
      <c r="F4477" s="29" t="s">
        <v>8983</v>
      </c>
    </row>
    <row r="4478" spans="1:6" ht="43.5" x14ac:dyDescent="0.35">
      <c r="A4478" s="26" t="s">
        <v>8968</v>
      </c>
      <c r="B4478" s="26" t="s">
        <v>9141</v>
      </c>
      <c r="C4478" s="26" t="s">
        <v>8</v>
      </c>
      <c r="D4478" s="28" t="s">
        <v>9142</v>
      </c>
      <c r="E4478" s="26">
        <v>0.51</v>
      </c>
      <c r="F4478" s="29" t="s">
        <v>8985</v>
      </c>
    </row>
    <row r="4479" spans="1:6" ht="43.5" x14ac:dyDescent="0.35">
      <c r="A4479" s="26" t="s">
        <v>8968</v>
      </c>
      <c r="B4479" s="26" t="s">
        <v>9143</v>
      </c>
      <c r="C4479" s="26" t="s">
        <v>2</v>
      </c>
      <c r="D4479" s="28" t="s">
        <v>9144</v>
      </c>
      <c r="E4479" s="26">
        <v>29778</v>
      </c>
      <c r="F4479" s="29" t="s">
        <v>8988</v>
      </c>
    </row>
    <row r="4480" spans="1:6" ht="43.5" x14ac:dyDescent="0.35">
      <c r="A4480" s="26" t="s">
        <v>8968</v>
      </c>
      <c r="B4480" s="26" t="s">
        <v>400</v>
      </c>
      <c r="C4480" s="26" t="s">
        <v>6</v>
      </c>
      <c r="D4480" s="28" t="s">
        <v>9145</v>
      </c>
      <c r="E4480" s="26">
        <v>0</v>
      </c>
      <c r="F4480" s="29" t="s">
        <v>8970</v>
      </c>
    </row>
    <row r="4481" spans="1:6" ht="29" x14ac:dyDescent="0.35">
      <c r="A4481" s="26" t="s">
        <v>8968</v>
      </c>
      <c r="B4481" s="26" t="s">
        <v>9146</v>
      </c>
      <c r="C4481" s="26" t="s">
        <v>3</v>
      </c>
      <c r="D4481" s="28" t="s">
        <v>9147</v>
      </c>
      <c r="E4481" s="26">
        <v>0</v>
      </c>
      <c r="F4481" s="29" t="s">
        <v>8973</v>
      </c>
    </row>
    <row r="4482" spans="1:6" ht="43.5" x14ac:dyDescent="0.35">
      <c r="A4482" s="26" t="s">
        <v>8968</v>
      </c>
      <c r="B4482" s="26" t="s">
        <v>402</v>
      </c>
      <c r="C4482" s="26" t="s">
        <v>5</v>
      </c>
      <c r="D4482" s="28" t="s">
        <v>9148</v>
      </c>
      <c r="E4482" s="26">
        <v>0.74</v>
      </c>
      <c r="F4482" s="29" t="s">
        <v>8975</v>
      </c>
    </row>
    <row r="4483" spans="1:6" ht="43.5" x14ac:dyDescent="0.35">
      <c r="A4483" s="26" t="s">
        <v>8968</v>
      </c>
      <c r="B4483" s="26" t="s">
        <v>9149</v>
      </c>
      <c r="C4483" s="26" t="s">
        <v>1</v>
      </c>
      <c r="D4483" s="28" t="s">
        <v>9150</v>
      </c>
      <c r="E4483" s="26">
        <v>0</v>
      </c>
      <c r="F4483" s="29" t="s">
        <v>8978</v>
      </c>
    </row>
    <row r="4484" spans="1:6" ht="43.5" x14ac:dyDescent="0.35">
      <c r="A4484" s="26" t="s">
        <v>8968</v>
      </c>
      <c r="B4484" s="26" t="s">
        <v>9151</v>
      </c>
      <c r="C4484" s="26" t="s">
        <v>7</v>
      </c>
      <c r="D4484" s="28" t="s">
        <v>9152</v>
      </c>
      <c r="E4484" s="26">
        <v>0</v>
      </c>
      <c r="F4484" s="29" t="s">
        <v>8981</v>
      </c>
    </row>
    <row r="4485" spans="1:6" ht="29" x14ac:dyDescent="0.35">
      <c r="A4485" s="26" t="s">
        <v>8968</v>
      </c>
      <c r="B4485" s="26" t="s">
        <v>404</v>
      </c>
      <c r="C4485" s="26" t="s">
        <v>4</v>
      </c>
      <c r="D4485" s="28" t="s">
        <v>9153</v>
      </c>
      <c r="E4485" s="26">
        <v>0</v>
      </c>
      <c r="F4485" s="29" t="s">
        <v>8983</v>
      </c>
    </row>
    <row r="4486" spans="1:6" ht="43.5" x14ac:dyDescent="0.35">
      <c r="A4486" s="26" t="s">
        <v>8968</v>
      </c>
      <c r="B4486" s="26" t="s">
        <v>9154</v>
      </c>
      <c r="C4486" s="26" t="s">
        <v>8</v>
      </c>
      <c r="D4486" s="28" t="s">
        <v>9155</v>
      </c>
      <c r="E4486" s="26">
        <v>0.51</v>
      </c>
      <c r="F4486" s="29" t="s">
        <v>8985</v>
      </c>
    </row>
    <row r="4487" spans="1:6" ht="43.5" x14ac:dyDescent="0.35">
      <c r="A4487" s="26" t="s">
        <v>8968</v>
      </c>
      <c r="B4487" s="26" t="s">
        <v>9156</v>
      </c>
      <c r="C4487" s="26" t="s">
        <v>2</v>
      </c>
      <c r="D4487" s="28" t="s">
        <v>9157</v>
      </c>
      <c r="E4487" s="26">
        <v>29778</v>
      </c>
      <c r="F4487" s="29" t="s">
        <v>8988</v>
      </c>
    </row>
    <row r="4488" spans="1:6" ht="43.5" x14ac:dyDescent="0.35">
      <c r="A4488" s="26" t="s">
        <v>8968</v>
      </c>
      <c r="B4488" s="26" t="s">
        <v>412</v>
      </c>
      <c r="C4488" s="26" t="s">
        <v>6</v>
      </c>
      <c r="D4488" s="28" t="s">
        <v>9158</v>
      </c>
      <c r="E4488" s="26">
        <v>0</v>
      </c>
      <c r="F4488" s="29" t="s">
        <v>8970</v>
      </c>
    </row>
    <row r="4489" spans="1:6" ht="29" x14ac:dyDescent="0.35">
      <c r="A4489" s="26" t="s">
        <v>8968</v>
      </c>
      <c r="B4489" s="26" t="s">
        <v>9159</v>
      </c>
      <c r="C4489" s="26" t="s">
        <v>3</v>
      </c>
      <c r="D4489" s="28" t="s">
        <v>9160</v>
      </c>
      <c r="E4489" s="26">
        <v>0</v>
      </c>
      <c r="F4489" s="29" t="s">
        <v>8973</v>
      </c>
    </row>
    <row r="4490" spans="1:6" ht="43.5" x14ac:dyDescent="0.35">
      <c r="A4490" s="26" t="s">
        <v>8968</v>
      </c>
      <c r="B4490" s="26" t="s">
        <v>414</v>
      </c>
      <c r="C4490" s="26" t="s">
        <v>5</v>
      </c>
      <c r="D4490" s="28" t="s">
        <v>9161</v>
      </c>
      <c r="E4490" s="26">
        <v>0.74</v>
      </c>
      <c r="F4490" s="29" t="s">
        <v>8975</v>
      </c>
    </row>
    <row r="4491" spans="1:6" ht="43.5" x14ac:dyDescent="0.35">
      <c r="A4491" s="26" t="s">
        <v>8968</v>
      </c>
      <c r="B4491" s="26" t="s">
        <v>9162</v>
      </c>
      <c r="C4491" s="26" t="s">
        <v>1</v>
      </c>
      <c r="D4491" s="28" t="s">
        <v>9163</v>
      </c>
      <c r="E4491" s="26">
        <v>0</v>
      </c>
      <c r="F4491" s="29" t="s">
        <v>8978</v>
      </c>
    </row>
    <row r="4492" spans="1:6" ht="43.5" x14ac:dyDescent="0.35">
      <c r="A4492" s="26" t="s">
        <v>8968</v>
      </c>
      <c r="B4492" s="26" t="s">
        <v>9164</v>
      </c>
      <c r="C4492" s="26" t="s">
        <v>7</v>
      </c>
      <c r="D4492" s="28" t="s">
        <v>9165</v>
      </c>
      <c r="E4492" s="26">
        <v>0</v>
      </c>
      <c r="F4492" s="29" t="s">
        <v>8981</v>
      </c>
    </row>
    <row r="4493" spans="1:6" ht="29" x14ac:dyDescent="0.35">
      <c r="A4493" s="26" t="s">
        <v>8968</v>
      </c>
      <c r="B4493" s="26" t="s">
        <v>416</v>
      </c>
      <c r="C4493" s="26" t="s">
        <v>4</v>
      </c>
      <c r="D4493" s="28" t="s">
        <v>9166</v>
      </c>
      <c r="E4493" s="26">
        <v>0</v>
      </c>
      <c r="F4493" s="29" t="s">
        <v>8983</v>
      </c>
    </row>
    <row r="4494" spans="1:6" ht="43.5" x14ac:dyDescent="0.35">
      <c r="A4494" s="26" t="s">
        <v>8968</v>
      </c>
      <c r="B4494" s="26" t="s">
        <v>9167</v>
      </c>
      <c r="C4494" s="26" t="s">
        <v>8</v>
      </c>
      <c r="D4494" s="28" t="s">
        <v>9168</v>
      </c>
      <c r="E4494" s="26">
        <v>0.51</v>
      </c>
      <c r="F4494" s="29" t="s">
        <v>8985</v>
      </c>
    </row>
    <row r="4495" spans="1:6" ht="43.5" x14ac:dyDescent="0.35">
      <c r="A4495" s="26" t="s">
        <v>8968</v>
      </c>
      <c r="B4495" s="26" t="s">
        <v>9169</v>
      </c>
      <c r="C4495" s="26" t="s">
        <v>2</v>
      </c>
      <c r="D4495" s="28" t="s">
        <v>9170</v>
      </c>
      <c r="E4495" s="26">
        <v>29778</v>
      </c>
      <c r="F4495" s="29" t="s">
        <v>8988</v>
      </c>
    </row>
    <row r="4496" spans="1:6" ht="43.5" x14ac:dyDescent="0.35">
      <c r="A4496" s="26" t="s">
        <v>8968</v>
      </c>
      <c r="B4496" s="26" t="s">
        <v>424</v>
      </c>
      <c r="C4496" s="26" t="s">
        <v>6</v>
      </c>
      <c r="D4496" s="28" t="s">
        <v>9171</v>
      </c>
      <c r="E4496" s="26">
        <v>0</v>
      </c>
      <c r="F4496" s="29" t="s">
        <v>8970</v>
      </c>
    </row>
    <row r="4497" spans="1:6" ht="29" x14ac:dyDescent="0.35">
      <c r="A4497" s="26" t="s">
        <v>8968</v>
      </c>
      <c r="B4497" s="26" t="s">
        <v>9172</v>
      </c>
      <c r="C4497" s="26" t="s">
        <v>3</v>
      </c>
      <c r="D4497" s="28" t="s">
        <v>9173</v>
      </c>
      <c r="E4497" s="26">
        <v>0</v>
      </c>
      <c r="F4497" s="29" t="s">
        <v>8973</v>
      </c>
    </row>
    <row r="4498" spans="1:6" ht="43.5" x14ac:dyDescent="0.35">
      <c r="A4498" s="26" t="s">
        <v>8968</v>
      </c>
      <c r="B4498" s="26" t="s">
        <v>426</v>
      </c>
      <c r="C4498" s="26" t="s">
        <v>5</v>
      </c>
      <c r="D4498" s="28" t="s">
        <v>9174</v>
      </c>
      <c r="E4498" s="26">
        <v>0.74</v>
      </c>
      <c r="F4498" s="29" t="s">
        <v>8975</v>
      </c>
    </row>
    <row r="4499" spans="1:6" ht="43.5" x14ac:dyDescent="0.35">
      <c r="A4499" s="26" t="s">
        <v>8968</v>
      </c>
      <c r="B4499" s="26" t="s">
        <v>9175</v>
      </c>
      <c r="C4499" s="26" t="s">
        <v>1</v>
      </c>
      <c r="D4499" s="28" t="s">
        <v>9176</v>
      </c>
      <c r="E4499" s="26">
        <v>0</v>
      </c>
      <c r="F4499" s="29" t="s">
        <v>8978</v>
      </c>
    </row>
    <row r="4500" spans="1:6" ht="43.5" x14ac:dyDescent="0.35">
      <c r="A4500" s="26" t="s">
        <v>8968</v>
      </c>
      <c r="B4500" s="26" t="s">
        <v>9177</v>
      </c>
      <c r="C4500" s="26" t="s">
        <v>7</v>
      </c>
      <c r="D4500" s="28" t="s">
        <v>9178</v>
      </c>
      <c r="E4500" s="26">
        <v>0</v>
      </c>
      <c r="F4500" s="29" t="s">
        <v>8981</v>
      </c>
    </row>
    <row r="4501" spans="1:6" ht="29" x14ac:dyDescent="0.35">
      <c r="A4501" s="26" t="s">
        <v>8968</v>
      </c>
      <c r="B4501" s="26" t="s">
        <v>428</v>
      </c>
      <c r="C4501" s="26" t="s">
        <v>4</v>
      </c>
      <c r="D4501" s="28" t="s">
        <v>9179</v>
      </c>
      <c r="E4501" s="26">
        <v>0</v>
      </c>
      <c r="F4501" s="29" t="s">
        <v>8983</v>
      </c>
    </row>
    <row r="4502" spans="1:6" ht="43.5" x14ac:dyDescent="0.35">
      <c r="A4502" s="26" t="s">
        <v>8968</v>
      </c>
      <c r="B4502" s="26" t="s">
        <v>9180</v>
      </c>
      <c r="C4502" s="26" t="s">
        <v>8</v>
      </c>
      <c r="D4502" s="28" t="s">
        <v>9181</v>
      </c>
      <c r="E4502" s="26">
        <v>0.51</v>
      </c>
      <c r="F4502" s="29" t="s">
        <v>8985</v>
      </c>
    </row>
    <row r="4503" spans="1:6" ht="43.5" x14ac:dyDescent="0.35">
      <c r="A4503" s="26" t="s">
        <v>8968</v>
      </c>
      <c r="B4503" s="26" t="s">
        <v>9182</v>
      </c>
      <c r="C4503" s="26" t="s">
        <v>2</v>
      </c>
      <c r="D4503" s="28" t="s">
        <v>9183</v>
      </c>
      <c r="E4503" s="26">
        <v>29778</v>
      </c>
      <c r="F4503" s="29" t="s">
        <v>8988</v>
      </c>
    </row>
    <row r="4504" spans="1:6" ht="43.5" x14ac:dyDescent="0.35">
      <c r="A4504" s="26" t="s">
        <v>8968</v>
      </c>
      <c r="B4504" s="26" t="s">
        <v>436</v>
      </c>
      <c r="C4504" s="26" t="s">
        <v>6</v>
      </c>
      <c r="D4504" s="28" t="s">
        <v>9184</v>
      </c>
      <c r="E4504" s="26">
        <v>0</v>
      </c>
      <c r="F4504" s="29" t="s">
        <v>8970</v>
      </c>
    </row>
    <row r="4505" spans="1:6" ht="29" x14ac:dyDescent="0.35">
      <c r="A4505" s="26" t="s">
        <v>8968</v>
      </c>
      <c r="B4505" s="26" t="s">
        <v>9185</v>
      </c>
      <c r="C4505" s="26" t="s">
        <v>3</v>
      </c>
      <c r="D4505" s="28" t="s">
        <v>9186</v>
      </c>
      <c r="E4505" s="26">
        <v>0</v>
      </c>
      <c r="F4505" s="29" t="s">
        <v>8973</v>
      </c>
    </row>
    <row r="4506" spans="1:6" ht="43.5" x14ac:dyDescent="0.35">
      <c r="A4506" s="26" t="s">
        <v>8968</v>
      </c>
      <c r="B4506" s="26" t="s">
        <v>438</v>
      </c>
      <c r="C4506" s="26" t="s">
        <v>5</v>
      </c>
      <c r="D4506" s="28" t="s">
        <v>9187</v>
      </c>
      <c r="E4506" s="26">
        <v>0.74</v>
      </c>
      <c r="F4506" s="29" t="s">
        <v>8975</v>
      </c>
    </row>
    <row r="4507" spans="1:6" ht="43.5" x14ac:dyDescent="0.35">
      <c r="A4507" s="26" t="s">
        <v>8968</v>
      </c>
      <c r="B4507" s="26" t="s">
        <v>9188</v>
      </c>
      <c r="C4507" s="26" t="s">
        <v>1</v>
      </c>
      <c r="D4507" s="28" t="s">
        <v>9189</v>
      </c>
      <c r="E4507" s="26">
        <v>0</v>
      </c>
      <c r="F4507" s="29" t="s">
        <v>8978</v>
      </c>
    </row>
    <row r="4508" spans="1:6" ht="43.5" x14ac:dyDescent="0.35">
      <c r="A4508" s="26" t="s">
        <v>8968</v>
      </c>
      <c r="B4508" s="26" t="s">
        <v>9190</v>
      </c>
      <c r="C4508" s="26" t="s">
        <v>7</v>
      </c>
      <c r="D4508" s="28" t="s">
        <v>9191</v>
      </c>
      <c r="E4508" s="26">
        <v>0</v>
      </c>
      <c r="F4508" s="29" t="s">
        <v>8981</v>
      </c>
    </row>
    <row r="4509" spans="1:6" ht="29" x14ac:dyDescent="0.35">
      <c r="A4509" s="26" t="s">
        <v>8968</v>
      </c>
      <c r="B4509" s="26" t="s">
        <v>440</v>
      </c>
      <c r="C4509" s="26" t="s">
        <v>4</v>
      </c>
      <c r="D4509" s="28" t="s">
        <v>9192</v>
      </c>
      <c r="E4509" s="26">
        <v>0</v>
      </c>
      <c r="F4509" s="29" t="s">
        <v>8983</v>
      </c>
    </row>
    <row r="4510" spans="1:6" ht="43.5" x14ac:dyDescent="0.35">
      <c r="A4510" s="26" t="s">
        <v>8968</v>
      </c>
      <c r="B4510" s="26" t="s">
        <v>9193</v>
      </c>
      <c r="C4510" s="26" t="s">
        <v>8</v>
      </c>
      <c r="D4510" s="28" t="s">
        <v>9194</v>
      </c>
      <c r="E4510" s="26">
        <v>0.51</v>
      </c>
      <c r="F4510" s="29" t="s">
        <v>8985</v>
      </c>
    </row>
    <row r="4511" spans="1:6" ht="43.5" x14ac:dyDescent="0.35">
      <c r="A4511" s="26" t="s">
        <v>8968</v>
      </c>
      <c r="B4511" s="26" t="s">
        <v>9195</v>
      </c>
      <c r="C4511" s="26" t="s">
        <v>2</v>
      </c>
      <c r="D4511" s="28" t="s">
        <v>9196</v>
      </c>
      <c r="E4511" s="26">
        <v>29778</v>
      </c>
      <c r="F4511" s="29" t="s">
        <v>8988</v>
      </c>
    </row>
    <row r="4512" spans="1:6" ht="43.5" x14ac:dyDescent="0.35">
      <c r="A4512" s="26" t="s">
        <v>8968</v>
      </c>
      <c r="B4512" s="26" t="s">
        <v>448</v>
      </c>
      <c r="C4512" s="26" t="s">
        <v>6</v>
      </c>
      <c r="D4512" s="28" t="s">
        <v>9197</v>
      </c>
      <c r="E4512" s="26">
        <v>0</v>
      </c>
      <c r="F4512" s="29" t="s">
        <v>8970</v>
      </c>
    </row>
    <row r="4513" spans="1:6" ht="29" x14ac:dyDescent="0.35">
      <c r="A4513" s="26" t="s">
        <v>8968</v>
      </c>
      <c r="B4513" s="26" t="s">
        <v>9198</v>
      </c>
      <c r="C4513" s="26" t="s">
        <v>3</v>
      </c>
      <c r="D4513" s="28" t="s">
        <v>9199</v>
      </c>
      <c r="E4513" s="26">
        <v>0</v>
      </c>
      <c r="F4513" s="29" t="s">
        <v>8973</v>
      </c>
    </row>
    <row r="4514" spans="1:6" ht="43.5" x14ac:dyDescent="0.35">
      <c r="A4514" s="26" t="s">
        <v>8968</v>
      </c>
      <c r="B4514" s="26" t="s">
        <v>450</v>
      </c>
      <c r="C4514" s="26" t="s">
        <v>5</v>
      </c>
      <c r="D4514" s="28" t="s">
        <v>9200</v>
      </c>
      <c r="E4514" s="26">
        <v>0.74</v>
      </c>
      <c r="F4514" s="29" t="s">
        <v>8975</v>
      </c>
    </row>
    <row r="4515" spans="1:6" ht="43.5" x14ac:dyDescent="0.35">
      <c r="A4515" s="26" t="s">
        <v>8968</v>
      </c>
      <c r="B4515" s="26" t="s">
        <v>9201</v>
      </c>
      <c r="C4515" s="26" t="s">
        <v>1</v>
      </c>
      <c r="D4515" s="28" t="s">
        <v>9202</v>
      </c>
      <c r="E4515" s="26">
        <v>0</v>
      </c>
      <c r="F4515" s="29" t="s">
        <v>8978</v>
      </c>
    </row>
    <row r="4516" spans="1:6" ht="43.5" x14ac:dyDescent="0.35">
      <c r="A4516" s="26" t="s">
        <v>8968</v>
      </c>
      <c r="B4516" s="26" t="s">
        <v>9203</v>
      </c>
      <c r="C4516" s="26" t="s">
        <v>7</v>
      </c>
      <c r="D4516" s="28" t="s">
        <v>9204</v>
      </c>
      <c r="E4516" s="26">
        <v>0</v>
      </c>
      <c r="F4516" s="29" t="s">
        <v>8981</v>
      </c>
    </row>
    <row r="4517" spans="1:6" ht="29" x14ac:dyDescent="0.35">
      <c r="A4517" s="26" t="s">
        <v>8968</v>
      </c>
      <c r="B4517" s="26" t="s">
        <v>452</v>
      </c>
      <c r="C4517" s="26" t="s">
        <v>4</v>
      </c>
      <c r="D4517" s="28" t="s">
        <v>9205</v>
      </c>
      <c r="E4517" s="26">
        <v>0</v>
      </c>
      <c r="F4517" s="29" t="s">
        <v>8983</v>
      </c>
    </row>
    <row r="4518" spans="1:6" ht="43.5" x14ac:dyDescent="0.35">
      <c r="A4518" s="26" t="s">
        <v>8968</v>
      </c>
      <c r="B4518" s="26" t="s">
        <v>9206</v>
      </c>
      <c r="C4518" s="26" t="s">
        <v>8</v>
      </c>
      <c r="D4518" s="28" t="s">
        <v>9207</v>
      </c>
      <c r="E4518" s="26">
        <v>0.51</v>
      </c>
      <c r="F4518" s="29" t="s">
        <v>8985</v>
      </c>
    </row>
    <row r="4519" spans="1:6" ht="43.5" x14ac:dyDescent="0.35">
      <c r="A4519" s="26" t="s">
        <v>8968</v>
      </c>
      <c r="B4519" s="26" t="s">
        <v>9208</v>
      </c>
      <c r="C4519" s="26" t="s">
        <v>2</v>
      </c>
      <c r="D4519" s="28" t="s">
        <v>9209</v>
      </c>
      <c r="E4519" s="26">
        <v>29778</v>
      </c>
      <c r="F4519" s="29" t="s">
        <v>8988</v>
      </c>
    </row>
    <row r="4520" spans="1:6" ht="43.5" x14ac:dyDescent="0.35">
      <c r="A4520" s="26" t="s">
        <v>8968</v>
      </c>
      <c r="B4520" s="26" t="s">
        <v>460</v>
      </c>
      <c r="C4520" s="26" t="s">
        <v>6</v>
      </c>
      <c r="D4520" s="28" t="s">
        <v>9210</v>
      </c>
      <c r="E4520" s="26">
        <v>0</v>
      </c>
      <c r="F4520" s="29" t="s">
        <v>8970</v>
      </c>
    </row>
    <row r="4521" spans="1:6" ht="29" x14ac:dyDescent="0.35">
      <c r="A4521" s="26" t="s">
        <v>8968</v>
      </c>
      <c r="B4521" s="26" t="s">
        <v>9211</v>
      </c>
      <c r="C4521" s="26" t="s">
        <v>3</v>
      </c>
      <c r="D4521" s="28" t="s">
        <v>9212</v>
      </c>
      <c r="E4521" s="26">
        <v>0</v>
      </c>
      <c r="F4521" s="29" t="s">
        <v>8973</v>
      </c>
    </row>
    <row r="4522" spans="1:6" ht="43.5" x14ac:dyDescent="0.35">
      <c r="A4522" s="26" t="s">
        <v>8968</v>
      </c>
      <c r="B4522" s="26" t="s">
        <v>462</v>
      </c>
      <c r="C4522" s="26" t="s">
        <v>5</v>
      </c>
      <c r="D4522" s="28" t="s">
        <v>9213</v>
      </c>
      <c r="E4522" s="26">
        <v>0.74</v>
      </c>
      <c r="F4522" s="29" t="s">
        <v>8975</v>
      </c>
    </row>
    <row r="4523" spans="1:6" ht="43.5" x14ac:dyDescent="0.35">
      <c r="A4523" s="26" t="s">
        <v>8968</v>
      </c>
      <c r="B4523" s="26" t="s">
        <v>9214</v>
      </c>
      <c r="C4523" s="26" t="s">
        <v>1</v>
      </c>
      <c r="D4523" s="28" t="s">
        <v>9215</v>
      </c>
      <c r="E4523" s="26">
        <v>0</v>
      </c>
      <c r="F4523" s="29" t="s">
        <v>8978</v>
      </c>
    </row>
    <row r="4524" spans="1:6" ht="43.5" x14ac:dyDescent="0.35">
      <c r="A4524" s="26" t="s">
        <v>8968</v>
      </c>
      <c r="B4524" s="26" t="s">
        <v>9216</v>
      </c>
      <c r="C4524" s="26" t="s">
        <v>7</v>
      </c>
      <c r="D4524" s="28" t="s">
        <v>9217</v>
      </c>
      <c r="E4524" s="26">
        <v>0</v>
      </c>
      <c r="F4524" s="29" t="s">
        <v>8981</v>
      </c>
    </row>
    <row r="4525" spans="1:6" ht="29" x14ac:dyDescent="0.35">
      <c r="A4525" s="26" t="s">
        <v>8968</v>
      </c>
      <c r="B4525" s="26" t="s">
        <v>464</v>
      </c>
      <c r="C4525" s="26" t="s">
        <v>4</v>
      </c>
      <c r="D4525" s="28" t="s">
        <v>9218</v>
      </c>
      <c r="E4525" s="26">
        <v>0</v>
      </c>
      <c r="F4525" s="29" t="s">
        <v>8983</v>
      </c>
    </row>
    <row r="4526" spans="1:6" ht="43.5" x14ac:dyDescent="0.35">
      <c r="A4526" s="26" t="s">
        <v>8968</v>
      </c>
      <c r="B4526" s="26" t="s">
        <v>9219</v>
      </c>
      <c r="C4526" s="26" t="s">
        <v>8</v>
      </c>
      <c r="D4526" s="28" t="s">
        <v>9220</v>
      </c>
      <c r="E4526" s="26">
        <v>0.51</v>
      </c>
      <c r="F4526" s="29" t="s">
        <v>8985</v>
      </c>
    </row>
    <row r="4527" spans="1:6" ht="43.5" x14ac:dyDescent="0.35">
      <c r="A4527" s="26" t="s">
        <v>8968</v>
      </c>
      <c r="B4527" s="26" t="s">
        <v>9221</v>
      </c>
      <c r="C4527" s="26" t="s">
        <v>2</v>
      </c>
      <c r="D4527" s="28" t="s">
        <v>9222</v>
      </c>
      <c r="E4527" s="26">
        <v>29778</v>
      </c>
      <c r="F4527" s="29" t="s">
        <v>8988</v>
      </c>
    </row>
    <row r="4528" spans="1:6" ht="43.5" x14ac:dyDescent="0.35">
      <c r="A4528" s="26" t="s">
        <v>8968</v>
      </c>
      <c r="B4528" s="26" t="s">
        <v>472</v>
      </c>
      <c r="C4528" s="26" t="s">
        <v>6</v>
      </c>
      <c r="D4528" s="28" t="s">
        <v>9223</v>
      </c>
      <c r="E4528" s="26">
        <v>0</v>
      </c>
      <c r="F4528" s="29" t="s">
        <v>8970</v>
      </c>
    </row>
    <row r="4529" spans="1:6" ht="29" x14ac:dyDescent="0.35">
      <c r="A4529" s="26" t="s">
        <v>8968</v>
      </c>
      <c r="B4529" s="26" t="s">
        <v>9224</v>
      </c>
      <c r="C4529" s="26" t="s">
        <v>3</v>
      </c>
      <c r="D4529" s="28" t="s">
        <v>9225</v>
      </c>
      <c r="E4529" s="26">
        <v>0</v>
      </c>
      <c r="F4529" s="29" t="s">
        <v>8973</v>
      </c>
    </row>
    <row r="4530" spans="1:6" ht="43.5" x14ac:dyDescent="0.35">
      <c r="A4530" s="26" t="s">
        <v>8968</v>
      </c>
      <c r="B4530" s="26" t="s">
        <v>474</v>
      </c>
      <c r="C4530" s="26" t="s">
        <v>5</v>
      </c>
      <c r="D4530" s="28" t="s">
        <v>9226</v>
      </c>
      <c r="E4530" s="26">
        <v>0.74</v>
      </c>
      <c r="F4530" s="29" t="s">
        <v>8975</v>
      </c>
    </row>
    <row r="4531" spans="1:6" ht="43.5" x14ac:dyDescent="0.35">
      <c r="A4531" s="26" t="s">
        <v>8968</v>
      </c>
      <c r="B4531" s="26" t="s">
        <v>9227</v>
      </c>
      <c r="C4531" s="26" t="s">
        <v>1</v>
      </c>
      <c r="D4531" s="28" t="s">
        <v>9228</v>
      </c>
      <c r="E4531" s="26">
        <v>0</v>
      </c>
      <c r="F4531" s="29" t="s">
        <v>8978</v>
      </c>
    </row>
    <row r="4532" spans="1:6" ht="43.5" x14ac:dyDescent="0.35">
      <c r="A4532" s="26" t="s">
        <v>8968</v>
      </c>
      <c r="B4532" s="26" t="s">
        <v>9229</v>
      </c>
      <c r="C4532" s="26" t="s">
        <v>7</v>
      </c>
      <c r="D4532" s="28" t="s">
        <v>9230</v>
      </c>
      <c r="E4532" s="26">
        <v>0</v>
      </c>
      <c r="F4532" s="29" t="s">
        <v>8981</v>
      </c>
    </row>
    <row r="4533" spans="1:6" ht="29" x14ac:dyDescent="0.35">
      <c r="A4533" s="26" t="s">
        <v>8968</v>
      </c>
      <c r="B4533" s="26" t="s">
        <v>476</v>
      </c>
      <c r="C4533" s="26" t="s">
        <v>4</v>
      </c>
      <c r="D4533" s="28" t="s">
        <v>9231</v>
      </c>
      <c r="E4533" s="26">
        <v>0</v>
      </c>
      <c r="F4533" s="29" t="s">
        <v>8983</v>
      </c>
    </row>
    <row r="4534" spans="1:6" ht="43.5" x14ac:dyDescent="0.35">
      <c r="A4534" s="26" t="s">
        <v>8968</v>
      </c>
      <c r="B4534" s="26" t="s">
        <v>9232</v>
      </c>
      <c r="C4534" s="26" t="s">
        <v>8</v>
      </c>
      <c r="D4534" s="28" t="s">
        <v>9233</v>
      </c>
      <c r="E4534" s="26">
        <v>0.51</v>
      </c>
      <c r="F4534" s="29" t="s">
        <v>8985</v>
      </c>
    </row>
    <row r="4535" spans="1:6" ht="43.5" x14ac:dyDescent="0.35">
      <c r="A4535" s="26" t="s">
        <v>8968</v>
      </c>
      <c r="B4535" s="26" t="s">
        <v>9234</v>
      </c>
      <c r="C4535" s="26" t="s">
        <v>2</v>
      </c>
      <c r="D4535" s="28" t="s">
        <v>9235</v>
      </c>
      <c r="E4535" s="26">
        <v>29778</v>
      </c>
      <c r="F4535" s="29" t="s">
        <v>8988</v>
      </c>
    </row>
    <row r="4536" spans="1:6" ht="43.5" x14ac:dyDescent="0.35">
      <c r="A4536" s="26" t="s">
        <v>8968</v>
      </c>
      <c r="B4536" s="26" t="s">
        <v>484</v>
      </c>
      <c r="C4536" s="26" t="s">
        <v>6</v>
      </c>
      <c r="D4536" s="28" t="s">
        <v>9236</v>
      </c>
      <c r="E4536" s="26">
        <v>0</v>
      </c>
      <c r="F4536" s="29" t="s">
        <v>8970</v>
      </c>
    </row>
    <row r="4537" spans="1:6" ht="29" x14ac:dyDescent="0.35">
      <c r="A4537" s="26" t="s">
        <v>8968</v>
      </c>
      <c r="B4537" s="26" t="s">
        <v>9237</v>
      </c>
      <c r="C4537" s="26" t="s">
        <v>3</v>
      </c>
      <c r="D4537" s="28" t="s">
        <v>9238</v>
      </c>
      <c r="E4537" s="26">
        <v>0</v>
      </c>
      <c r="F4537" s="29" t="s">
        <v>8973</v>
      </c>
    </row>
    <row r="4538" spans="1:6" ht="43.5" x14ac:dyDescent="0.35">
      <c r="A4538" s="26" t="s">
        <v>8968</v>
      </c>
      <c r="B4538" s="26" t="s">
        <v>486</v>
      </c>
      <c r="C4538" s="26" t="s">
        <v>5</v>
      </c>
      <c r="D4538" s="28" t="s">
        <v>9239</v>
      </c>
      <c r="E4538" s="26">
        <v>0.74</v>
      </c>
      <c r="F4538" s="29" t="s">
        <v>8975</v>
      </c>
    </row>
    <row r="4539" spans="1:6" ht="43.5" x14ac:dyDescent="0.35">
      <c r="A4539" s="26" t="s">
        <v>8968</v>
      </c>
      <c r="B4539" s="26" t="s">
        <v>9240</v>
      </c>
      <c r="C4539" s="26" t="s">
        <v>1</v>
      </c>
      <c r="D4539" s="28" t="s">
        <v>9241</v>
      </c>
      <c r="E4539" s="26">
        <v>0</v>
      </c>
      <c r="F4539" s="29" t="s">
        <v>8978</v>
      </c>
    </row>
    <row r="4540" spans="1:6" ht="43.5" x14ac:dyDescent="0.35">
      <c r="A4540" s="26" t="s">
        <v>8968</v>
      </c>
      <c r="B4540" s="26" t="s">
        <v>9242</v>
      </c>
      <c r="C4540" s="26" t="s">
        <v>7</v>
      </c>
      <c r="D4540" s="28" t="s">
        <v>9243</v>
      </c>
      <c r="E4540" s="26">
        <v>0</v>
      </c>
      <c r="F4540" s="29" t="s">
        <v>8981</v>
      </c>
    </row>
    <row r="4541" spans="1:6" ht="29" x14ac:dyDescent="0.35">
      <c r="A4541" s="26" t="s">
        <v>8968</v>
      </c>
      <c r="B4541" s="26" t="s">
        <v>488</v>
      </c>
      <c r="C4541" s="26" t="s">
        <v>4</v>
      </c>
      <c r="D4541" s="28" t="s">
        <v>9244</v>
      </c>
      <c r="E4541" s="26">
        <v>0</v>
      </c>
      <c r="F4541" s="29" t="s">
        <v>8983</v>
      </c>
    </row>
    <row r="4542" spans="1:6" ht="43.5" x14ac:dyDescent="0.35">
      <c r="A4542" s="26" t="s">
        <v>8968</v>
      </c>
      <c r="B4542" s="26" t="s">
        <v>9245</v>
      </c>
      <c r="C4542" s="26" t="s">
        <v>8</v>
      </c>
      <c r="D4542" s="28" t="s">
        <v>9246</v>
      </c>
      <c r="E4542" s="26">
        <v>0.51</v>
      </c>
      <c r="F4542" s="29" t="s">
        <v>8985</v>
      </c>
    </row>
    <row r="4543" spans="1:6" ht="43.5" x14ac:dyDescent="0.35">
      <c r="A4543" s="26" t="s">
        <v>8968</v>
      </c>
      <c r="B4543" s="26" t="s">
        <v>9247</v>
      </c>
      <c r="C4543" s="26" t="s">
        <v>2</v>
      </c>
      <c r="D4543" s="28" t="s">
        <v>9248</v>
      </c>
      <c r="E4543" s="26">
        <v>29778</v>
      </c>
      <c r="F4543" s="29" t="s">
        <v>8988</v>
      </c>
    </row>
    <row r="4544" spans="1:6" ht="43.5" x14ac:dyDescent="0.35">
      <c r="A4544" s="26" t="s">
        <v>8968</v>
      </c>
      <c r="B4544" s="26" t="s">
        <v>496</v>
      </c>
      <c r="C4544" s="26" t="s">
        <v>6</v>
      </c>
      <c r="D4544" s="28" t="s">
        <v>9249</v>
      </c>
      <c r="E4544" s="26">
        <v>0</v>
      </c>
      <c r="F4544" s="29" t="s">
        <v>8970</v>
      </c>
    </row>
    <row r="4545" spans="1:6" ht="29" x14ac:dyDescent="0.35">
      <c r="A4545" s="26" t="s">
        <v>8968</v>
      </c>
      <c r="B4545" s="26" t="s">
        <v>9250</v>
      </c>
      <c r="C4545" s="26" t="s">
        <v>3</v>
      </c>
      <c r="D4545" s="28" t="s">
        <v>9251</v>
      </c>
      <c r="E4545" s="26">
        <v>0</v>
      </c>
      <c r="F4545" s="29" t="s">
        <v>8973</v>
      </c>
    </row>
    <row r="4546" spans="1:6" ht="43.5" x14ac:dyDescent="0.35">
      <c r="A4546" s="26" t="s">
        <v>8968</v>
      </c>
      <c r="B4546" s="26" t="s">
        <v>498</v>
      </c>
      <c r="C4546" s="26" t="s">
        <v>5</v>
      </c>
      <c r="D4546" s="28" t="s">
        <v>9252</v>
      </c>
      <c r="E4546" s="26">
        <v>0.74</v>
      </c>
      <c r="F4546" s="29" t="s">
        <v>8975</v>
      </c>
    </row>
    <row r="4547" spans="1:6" ht="43.5" x14ac:dyDescent="0.35">
      <c r="A4547" s="26" t="s">
        <v>8968</v>
      </c>
      <c r="B4547" s="26" t="s">
        <v>9253</v>
      </c>
      <c r="C4547" s="26" t="s">
        <v>1</v>
      </c>
      <c r="D4547" s="28" t="s">
        <v>9254</v>
      </c>
      <c r="E4547" s="26">
        <v>0</v>
      </c>
      <c r="F4547" s="29" t="s">
        <v>8978</v>
      </c>
    </row>
    <row r="4548" spans="1:6" ht="43.5" x14ac:dyDescent="0.35">
      <c r="A4548" s="26" t="s">
        <v>8968</v>
      </c>
      <c r="B4548" s="26" t="s">
        <v>9255</v>
      </c>
      <c r="C4548" s="26" t="s">
        <v>7</v>
      </c>
      <c r="D4548" s="28" t="s">
        <v>9256</v>
      </c>
      <c r="E4548" s="26">
        <v>0</v>
      </c>
      <c r="F4548" s="29" t="s">
        <v>8981</v>
      </c>
    </row>
    <row r="4549" spans="1:6" ht="29" x14ac:dyDescent="0.35">
      <c r="A4549" s="26" t="s">
        <v>8968</v>
      </c>
      <c r="B4549" s="26" t="s">
        <v>500</v>
      </c>
      <c r="C4549" s="26" t="s">
        <v>4</v>
      </c>
      <c r="D4549" s="28" t="s">
        <v>9257</v>
      </c>
      <c r="E4549" s="26">
        <v>0</v>
      </c>
      <c r="F4549" s="29" t="s">
        <v>8983</v>
      </c>
    </row>
    <row r="4550" spans="1:6" ht="43.5" x14ac:dyDescent="0.35">
      <c r="A4550" s="26" t="s">
        <v>8968</v>
      </c>
      <c r="B4550" s="26" t="s">
        <v>9258</v>
      </c>
      <c r="C4550" s="26" t="s">
        <v>8</v>
      </c>
      <c r="D4550" s="28" t="s">
        <v>9259</v>
      </c>
      <c r="E4550" s="26">
        <v>0.51</v>
      </c>
      <c r="F4550" s="29" t="s">
        <v>8985</v>
      </c>
    </row>
    <row r="4551" spans="1:6" ht="43.5" x14ac:dyDescent="0.35">
      <c r="A4551" s="26" t="s">
        <v>8968</v>
      </c>
      <c r="B4551" s="26" t="s">
        <v>9260</v>
      </c>
      <c r="C4551" s="26" t="s">
        <v>2</v>
      </c>
      <c r="D4551" s="28" t="s">
        <v>9261</v>
      </c>
      <c r="E4551" s="26">
        <v>29778</v>
      </c>
      <c r="F4551" s="29" t="s">
        <v>8988</v>
      </c>
    </row>
    <row r="4552" spans="1:6" ht="43.5" x14ac:dyDescent="0.35">
      <c r="A4552" s="26" t="s">
        <v>8968</v>
      </c>
      <c r="B4552" s="26" t="s">
        <v>508</v>
      </c>
      <c r="C4552" s="26" t="s">
        <v>6</v>
      </c>
      <c r="D4552" s="28" t="s">
        <v>9262</v>
      </c>
      <c r="E4552" s="26">
        <v>0</v>
      </c>
      <c r="F4552" s="29" t="s">
        <v>8970</v>
      </c>
    </row>
    <row r="4553" spans="1:6" ht="29" x14ac:dyDescent="0.35">
      <c r="A4553" s="26" t="s">
        <v>8968</v>
      </c>
      <c r="B4553" s="26" t="s">
        <v>9263</v>
      </c>
      <c r="C4553" s="26" t="s">
        <v>3</v>
      </c>
      <c r="D4553" s="28" t="s">
        <v>9264</v>
      </c>
      <c r="E4553" s="26">
        <v>0</v>
      </c>
      <c r="F4553" s="29" t="s">
        <v>8973</v>
      </c>
    </row>
    <row r="4554" spans="1:6" ht="43.5" x14ac:dyDescent="0.35">
      <c r="A4554" s="26" t="s">
        <v>8968</v>
      </c>
      <c r="B4554" s="26" t="s">
        <v>510</v>
      </c>
      <c r="C4554" s="26" t="s">
        <v>5</v>
      </c>
      <c r="D4554" s="28" t="s">
        <v>9265</v>
      </c>
      <c r="E4554" s="26">
        <v>0.74</v>
      </c>
      <c r="F4554" s="29" t="s">
        <v>8975</v>
      </c>
    </row>
    <row r="4555" spans="1:6" ht="43.5" x14ac:dyDescent="0.35">
      <c r="A4555" s="26" t="s">
        <v>8968</v>
      </c>
      <c r="B4555" s="26" t="s">
        <v>9266</v>
      </c>
      <c r="C4555" s="26" t="s">
        <v>1</v>
      </c>
      <c r="D4555" s="28" t="s">
        <v>9267</v>
      </c>
      <c r="E4555" s="26">
        <v>0</v>
      </c>
      <c r="F4555" s="29" t="s">
        <v>8978</v>
      </c>
    </row>
    <row r="4556" spans="1:6" ht="43.5" x14ac:dyDescent="0.35">
      <c r="A4556" s="26" t="s">
        <v>8968</v>
      </c>
      <c r="B4556" s="26" t="s">
        <v>9268</v>
      </c>
      <c r="C4556" s="26" t="s">
        <v>7</v>
      </c>
      <c r="D4556" s="28" t="s">
        <v>9269</v>
      </c>
      <c r="E4556" s="26">
        <v>0</v>
      </c>
      <c r="F4556" s="29" t="s">
        <v>8981</v>
      </c>
    </row>
    <row r="4557" spans="1:6" ht="29" x14ac:dyDescent="0.35">
      <c r="A4557" s="26" t="s">
        <v>8968</v>
      </c>
      <c r="B4557" s="26" t="s">
        <v>512</v>
      </c>
      <c r="C4557" s="26" t="s">
        <v>4</v>
      </c>
      <c r="D4557" s="28" t="s">
        <v>9270</v>
      </c>
      <c r="E4557" s="26">
        <v>0</v>
      </c>
      <c r="F4557" s="29" t="s">
        <v>8983</v>
      </c>
    </row>
    <row r="4558" spans="1:6" ht="43.5" x14ac:dyDescent="0.35">
      <c r="A4558" s="26" t="s">
        <v>8968</v>
      </c>
      <c r="B4558" s="26" t="s">
        <v>9271</v>
      </c>
      <c r="C4558" s="26" t="s">
        <v>8</v>
      </c>
      <c r="D4558" s="28" t="s">
        <v>9272</v>
      </c>
      <c r="E4558" s="26">
        <v>0.51</v>
      </c>
      <c r="F4558" s="29" t="s">
        <v>8985</v>
      </c>
    </row>
    <row r="4559" spans="1:6" ht="43.5" x14ac:dyDescent="0.35">
      <c r="A4559" s="26" t="s">
        <v>8968</v>
      </c>
      <c r="B4559" s="26" t="s">
        <v>9273</v>
      </c>
      <c r="C4559" s="26" t="s">
        <v>2</v>
      </c>
      <c r="D4559" s="28" t="s">
        <v>9274</v>
      </c>
      <c r="E4559" s="26">
        <v>29778</v>
      </c>
      <c r="F4559" s="29" t="s">
        <v>8988</v>
      </c>
    </row>
    <row r="4560" spans="1:6" ht="43.5" x14ac:dyDescent="0.35">
      <c r="A4560" s="26" t="s">
        <v>8968</v>
      </c>
      <c r="B4560" s="26" t="s">
        <v>520</v>
      </c>
      <c r="C4560" s="26" t="s">
        <v>6</v>
      </c>
      <c r="D4560" s="28" t="s">
        <v>9275</v>
      </c>
      <c r="E4560" s="26">
        <v>0</v>
      </c>
      <c r="F4560" s="29" t="s">
        <v>8970</v>
      </c>
    </row>
    <row r="4561" spans="1:6" ht="29" x14ac:dyDescent="0.35">
      <c r="A4561" s="26" t="s">
        <v>8968</v>
      </c>
      <c r="B4561" s="26" t="s">
        <v>9276</v>
      </c>
      <c r="C4561" s="26" t="s">
        <v>3</v>
      </c>
      <c r="D4561" s="28" t="s">
        <v>9277</v>
      </c>
      <c r="E4561" s="26">
        <v>0</v>
      </c>
      <c r="F4561" s="29" t="s">
        <v>8973</v>
      </c>
    </row>
    <row r="4562" spans="1:6" ht="43.5" x14ac:dyDescent="0.35">
      <c r="A4562" s="26" t="s">
        <v>8968</v>
      </c>
      <c r="B4562" s="26" t="s">
        <v>522</v>
      </c>
      <c r="C4562" s="26" t="s">
        <v>5</v>
      </c>
      <c r="D4562" s="28" t="s">
        <v>9278</v>
      </c>
      <c r="E4562" s="26">
        <v>0.74</v>
      </c>
      <c r="F4562" s="29" t="s">
        <v>8975</v>
      </c>
    </row>
    <row r="4563" spans="1:6" ht="43.5" x14ac:dyDescent="0.35">
      <c r="A4563" s="26" t="s">
        <v>8968</v>
      </c>
      <c r="B4563" s="26" t="s">
        <v>9279</v>
      </c>
      <c r="C4563" s="26" t="s">
        <v>1</v>
      </c>
      <c r="D4563" s="28" t="s">
        <v>9280</v>
      </c>
      <c r="E4563" s="26">
        <v>0</v>
      </c>
      <c r="F4563" s="29" t="s">
        <v>8978</v>
      </c>
    </row>
    <row r="4564" spans="1:6" ht="43.5" x14ac:dyDescent="0.35">
      <c r="A4564" s="26" t="s">
        <v>8968</v>
      </c>
      <c r="B4564" s="26" t="s">
        <v>9281</v>
      </c>
      <c r="C4564" s="26" t="s">
        <v>7</v>
      </c>
      <c r="D4564" s="28" t="s">
        <v>9282</v>
      </c>
      <c r="E4564" s="26">
        <v>0</v>
      </c>
      <c r="F4564" s="29" t="s">
        <v>8981</v>
      </c>
    </row>
    <row r="4565" spans="1:6" ht="29" x14ac:dyDescent="0.35">
      <c r="A4565" s="26" t="s">
        <v>8968</v>
      </c>
      <c r="B4565" s="26" t="s">
        <v>524</v>
      </c>
      <c r="C4565" s="26" t="s">
        <v>4</v>
      </c>
      <c r="D4565" s="28" t="s">
        <v>9283</v>
      </c>
      <c r="E4565" s="26">
        <v>0</v>
      </c>
      <c r="F4565" s="29" t="s">
        <v>8983</v>
      </c>
    </row>
    <row r="4566" spans="1:6" ht="43.5" x14ac:dyDescent="0.35">
      <c r="A4566" s="26" t="s">
        <v>8968</v>
      </c>
      <c r="B4566" s="26" t="s">
        <v>9284</v>
      </c>
      <c r="C4566" s="26" t="s">
        <v>8</v>
      </c>
      <c r="D4566" s="28" t="s">
        <v>9285</v>
      </c>
      <c r="E4566" s="26">
        <v>0.51</v>
      </c>
      <c r="F4566" s="29" t="s">
        <v>8985</v>
      </c>
    </row>
    <row r="4567" spans="1:6" ht="43.5" x14ac:dyDescent="0.35">
      <c r="A4567" s="26" t="s">
        <v>8968</v>
      </c>
      <c r="B4567" s="26" t="s">
        <v>9286</v>
      </c>
      <c r="C4567" s="26" t="s">
        <v>2</v>
      </c>
      <c r="D4567" s="28" t="s">
        <v>9287</v>
      </c>
      <c r="E4567" s="26">
        <v>29778</v>
      </c>
      <c r="F4567" s="29" t="s">
        <v>8988</v>
      </c>
    </row>
    <row r="4568" spans="1:6" ht="43.5" x14ac:dyDescent="0.35">
      <c r="A4568" s="26" t="s">
        <v>8968</v>
      </c>
      <c r="B4568" s="26" t="s">
        <v>532</v>
      </c>
      <c r="C4568" s="26" t="s">
        <v>6</v>
      </c>
      <c r="D4568" s="28" t="s">
        <v>9288</v>
      </c>
      <c r="E4568" s="26">
        <v>0</v>
      </c>
      <c r="F4568" s="29" t="s">
        <v>8970</v>
      </c>
    </row>
    <row r="4569" spans="1:6" ht="29" x14ac:dyDescent="0.35">
      <c r="A4569" s="26" t="s">
        <v>8968</v>
      </c>
      <c r="B4569" s="26" t="s">
        <v>9289</v>
      </c>
      <c r="C4569" s="26" t="s">
        <v>3</v>
      </c>
      <c r="D4569" s="28" t="s">
        <v>9290</v>
      </c>
      <c r="E4569" s="26">
        <v>0</v>
      </c>
      <c r="F4569" s="29" t="s">
        <v>8973</v>
      </c>
    </row>
    <row r="4570" spans="1:6" ht="43.5" x14ac:dyDescent="0.35">
      <c r="A4570" s="26" t="s">
        <v>8968</v>
      </c>
      <c r="B4570" s="26" t="s">
        <v>534</v>
      </c>
      <c r="C4570" s="26" t="s">
        <v>5</v>
      </c>
      <c r="D4570" s="28" t="s">
        <v>9291</v>
      </c>
      <c r="E4570" s="26">
        <v>0.74</v>
      </c>
      <c r="F4570" s="29" t="s">
        <v>8975</v>
      </c>
    </row>
    <row r="4571" spans="1:6" ht="43.5" x14ac:dyDescent="0.35">
      <c r="A4571" s="26" t="s">
        <v>8968</v>
      </c>
      <c r="B4571" s="26" t="s">
        <v>9292</v>
      </c>
      <c r="C4571" s="26" t="s">
        <v>1</v>
      </c>
      <c r="D4571" s="28" t="s">
        <v>9293</v>
      </c>
      <c r="E4571" s="26">
        <v>0</v>
      </c>
      <c r="F4571" s="29" t="s">
        <v>8978</v>
      </c>
    </row>
    <row r="4572" spans="1:6" ht="43.5" x14ac:dyDescent="0.35">
      <c r="A4572" s="26" t="s">
        <v>8968</v>
      </c>
      <c r="B4572" s="26" t="s">
        <v>9294</v>
      </c>
      <c r="C4572" s="26" t="s">
        <v>7</v>
      </c>
      <c r="D4572" s="28" t="s">
        <v>9295</v>
      </c>
      <c r="E4572" s="26">
        <v>0</v>
      </c>
      <c r="F4572" s="29" t="s">
        <v>8981</v>
      </c>
    </row>
    <row r="4573" spans="1:6" ht="29" x14ac:dyDescent="0.35">
      <c r="A4573" s="26" t="s">
        <v>8968</v>
      </c>
      <c r="B4573" s="26" t="s">
        <v>536</v>
      </c>
      <c r="C4573" s="26" t="s">
        <v>4</v>
      </c>
      <c r="D4573" s="28" t="s">
        <v>9296</v>
      </c>
      <c r="E4573" s="26">
        <v>0</v>
      </c>
      <c r="F4573" s="29" t="s">
        <v>8983</v>
      </c>
    </row>
    <row r="4574" spans="1:6" ht="43.5" x14ac:dyDescent="0.35">
      <c r="A4574" s="26" t="s">
        <v>8968</v>
      </c>
      <c r="B4574" s="26" t="s">
        <v>9297</v>
      </c>
      <c r="C4574" s="26" t="s">
        <v>8</v>
      </c>
      <c r="D4574" s="28" t="s">
        <v>9298</v>
      </c>
      <c r="E4574" s="26">
        <v>0.51</v>
      </c>
      <c r="F4574" s="29" t="s">
        <v>8985</v>
      </c>
    </row>
    <row r="4575" spans="1:6" ht="43.5" x14ac:dyDescent="0.35">
      <c r="A4575" s="26" t="s">
        <v>8968</v>
      </c>
      <c r="B4575" s="26" t="s">
        <v>9299</v>
      </c>
      <c r="C4575" s="26" t="s">
        <v>2</v>
      </c>
      <c r="D4575" s="28" t="s">
        <v>9300</v>
      </c>
      <c r="E4575" s="26">
        <v>29778</v>
      </c>
      <c r="F4575" s="29" t="s">
        <v>8988</v>
      </c>
    </row>
    <row r="4576" spans="1:6" ht="43.5" x14ac:dyDescent="0.35">
      <c r="A4576" s="26" t="s">
        <v>8968</v>
      </c>
      <c r="B4576" s="26" t="s">
        <v>544</v>
      </c>
      <c r="C4576" s="26" t="s">
        <v>6</v>
      </c>
      <c r="D4576" s="28" t="s">
        <v>9301</v>
      </c>
      <c r="E4576" s="26">
        <v>0</v>
      </c>
      <c r="F4576" s="29" t="s">
        <v>8970</v>
      </c>
    </row>
    <row r="4577" spans="1:6" ht="29" x14ac:dyDescent="0.35">
      <c r="A4577" s="26" t="s">
        <v>8968</v>
      </c>
      <c r="B4577" s="26" t="s">
        <v>9302</v>
      </c>
      <c r="C4577" s="26" t="s">
        <v>3</v>
      </c>
      <c r="D4577" s="28" t="s">
        <v>9303</v>
      </c>
      <c r="E4577" s="26">
        <v>0</v>
      </c>
      <c r="F4577" s="29" t="s">
        <v>8973</v>
      </c>
    </row>
    <row r="4578" spans="1:6" ht="43.5" x14ac:dyDescent="0.35">
      <c r="A4578" s="26" t="s">
        <v>8968</v>
      </c>
      <c r="B4578" s="26" t="s">
        <v>546</v>
      </c>
      <c r="C4578" s="26" t="s">
        <v>5</v>
      </c>
      <c r="D4578" s="28" t="s">
        <v>9304</v>
      </c>
      <c r="E4578" s="26">
        <v>0.74</v>
      </c>
      <c r="F4578" s="29" t="s">
        <v>8975</v>
      </c>
    </row>
    <row r="4579" spans="1:6" ht="43.5" x14ac:dyDescent="0.35">
      <c r="A4579" s="26" t="s">
        <v>8968</v>
      </c>
      <c r="B4579" s="26" t="s">
        <v>9305</v>
      </c>
      <c r="C4579" s="26" t="s">
        <v>1</v>
      </c>
      <c r="D4579" s="28" t="s">
        <v>9306</v>
      </c>
      <c r="E4579" s="26">
        <v>0</v>
      </c>
      <c r="F4579" s="29" t="s">
        <v>8978</v>
      </c>
    </row>
    <row r="4580" spans="1:6" ht="43.5" x14ac:dyDescent="0.35">
      <c r="A4580" s="26" t="s">
        <v>8968</v>
      </c>
      <c r="B4580" s="26" t="s">
        <v>9307</v>
      </c>
      <c r="C4580" s="26" t="s">
        <v>7</v>
      </c>
      <c r="D4580" s="28" t="s">
        <v>9308</v>
      </c>
      <c r="E4580" s="26">
        <v>0</v>
      </c>
      <c r="F4580" s="29" t="s">
        <v>8981</v>
      </c>
    </row>
    <row r="4581" spans="1:6" ht="29" x14ac:dyDescent="0.35">
      <c r="A4581" s="26" t="s">
        <v>8968</v>
      </c>
      <c r="B4581" s="26" t="s">
        <v>548</v>
      </c>
      <c r="C4581" s="26" t="s">
        <v>4</v>
      </c>
      <c r="D4581" s="28" t="s">
        <v>9309</v>
      </c>
      <c r="E4581" s="26">
        <v>0</v>
      </c>
      <c r="F4581" s="29" t="s">
        <v>8983</v>
      </c>
    </row>
    <row r="4582" spans="1:6" ht="43.5" x14ac:dyDescent="0.35">
      <c r="A4582" s="26" t="s">
        <v>8968</v>
      </c>
      <c r="B4582" s="26" t="s">
        <v>9310</v>
      </c>
      <c r="C4582" s="26" t="s">
        <v>8</v>
      </c>
      <c r="D4582" s="28" t="s">
        <v>9311</v>
      </c>
      <c r="E4582" s="26">
        <v>0.51</v>
      </c>
      <c r="F4582" s="29" t="s">
        <v>8985</v>
      </c>
    </row>
    <row r="4583" spans="1:6" ht="43.5" x14ac:dyDescent="0.35">
      <c r="A4583" s="26" t="s">
        <v>8968</v>
      </c>
      <c r="B4583" s="26" t="s">
        <v>9312</v>
      </c>
      <c r="C4583" s="26" t="s">
        <v>2</v>
      </c>
      <c r="D4583" s="28" t="s">
        <v>9313</v>
      </c>
      <c r="E4583" s="26">
        <v>29778</v>
      </c>
      <c r="F4583" s="29" t="s">
        <v>8988</v>
      </c>
    </row>
    <row r="4584" spans="1:6" ht="43.5" x14ac:dyDescent="0.35">
      <c r="A4584" s="26" t="s">
        <v>8968</v>
      </c>
      <c r="B4584" s="26" t="s">
        <v>556</v>
      </c>
      <c r="C4584" s="26" t="s">
        <v>6</v>
      </c>
      <c r="D4584" s="28" t="s">
        <v>9314</v>
      </c>
      <c r="E4584" s="26">
        <v>0</v>
      </c>
      <c r="F4584" s="29" t="s">
        <v>8970</v>
      </c>
    </row>
    <row r="4585" spans="1:6" ht="29" x14ac:dyDescent="0.35">
      <c r="A4585" s="26" t="s">
        <v>8968</v>
      </c>
      <c r="B4585" s="26" t="s">
        <v>9315</v>
      </c>
      <c r="C4585" s="26" t="s">
        <v>3</v>
      </c>
      <c r="D4585" s="28" t="s">
        <v>9316</v>
      </c>
      <c r="E4585" s="26">
        <v>0</v>
      </c>
      <c r="F4585" s="29" t="s">
        <v>8973</v>
      </c>
    </row>
    <row r="4586" spans="1:6" ht="43.5" x14ac:dyDescent="0.35">
      <c r="A4586" s="26" t="s">
        <v>8968</v>
      </c>
      <c r="B4586" s="26" t="s">
        <v>558</v>
      </c>
      <c r="C4586" s="26" t="s">
        <v>5</v>
      </c>
      <c r="D4586" s="28" t="s">
        <v>9317</v>
      </c>
      <c r="E4586" s="26">
        <v>0.74</v>
      </c>
      <c r="F4586" s="29" t="s">
        <v>8975</v>
      </c>
    </row>
    <row r="4587" spans="1:6" ht="43.5" x14ac:dyDescent="0.35">
      <c r="A4587" s="26" t="s">
        <v>8968</v>
      </c>
      <c r="B4587" s="26" t="s">
        <v>9318</v>
      </c>
      <c r="C4587" s="26" t="s">
        <v>1</v>
      </c>
      <c r="D4587" s="28" t="s">
        <v>9319</v>
      </c>
      <c r="E4587" s="26">
        <v>0</v>
      </c>
      <c r="F4587" s="29" t="s">
        <v>8978</v>
      </c>
    </row>
    <row r="4588" spans="1:6" ht="43.5" x14ac:dyDescent="0.35">
      <c r="A4588" s="26" t="s">
        <v>8968</v>
      </c>
      <c r="B4588" s="26" t="s">
        <v>9320</v>
      </c>
      <c r="C4588" s="26" t="s">
        <v>7</v>
      </c>
      <c r="D4588" s="28" t="s">
        <v>9321</v>
      </c>
      <c r="E4588" s="26">
        <v>0</v>
      </c>
      <c r="F4588" s="29" t="s">
        <v>8981</v>
      </c>
    </row>
    <row r="4589" spans="1:6" ht="29" x14ac:dyDescent="0.35">
      <c r="A4589" s="26" t="s">
        <v>8968</v>
      </c>
      <c r="B4589" s="26" t="s">
        <v>560</v>
      </c>
      <c r="C4589" s="26" t="s">
        <v>4</v>
      </c>
      <c r="D4589" s="28" t="s">
        <v>9322</v>
      </c>
      <c r="E4589" s="26">
        <v>0</v>
      </c>
      <c r="F4589" s="29" t="s">
        <v>8983</v>
      </c>
    </row>
    <row r="4590" spans="1:6" ht="43.5" x14ac:dyDescent="0.35">
      <c r="A4590" s="26" t="s">
        <v>8968</v>
      </c>
      <c r="B4590" s="26" t="s">
        <v>9323</v>
      </c>
      <c r="C4590" s="26" t="s">
        <v>8</v>
      </c>
      <c r="D4590" s="28" t="s">
        <v>9324</v>
      </c>
      <c r="E4590" s="26">
        <v>0.51</v>
      </c>
      <c r="F4590" s="29" t="s">
        <v>8985</v>
      </c>
    </row>
    <row r="4591" spans="1:6" ht="43.5" x14ac:dyDescent="0.35">
      <c r="A4591" s="26" t="s">
        <v>8968</v>
      </c>
      <c r="B4591" s="26" t="s">
        <v>9325</v>
      </c>
      <c r="C4591" s="26" t="s">
        <v>2</v>
      </c>
      <c r="D4591" s="28" t="s">
        <v>9326</v>
      </c>
      <c r="E4591" s="26">
        <v>29778</v>
      </c>
      <c r="F4591" s="29" t="s">
        <v>8988</v>
      </c>
    </row>
    <row r="4592" spans="1:6" ht="43.5" x14ac:dyDescent="0.35">
      <c r="A4592" s="26" t="s">
        <v>8968</v>
      </c>
      <c r="B4592" s="26" t="s">
        <v>568</v>
      </c>
      <c r="C4592" s="26" t="s">
        <v>6</v>
      </c>
      <c r="D4592" s="28" t="s">
        <v>9327</v>
      </c>
      <c r="E4592" s="26">
        <v>0</v>
      </c>
      <c r="F4592" s="29" t="s">
        <v>8970</v>
      </c>
    </row>
    <row r="4593" spans="1:6" ht="29" x14ac:dyDescent="0.35">
      <c r="A4593" s="26" t="s">
        <v>8968</v>
      </c>
      <c r="B4593" s="26" t="s">
        <v>9328</v>
      </c>
      <c r="C4593" s="26" t="s">
        <v>3</v>
      </c>
      <c r="D4593" s="28" t="s">
        <v>9329</v>
      </c>
      <c r="E4593" s="26">
        <v>0</v>
      </c>
      <c r="F4593" s="29" t="s">
        <v>8973</v>
      </c>
    </row>
    <row r="4594" spans="1:6" ht="43.5" x14ac:dyDescent="0.35">
      <c r="A4594" s="26" t="s">
        <v>8968</v>
      </c>
      <c r="B4594" s="26" t="s">
        <v>570</v>
      </c>
      <c r="C4594" s="26" t="s">
        <v>5</v>
      </c>
      <c r="D4594" s="28" t="s">
        <v>9330</v>
      </c>
      <c r="E4594" s="26">
        <v>0.74</v>
      </c>
      <c r="F4594" s="29" t="s">
        <v>8975</v>
      </c>
    </row>
    <row r="4595" spans="1:6" ht="43.5" x14ac:dyDescent="0.35">
      <c r="A4595" s="26" t="s">
        <v>8968</v>
      </c>
      <c r="B4595" s="26" t="s">
        <v>9331</v>
      </c>
      <c r="C4595" s="26" t="s">
        <v>1</v>
      </c>
      <c r="D4595" s="28" t="s">
        <v>9332</v>
      </c>
      <c r="E4595" s="26">
        <v>0</v>
      </c>
      <c r="F4595" s="29" t="s">
        <v>8978</v>
      </c>
    </row>
    <row r="4596" spans="1:6" ht="43.5" x14ac:dyDescent="0.35">
      <c r="A4596" s="26" t="s">
        <v>8968</v>
      </c>
      <c r="B4596" s="26" t="s">
        <v>9333</v>
      </c>
      <c r="C4596" s="26" t="s">
        <v>7</v>
      </c>
      <c r="D4596" s="28" t="s">
        <v>9334</v>
      </c>
      <c r="E4596" s="26">
        <v>0</v>
      </c>
      <c r="F4596" s="29" t="s">
        <v>8981</v>
      </c>
    </row>
    <row r="4597" spans="1:6" ht="29" x14ac:dyDescent="0.35">
      <c r="A4597" s="26" t="s">
        <v>8968</v>
      </c>
      <c r="B4597" s="26" t="s">
        <v>572</v>
      </c>
      <c r="C4597" s="26" t="s">
        <v>4</v>
      </c>
      <c r="D4597" s="28" t="s">
        <v>9335</v>
      </c>
      <c r="E4597" s="26">
        <v>0</v>
      </c>
      <c r="F4597" s="29" t="s">
        <v>8983</v>
      </c>
    </row>
    <row r="4598" spans="1:6" ht="43.5" x14ac:dyDescent="0.35">
      <c r="A4598" s="26" t="s">
        <v>8968</v>
      </c>
      <c r="B4598" s="26" t="s">
        <v>9336</v>
      </c>
      <c r="C4598" s="26" t="s">
        <v>8</v>
      </c>
      <c r="D4598" s="28" t="s">
        <v>9337</v>
      </c>
      <c r="E4598" s="26">
        <v>0.51</v>
      </c>
      <c r="F4598" s="29" t="s">
        <v>8985</v>
      </c>
    </row>
    <row r="4599" spans="1:6" ht="43.5" x14ac:dyDescent="0.35">
      <c r="A4599" s="26" t="s">
        <v>8968</v>
      </c>
      <c r="B4599" s="26" t="s">
        <v>9338</v>
      </c>
      <c r="C4599" s="26" t="s">
        <v>2</v>
      </c>
      <c r="D4599" s="28" t="s">
        <v>9339</v>
      </c>
      <c r="E4599" s="26">
        <v>29778</v>
      </c>
      <c r="F4599" s="29" t="s">
        <v>8988</v>
      </c>
    </row>
    <row r="4600" spans="1:6" ht="43.5" x14ac:dyDescent="0.35">
      <c r="A4600" s="26" t="s">
        <v>8968</v>
      </c>
      <c r="B4600" s="26" t="s">
        <v>580</v>
      </c>
      <c r="C4600" s="26" t="s">
        <v>6</v>
      </c>
      <c r="D4600" s="28" t="s">
        <v>9340</v>
      </c>
      <c r="E4600" s="26">
        <v>0</v>
      </c>
      <c r="F4600" s="29" t="s">
        <v>8970</v>
      </c>
    </row>
    <row r="4601" spans="1:6" ht="29" x14ac:dyDescent="0.35">
      <c r="A4601" s="26" t="s">
        <v>8968</v>
      </c>
      <c r="B4601" s="26" t="s">
        <v>9341</v>
      </c>
      <c r="C4601" s="26" t="s">
        <v>3</v>
      </c>
      <c r="D4601" s="28" t="s">
        <v>9342</v>
      </c>
      <c r="E4601" s="26">
        <v>0</v>
      </c>
      <c r="F4601" s="29" t="s">
        <v>8973</v>
      </c>
    </row>
    <row r="4602" spans="1:6" ht="43.5" x14ac:dyDescent="0.35">
      <c r="A4602" s="26" t="s">
        <v>8968</v>
      </c>
      <c r="B4602" s="26" t="s">
        <v>582</v>
      </c>
      <c r="C4602" s="26" t="s">
        <v>5</v>
      </c>
      <c r="D4602" s="28" t="s">
        <v>9343</v>
      </c>
      <c r="E4602" s="26">
        <v>0.74</v>
      </c>
      <c r="F4602" s="29" t="s">
        <v>8975</v>
      </c>
    </row>
    <row r="4603" spans="1:6" ht="43.5" x14ac:dyDescent="0.35">
      <c r="A4603" s="26" t="s">
        <v>8968</v>
      </c>
      <c r="B4603" s="26" t="s">
        <v>9344</v>
      </c>
      <c r="C4603" s="26" t="s">
        <v>1</v>
      </c>
      <c r="D4603" s="28" t="s">
        <v>9345</v>
      </c>
      <c r="E4603" s="26">
        <v>0</v>
      </c>
      <c r="F4603" s="29" t="s">
        <v>8978</v>
      </c>
    </row>
    <row r="4604" spans="1:6" ht="43.5" x14ac:dyDescent="0.35">
      <c r="A4604" s="26" t="s">
        <v>8968</v>
      </c>
      <c r="B4604" s="26" t="s">
        <v>9346</v>
      </c>
      <c r="C4604" s="26" t="s">
        <v>7</v>
      </c>
      <c r="D4604" s="28" t="s">
        <v>9347</v>
      </c>
      <c r="E4604" s="26">
        <v>0</v>
      </c>
      <c r="F4604" s="29" t="s">
        <v>8981</v>
      </c>
    </row>
    <row r="4605" spans="1:6" ht="29" x14ac:dyDescent="0.35">
      <c r="A4605" s="26" t="s">
        <v>8968</v>
      </c>
      <c r="B4605" s="26" t="s">
        <v>584</v>
      </c>
      <c r="C4605" s="26" t="s">
        <v>4</v>
      </c>
      <c r="D4605" s="28" t="s">
        <v>9348</v>
      </c>
      <c r="E4605" s="26">
        <v>0</v>
      </c>
      <c r="F4605" s="29" t="s">
        <v>8983</v>
      </c>
    </row>
    <row r="4606" spans="1:6" ht="43.5" x14ac:dyDescent="0.35">
      <c r="A4606" s="26" t="s">
        <v>8968</v>
      </c>
      <c r="B4606" s="26" t="s">
        <v>9349</v>
      </c>
      <c r="C4606" s="26" t="s">
        <v>8</v>
      </c>
      <c r="D4606" s="28" t="s">
        <v>9350</v>
      </c>
      <c r="E4606" s="26">
        <v>0.51</v>
      </c>
      <c r="F4606" s="29" t="s">
        <v>8985</v>
      </c>
    </row>
    <row r="4607" spans="1:6" ht="43.5" x14ac:dyDescent="0.35">
      <c r="A4607" s="26" t="s">
        <v>8968</v>
      </c>
      <c r="B4607" s="26" t="s">
        <v>9351</v>
      </c>
      <c r="C4607" s="26" t="s">
        <v>2</v>
      </c>
      <c r="D4607" s="28" t="s">
        <v>9352</v>
      </c>
      <c r="E4607" s="26">
        <v>29778</v>
      </c>
      <c r="F4607" s="29" t="s">
        <v>8988</v>
      </c>
    </row>
    <row r="4608" spans="1:6" ht="43.5" x14ac:dyDescent="0.35">
      <c r="A4608" s="26" t="s">
        <v>8968</v>
      </c>
      <c r="B4608" s="26" t="s">
        <v>592</v>
      </c>
      <c r="C4608" s="26" t="s">
        <v>6</v>
      </c>
      <c r="D4608" s="28" t="s">
        <v>9353</v>
      </c>
      <c r="E4608" s="26">
        <v>0</v>
      </c>
      <c r="F4608" s="29" t="s">
        <v>8970</v>
      </c>
    </row>
    <row r="4609" spans="1:6" ht="29" x14ac:dyDescent="0.35">
      <c r="A4609" s="26" t="s">
        <v>8968</v>
      </c>
      <c r="B4609" s="26" t="s">
        <v>9354</v>
      </c>
      <c r="C4609" s="26" t="s">
        <v>3</v>
      </c>
      <c r="D4609" s="28" t="s">
        <v>9355</v>
      </c>
      <c r="E4609" s="26">
        <v>0</v>
      </c>
      <c r="F4609" s="29" t="s">
        <v>8973</v>
      </c>
    </row>
    <row r="4610" spans="1:6" ht="43.5" x14ac:dyDescent="0.35">
      <c r="A4610" s="26" t="s">
        <v>8968</v>
      </c>
      <c r="B4610" s="26" t="s">
        <v>594</v>
      </c>
      <c r="C4610" s="26" t="s">
        <v>5</v>
      </c>
      <c r="D4610" s="28" t="s">
        <v>9356</v>
      </c>
      <c r="E4610" s="26">
        <v>0.74</v>
      </c>
      <c r="F4610" s="29" t="s">
        <v>8975</v>
      </c>
    </row>
    <row r="4611" spans="1:6" ht="43.5" x14ac:dyDescent="0.35">
      <c r="A4611" s="26" t="s">
        <v>8968</v>
      </c>
      <c r="B4611" s="26" t="s">
        <v>9357</v>
      </c>
      <c r="C4611" s="26" t="s">
        <v>1</v>
      </c>
      <c r="D4611" s="28" t="s">
        <v>9358</v>
      </c>
      <c r="E4611" s="26">
        <v>0</v>
      </c>
      <c r="F4611" s="29" t="s">
        <v>8978</v>
      </c>
    </row>
    <row r="4612" spans="1:6" ht="43.5" x14ac:dyDescent="0.35">
      <c r="A4612" s="26" t="s">
        <v>8968</v>
      </c>
      <c r="B4612" s="26" t="s">
        <v>9359</v>
      </c>
      <c r="C4612" s="26" t="s">
        <v>7</v>
      </c>
      <c r="D4612" s="28" t="s">
        <v>9360</v>
      </c>
      <c r="E4612" s="26">
        <v>0</v>
      </c>
      <c r="F4612" s="29" t="s">
        <v>8981</v>
      </c>
    </row>
    <row r="4613" spans="1:6" ht="29" x14ac:dyDescent="0.35">
      <c r="A4613" s="26" t="s">
        <v>8968</v>
      </c>
      <c r="B4613" s="26" t="s">
        <v>596</v>
      </c>
      <c r="C4613" s="26" t="s">
        <v>4</v>
      </c>
      <c r="D4613" s="28" t="s">
        <v>9361</v>
      </c>
      <c r="E4613" s="26">
        <v>0</v>
      </c>
      <c r="F4613" s="29" t="s">
        <v>8983</v>
      </c>
    </row>
    <row r="4614" spans="1:6" ht="43.5" x14ac:dyDescent="0.35">
      <c r="A4614" s="26" t="s">
        <v>8968</v>
      </c>
      <c r="B4614" s="26" t="s">
        <v>9362</v>
      </c>
      <c r="C4614" s="26" t="s">
        <v>8</v>
      </c>
      <c r="D4614" s="28" t="s">
        <v>9363</v>
      </c>
      <c r="E4614" s="26">
        <v>0.51</v>
      </c>
      <c r="F4614" s="29" t="s">
        <v>8985</v>
      </c>
    </row>
    <row r="4615" spans="1:6" ht="43.5" x14ac:dyDescent="0.35">
      <c r="A4615" s="26" t="s">
        <v>8968</v>
      </c>
      <c r="B4615" s="26" t="s">
        <v>9364</v>
      </c>
      <c r="C4615" s="26" t="s">
        <v>2</v>
      </c>
      <c r="D4615" s="28" t="s">
        <v>9365</v>
      </c>
      <c r="E4615" s="26">
        <v>29778</v>
      </c>
      <c r="F4615" s="29" t="s">
        <v>8988</v>
      </c>
    </row>
    <row r="4616" spans="1:6" ht="43.5" x14ac:dyDescent="0.35">
      <c r="A4616" s="26" t="s">
        <v>8968</v>
      </c>
      <c r="B4616" s="26" t="s">
        <v>604</v>
      </c>
      <c r="C4616" s="26" t="s">
        <v>6</v>
      </c>
      <c r="D4616" s="28" t="s">
        <v>9366</v>
      </c>
      <c r="E4616" s="26">
        <v>0</v>
      </c>
      <c r="F4616" s="29" t="s">
        <v>8970</v>
      </c>
    </row>
    <row r="4617" spans="1:6" ht="29" x14ac:dyDescent="0.35">
      <c r="A4617" s="26" t="s">
        <v>8968</v>
      </c>
      <c r="B4617" s="26" t="s">
        <v>9367</v>
      </c>
      <c r="C4617" s="26" t="s">
        <v>3</v>
      </c>
      <c r="D4617" s="28" t="s">
        <v>9368</v>
      </c>
      <c r="E4617" s="26">
        <v>0</v>
      </c>
      <c r="F4617" s="29" t="s">
        <v>8973</v>
      </c>
    </row>
    <row r="4618" spans="1:6" ht="43.5" x14ac:dyDescent="0.35">
      <c r="A4618" s="26" t="s">
        <v>8968</v>
      </c>
      <c r="B4618" s="26" t="s">
        <v>606</v>
      </c>
      <c r="C4618" s="26" t="s">
        <v>5</v>
      </c>
      <c r="D4618" s="28" t="s">
        <v>9369</v>
      </c>
      <c r="E4618" s="26">
        <v>0.74</v>
      </c>
      <c r="F4618" s="29" t="s">
        <v>8975</v>
      </c>
    </row>
    <row r="4619" spans="1:6" ht="43.5" x14ac:dyDescent="0.35">
      <c r="A4619" s="26" t="s">
        <v>8968</v>
      </c>
      <c r="B4619" s="26" t="s">
        <v>9370</v>
      </c>
      <c r="C4619" s="26" t="s">
        <v>1</v>
      </c>
      <c r="D4619" s="28" t="s">
        <v>9371</v>
      </c>
      <c r="E4619" s="26">
        <v>0</v>
      </c>
      <c r="F4619" s="29" t="s">
        <v>8978</v>
      </c>
    </row>
    <row r="4620" spans="1:6" ht="43.5" x14ac:dyDescent="0.35">
      <c r="A4620" s="26" t="s">
        <v>8968</v>
      </c>
      <c r="B4620" s="26" t="s">
        <v>9372</v>
      </c>
      <c r="C4620" s="26" t="s">
        <v>7</v>
      </c>
      <c r="D4620" s="28" t="s">
        <v>9373</v>
      </c>
      <c r="E4620" s="26">
        <v>0</v>
      </c>
      <c r="F4620" s="29" t="s">
        <v>8981</v>
      </c>
    </row>
    <row r="4621" spans="1:6" ht="29" x14ac:dyDescent="0.35">
      <c r="A4621" s="26" t="s">
        <v>8968</v>
      </c>
      <c r="B4621" s="26" t="s">
        <v>608</v>
      </c>
      <c r="C4621" s="26" t="s">
        <v>4</v>
      </c>
      <c r="D4621" s="28" t="s">
        <v>9374</v>
      </c>
      <c r="E4621" s="26">
        <v>0</v>
      </c>
      <c r="F4621" s="29" t="s">
        <v>8983</v>
      </c>
    </row>
    <row r="4622" spans="1:6" ht="43.5" x14ac:dyDescent="0.35">
      <c r="A4622" s="26" t="s">
        <v>8968</v>
      </c>
      <c r="B4622" s="26" t="s">
        <v>9375</v>
      </c>
      <c r="C4622" s="26" t="s">
        <v>8</v>
      </c>
      <c r="D4622" s="28" t="s">
        <v>9376</v>
      </c>
      <c r="E4622" s="26">
        <v>0.51</v>
      </c>
      <c r="F4622" s="29" t="s">
        <v>8985</v>
      </c>
    </row>
    <row r="4623" spans="1:6" ht="43.5" x14ac:dyDescent="0.35">
      <c r="A4623" s="26" t="s">
        <v>8968</v>
      </c>
      <c r="B4623" s="26" t="s">
        <v>9377</v>
      </c>
      <c r="C4623" s="26" t="s">
        <v>2</v>
      </c>
      <c r="D4623" s="28" t="s">
        <v>9378</v>
      </c>
      <c r="E4623" s="26">
        <v>29778</v>
      </c>
      <c r="F4623" s="29" t="s">
        <v>8988</v>
      </c>
    </row>
    <row r="4624" spans="1:6" ht="43.5" x14ac:dyDescent="0.35">
      <c r="A4624" s="26" t="s">
        <v>8968</v>
      </c>
      <c r="B4624" s="26" t="s">
        <v>616</v>
      </c>
      <c r="C4624" s="26" t="s">
        <v>6</v>
      </c>
      <c r="D4624" s="28" t="s">
        <v>9379</v>
      </c>
      <c r="E4624" s="26">
        <v>0</v>
      </c>
      <c r="F4624" s="29" t="s">
        <v>8970</v>
      </c>
    </row>
    <row r="4625" spans="1:6" ht="29" x14ac:dyDescent="0.35">
      <c r="A4625" s="26" t="s">
        <v>8968</v>
      </c>
      <c r="B4625" s="26" t="s">
        <v>9380</v>
      </c>
      <c r="C4625" s="26" t="s">
        <v>3</v>
      </c>
      <c r="D4625" s="28" t="s">
        <v>9381</v>
      </c>
      <c r="E4625" s="26">
        <v>0</v>
      </c>
      <c r="F4625" s="29" t="s">
        <v>8973</v>
      </c>
    </row>
    <row r="4626" spans="1:6" ht="43.5" x14ac:dyDescent="0.35">
      <c r="A4626" s="26" t="s">
        <v>8968</v>
      </c>
      <c r="B4626" s="26" t="s">
        <v>618</v>
      </c>
      <c r="C4626" s="26" t="s">
        <v>5</v>
      </c>
      <c r="D4626" s="28" t="s">
        <v>9382</v>
      </c>
      <c r="E4626" s="26">
        <v>0.74</v>
      </c>
      <c r="F4626" s="29" t="s">
        <v>8975</v>
      </c>
    </row>
    <row r="4627" spans="1:6" ht="43.5" x14ac:dyDescent="0.35">
      <c r="A4627" s="26" t="s">
        <v>8968</v>
      </c>
      <c r="B4627" s="26" t="s">
        <v>9383</v>
      </c>
      <c r="C4627" s="26" t="s">
        <v>1</v>
      </c>
      <c r="D4627" s="28" t="s">
        <v>9384</v>
      </c>
      <c r="E4627" s="26">
        <v>0</v>
      </c>
      <c r="F4627" s="29" t="s">
        <v>8978</v>
      </c>
    </row>
    <row r="4628" spans="1:6" ht="43.5" x14ac:dyDescent="0.35">
      <c r="A4628" s="26" t="s">
        <v>8968</v>
      </c>
      <c r="B4628" s="26" t="s">
        <v>9385</v>
      </c>
      <c r="C4628" s="26" t="s">
        <v>7</v>
      </c>
      <c r="D4628" s="28" t="s">
        <v>9386</v>
      </c>
      <c r="E4628" s="26">
        <v>0</v>
      </c>
      <c r="F4628" s="29" t="s">
        <v>8981</v>
      </c>
    </row>
    <row r="4629" spans="1:6" ht="29" x14ac:dyDescent="0.35">
      <c r="A4629" s="26" t="s">
        <v>8968</v>
      </c>
      <c r="B4629" s="26" t="s">
        <v>620</v>
      </c>
      <c r="C4629" s="26" t="s">
        <v>4</v>
      </c>
      <c r="D4629" s="28" t="s">
        <v>9387</v>
      </c>
      <c r="E4629" s="26">
        <v>0</v>
      </c>
      <c r="F4629" s="29" t="s">
        <v>8983</v>
      </c>
    </row>
    <row r="4630" spans="1:6" ht="43.5" x14ac:dyDescent="0.35">
      <c r="A4630" s="26" t="s">
        <v>8968</v>
      </c>
      <c r="B4630" s="26" t="s">
        <v>9388</v>
      </c>
      <c r="C4630" s="26" t="s">
        <v>8</v>
      </c>
      <c r="D4630" s="28" t="s">
        <v>9389</v>
      </c>
      <c r="E4630" s="26">
        <v>0.51</v>
      </c>
      <c r="F4630" s="29" t="s">
        <v>8985</v>
      </c>
    </row>
    <row r="4631" spans="1:6" ht="43.5" x14ac:dyDescent="0.35">
      <c r="A4631" s="26" t="s">
        <v>8968</v>
      </c>
      <c r="B4631" s="26" t="s">
        <v>9390</v>
      </c>
      <c r="C4631" s="26" t="s">
        <v>2</v>
      </c>
      <c r="D4631" s="28" t="s">
        <v>9391</v>
      </c>
      <c r="E4631" s="26">
        <v>29778</v>
      </c>
      <c r="F4631" s="29" t="s">
        <v>8988</v>
      </c>
    </row>
    <row r="4632" spans="1:6" ht="43.5" x14ac:dyDescent="0.35">
      <c r="A4632" s="26" t="s">
        <v>8968</v>
      </c>
      <c r="B4632" s="26" t="s">
        <v>628</v>
      </c>
      <c r="C4632" s="26" t="s">
        <v>6</v>
      </c>
      <c r="D4632" s="28" t="s">
        <v>9392</v>
      </c>
      <c r="E4632" s="26">
        <v>0</v>
      </c>
      <c r="F4632" s="29" t="s">
        <v>8970</v>
      </c>
    </row>
    <row r="4633" spans="1:6" ht="29" x14ac:dyDescent="0.35">
      <c r="A4633" s="26" t="s">
        <v>8968</v>
      </c>
      <c r="B4633" s="26" t="s">
        <v>9393</v>
      </c>
      <c r="C4633" s="26" t="s">
        <v>3</v>
      </c>
      <c r="D4633" s="28" t="s">
        <v>9394</v>
      </c>
      <c r="E4633" s="26">
        <v>0</v>
      </c>
      <c r="F4633" s="29" t="s">
        <v>8973</v>
      </c>
    </row>
    <row r="4634" spans="1:6" ht="43.5" x14ac:dyDescent="0.35">
      <c r="A4634" s="26" t="s">
        <v>8968</v>
      </c>
      <c r="B4634" s="26" t="s">
        <v>630</v>
      </c>
      <c r="C4634" s="26" t="s">
        <v>5</v>
      </c>
      <c r="D4634" s="28" t="s">
        <v>9395</v>
      </c>
      <c r="E4634" s="26">
        <v>0.74</v>
      </c>
      <c r="F4634" s="29" t="s">
        <v>8975</v>
      </c>
    </row>
    <row r="4635" spans="1:6" ht="43.5" x14ac:dyDescent="0.35">
      <c r="A4635" s="26" t="s">
        <v>8968</v>
      </c>
      <c r="B4635" s="26" t="s">
        <v>9396</v>
      </c>
      <c r="C4635" s="26" t="s">
        <v>1</v>
      </c>
      <c r="D4635" s="28" t="s">
        <v>9397</v>
      </c>
      <c r="E4635" s="26">
        <v>0</v>
      </c>
      <c r="F4635" s="29" t="s">
        <v>8978</v>
      </c>
    </row>
    <row r="4636" spans="1:6" ht="43.5" x14ac:dyDescent="0.35">
      <c r="A4636" s="26" t="s">
        <v>8968</v>
      </c>
      <c r="B4636" s="26" t="s">
        <v>9398</v>
      </c>
      <c r="C4636" s="26" t="s">
        <v>7</v>
      </c>
      <c r="D4636" s="28" t="s">
        <v>9399</v>
      </c>
      <c r="E4636" s="26">
        <v>0</v>
      </c>
      <c r="F4636" s="29" t="s">
        <v>8981</v>
      </c>
    </row>
    <row r="4637" spans="1:6" ht="29" x14ac:dyDescent="0.35">
      <c r="A4637" s="26" t="s">
        <v>8968</v>
      </c>
      <c r="B4637" s="26" t="s">
        <v>632</v>
      </c>
      <c r="C4637" s="26" t="s">
        <v>4</v>
      </c>
      <c r="D4637" s="28" t="s">
        <v>9400</v>
      </c>
      <c r="E4637" s="26">
        <v>0</v>
      </c>
      <c r="F4637" s="29" t="s">
        <v>8983</v>
      </c>
    </row>
    <row r="4638" spans="1:6" ht="43.5" x14ac:dyDescent="0.35">
      <c r="A4638" s="26" t="s">
        <v>8968</v>
      </c>
      <c r="B4638" s="26" t="s">
        <v>9401</v>
      </c>
      <c r="C4638" s="26" t="s">
        <v>8</v>
      </c>
      <c r="D4638" s="28" t="s">
        <v>9402</v>
      </c>
      <c r="E4638" s="26">
        <v>0.51</v>
      </c>
      <c r="F4638" s="29" t="s">
        <v>8985</v>
      </c>
    </row>
    <row r="4639" spans="1:6" ht="43.5" x14ac:dyDescent="0.35">
      <c r="A4639" s="26" t="s">
        <v>8968</v>
      </c>
      <c r="B4639" s="26" t="s">
        <v>9403</v>
      </c>
      <c r="C4639" s="26" t="s">
        <v>2</v>
      </c>
      <c r="D4639" s="28" t="s">
        <v>9404</v>
      </c>
      <c r="E4639" s="26">
        <v>29778</v>
      </c>
      <c r="F4639" s="29" t="s">
        <v>8988</v>
      </c>
    </row>
    <row r="4640" spans="1:6" ht="43.5" x14ac:dyDescent="0.35">
      <c r="A4640" s="26" t="s">
        <v>8968</v>
      </c>
      <c r="B4640" s="26" t="s">
        <v>640</v>
      </c>
      <c r="C4640" s="26" t="s">
        <v>6</v>
      </c>
      <c r="D4640" s="28" t="s">
        <v>9405</v>
      </c>
      <c r="E4640" s="26">
        <v>0</v>
      </c>
      <c r="F4640" s="29" t="s">
        <v>8970</v>
      </c>
    </row>
    <row r="4641" spans="1:6" ht="29" x14ac:dyDescent="0.35">
      <c r="A4641" s="26" t="s">
        <v>8968</v>
      </c>
      <c r="B4641" s="26" t="s">
        <v>9406</v>
      </c>
      <c r="C4641" s="26" t="s">
        <v>3</v>
      </c>
      <c r="D4641" s="28" t="s">
        <v>9407</v>
      </c>
      <c r="E4641" s="26">
        <v>0</v>
      </c>
      <c r="F4641" s="29" t="s">
        <v>8973</v>
      </c>
    </row>
    <row r="4642" spans="1:6" ht="43.5" x14ac:dyDescent="0.35">
      <c r="A4642" s="26" t="s">
        <v>8968</v>
      </c>
      <c r="B4642" s="26" t="s">
        <v>642</v>
      </c>
      <c r="C4642" s="26" t="s">
        <v>5</v>
      </c>
      <c r="D4642" s="28" t="s">
        <v>9408</v>
      </c>
      <c r="E4642" s="26">
        <v>0.74</v>
      </c>
      <c r="F4642" s="29" t="s">
        <v>8975</v>
      </c>
    </row>
    <row r="4643" spans="1:6" ht="43.5" x14ac:dyDescent="0.35">
      <c r="A4643" s="26" t="s">
        <v>8968</v>
      </c>
      <c r="B4643" s="26" t="s">
        <v>9409</v>
      </c>
      <c r="C4643" s="26" t="s">
        <v>1</v>
      </c>
      <c r="D4643" s="28" t="s">
        <v>9410</v>
      </c>
      <c r="E4643" s="26">
        <v>0</v>
      </c>
      <c r="F4643" s="29" t="s">
        <v>8978</v>
      </c>
    </row>
    <row r="4644" spans="1:6" ht="43.5" x14ac:dyDescent="0.35">
      <c r="A4644" s="26" t="s">
        <v>8968</v>
      </c>
      <c r="B4644" s="26" t="s">
        <v>9411</v>
      </c>
      <c r="C4644" s="26" t="s">
        <v>7</v>
      </c>
      <c r="D4644" s="28" t="s">
        <v>9412</v>
      </c>
      <c r="E4644" s="26">
        <v>0</v>
      </c>
      <c r="F4644" s="29" t="s">
        <v>8981</v>
      </c>
    </row>
    <row r="4645" spans="1:6" ht="29" x14ac:dyDescent="0.35">
      <c r="A4645" s="26" t="s">
        <v>8968</v>
      </c>
      <c r="B4645" s="26" t="s">
        <v>644</v>
      </c>
      <c r="C4645" s="26" t="s">
        <v>4</v>
      </c>
      <c r="D4645" s="28" t="s">
        <v>9413</v>
      </c>
      <c r="E4645" s="26">
        <v>0</v>
      </c>
      <c r="F4645" s="29" t="s">
        <v>8983</v>
      </c>
    </row>
    <row r="4646" spans="1:6" ht="43.5" x14ac:dyDescent="0.35">
      <c r="A4646" s="26" t="s">
        <v>8968</v>
      </c>
      <c r="B4646" s="26" t="s">
        <v>9414</v>
      </c>
      <c r="C4646" s="26" t="s">
        <v>8</v>
      </c>
      <c r="D4646" s="28" t="s">
        <v>9415</v>
      </c>
      <c r="E4646" s="26">
        <v>0.51</v>
      </c>
      <c r="F4646" s="29" t="s">
        <v>8985</v>
      </c>
    </row>
    <row r="4647" spans="1:6" ht="43.5" x14ac:dyDescent="0.35">
      <c r="A4647" s="26" t="s">
        <v>8968</v>
      </c>
      <c r="B4647" s="26" t="s">
        <v>9416</v>
      </c>
      <c r="C4647" s="26" t="s">
        <v>2</v>
      </c>
      <c r="D4647" s="28" t="s">
        <v>9417</v>
      </c>
      <c r="E4647" s="26">
        <v>29778</v>
      </c>
      <c r="F4647" s="29" t="s">
        <v>8988</v>
      </c>
    </row>
    <row r="4648" spans="1:6" ht="43.5" x14ac:dyDescent="0.35">
      <c r="A4648" s="26" t="s">
        <v>8968</v>
      </c>
      <c r="B4648" s="26" t="s">
        <v>652</v>
      </c>
      <c r="C4648" s="26" t="s">
        <v>6</v>
      </c>
      <c r="D4648" s="28" t="s">
        <v>9418</v>
      </c>
      <c r="E4648" s="26">
        <v>0</v>
      </c>
      <c r="F4648" s="29" t="s">
        <v>8970</v>
      </c>
    </row>
    <row r="4649" spans="1:6" ht="29" x14ac:dyDescent="0.35">
      <c r="A4649" s="26" t="s">
        <v>8968</v>
      </c>
      <c r="B4649" s="26" t="s">
        <v>9419</v>
      </c>
      <c r="C4649" s="26" t="s">
        <v>3</v>
      </c>
      <c r="D4649" s="28" t="s">
        <v>9420</v>
      </c>
      <c r="E4649" s="26">
        <v>0</v>
      </c>
      <c r="F4649" s="29" t="s">
        <v>8973</v>
      </c>
    </row>
    <row r="4650" spans="1:6" ht="43.5" x14ac:dyDescent="0.35">
      <c r="A4650" s="26" t="s">
        <v>8968</v>
      </c>
      <c r="B4650" s="26" t="s">
        <v>654</v>
      </c>
      <c r="C4650" s="26" t="s">
        <v>5</v>
      </c>
      <c r="D4650" s="28" t="s">
        <v>9421</v>
      </c>
      <c r="E4650" s="26">
        <v>0.74</v>
      </c>
      <c r="F4650" s="29" t="s">
        <v>8975</v>
      </c>
    </row>
    <row r="4651" spans="1:6" ht="43.5" x14ac:dyDescent="0.35">
      <c r="A4651" s="26" t="s">
        <v>8968</v>
      </c>
      <c r="B4651" s="26" t="s">
        <v>9422</v>
      </c>
      <c r="C4651" s="26" t="s">
        <v>1</v>
      </c>
      <c r="D4651" s="28" t="s">
        <v>9423</v>
      </c>
      <c r="E4651" s="26">
        <v>0</v>
      </c>
      <c r="F4651" s="29" t="s">
        <v>8978</v>
      </c>
    </row>
    <row r="4652" spans="1:6" ht="43.5" x14ac:dyDescent="0.35">
      <c r="A4652" s="26" t="s">
        <v>8968</v>
      </c>
      <c r="B4652" s="26" t="s">
        <v>9424</v>
      </c>
      <c r="C4652" s="26" t="s">
        <v>7</v>
      </c>
      <c r="D4652" s="28" t="s">
        <v>9425</v>
      </c>
      <c r="E4652" s="26">
        <v>0</v>
      </c>
      <c r="F4652" s="29" t="s">
        <v>8981</v>
      </c>
    </row>
    <row r="4653" spans="1:6" ht="29" x14ac:dyDescent="0.35">
      <c r="A4653" s="26" t="s">
        <v>8968</v>
      </c>
      <c r="B4653" s="26" t="s">
        <v>656</v>
      </c>
      <c r="C4653" s="26" t="s">
        <v>4</v>
      </c>
      <c r="D4653" s="28" t="s">
        <v>9426</v>
      </c>
      <c r="E4653" s="26">
        <v>0</v>
      </c>
      <c r="F4653" s="29" t="s">
        <v>8983</v>
      </c>
    </row>
    <row r="4654" spans="1:6" ht="43.5" x14ac:dyDescent="0.35">
      <c r="A4654" s="26" t="s">
        <v>8968</v>
      </c>
      <c r="B4654" s="26" t="s">
        <v>9427</v>
      </c>
      <c r="C4654" s="26" t="s">
        <v>8</v>
      </c>
      <c r="D4654" s="28" t="s">
        <v>9428</v>
      </c>
      <c r="E4654" s="26">
        <v>0.51</v>
      </c>
      <c r="F4654" s="29" t="s">
        <v>8985</v>
      </c>
    </row>
    <row r="4655" spans="1:6" ht="43.5" x14ac:dyDescent="0.35">
      <c r="A4655" s="26" t="s">
        <v>8968</v>
      </c>
      <c r="B4655" s="26" t="s">
        <v>9429</v>
      </c>
      <c r="C4655" s="26" t="s">
        <v>2</v>
      </c>
      <c r="D4655" s="28" t="s">
        <v>9430</v>
      </c>
      <c r="E4655" s="26">
        <v>29778</v>
      </c>
      <c r="F4655" s="29" t="s">
        <v>8988</v>
      </c>
    </row>
    <row r="4656" spans="1:6" ht="43.5" x14ac:dyDescent="0.35">
      <c r="A4656" s="26" t="s">
        <v>8968</v>
      </c>
      <c r="B4656" s="26" t="s">
        <v>664</v>
      </c>
      <c r="C4656" s="26" t="s">
        <v>6</v>
      </c>
      <c r="D4656" s="28" t="s">
        <v>9431</v>
      </c>
      <c r="E4656" s="26">
        <v>0</v>
      </c>
      <c r="F4656" s="29" t="s">
        <v>8970</v>
      </c>
    </row>
    <row r="4657" spans="1:6" ht="29" x14ac:dyDescent="0.35">
      <c r="A4657" s="26" t="s">
        <v>8968</v>
      </c>
      <c r="B4657" s="26" t="s">
        <v>9432</v>
      </c>
      <c r="C4657" s="26" t="s">
        <v>3</v>
      </c>
      <c r="D4657" s="28" t="s">
        <v>9433</v>
      </c>
      <c r="E4657" s="26">
        <v>0</v>
      </c>
      <c r="F4657" s="29" t="s">
        <v>8973</v>
      </c>
    </row>
    <row r="4658" spans="1:6" ht="43.5" x14ac:dyDescent="0.35">
      <c r="A4658" s="26" t="s">
        <v>8968</v>
      </c>
      <c r="B4658" s="26" t="s">
        <v>666</v>
      </c>
      <c r="C4658" s="26" t="s">
        <v>5</v>
      </c>
      <c r="D4658" s="28" t="s">
        <v>9434</v>
      </c>
      <c r="E4658" s="26">
        <v>0.74</v>
      </c>
      <c r="F4658" s="29" t="s">
        <v>8975</v>
      </c>
    </row>
    <row r="4659" spans="1:6" ht="43.5" x14ac:dyDescent="0.35">
      <c r="A4659" s="26" t="s">
        <v>8968</v>
      </c>
      <c r="B4659" s="26" t="s">
        <v>9435</v>
      </c>
      <c r="C4659" s="26" t="s">
        <v>1</v>
      </c>
      <c r="D4659" s="28" t="s">
        <v>9436</v>
      </c>
      <c r="E4659" s="26">
        <v>0</v>
      </c>
      <c r="F4659" s="29" t="s">
        <v>8978</v>
      </c>
    </row>
    <row r="4660" spans="1:6" ht="43.5" x14ac:dyDescent="0.35">
      <c r="A4660" s="26" t="s">
        <v>8968</v>
      </c>
      <c r="B4660" s="26" t="s">
        <v>9437</v>
      </c>
      <c r="C4660" s="26" t="s">
        <v>7</v>
      </c>
      <c r="D4660" s="28" t="s">
        <v>9438</v>
      </c>
      <c r="E4660" s="26">
        <v>0</v>
      </c>
      <c r="F4660" s="29" t="s">
        <v>8981</v>
      </c>
    </row>
    <row r="4661" spans="1:6" ht="29" x14ac:dyDescent="0.35">
      <c r="A4661" s="26" t="s">
        <v>8968</v>
      </c>
      <c r="B4661" s="26" t="s">
        <v>668</v>
      </c>
      <c r="C4661" s="26" t="s">
        <v>4</v>
      </c>
      <c r="D4661" s="28" t="s">
        <v>9439</v>
      </c>
      <c r="E4661" s="26">
        <v>0</v>
      </c>
      <c r="F4661" s="29" t="s">
        <v>8983</v>
      </c>
    </row>
    <row r="4662" spans="1:6" ht="43.5" x14ac:dyDescent="0.35">
      <c r="A4662" s="26" t="s">
        <v>8968</v>
      </c>
      <c r="B4662" s="26" t="s">
        <v>9440</v>
      </c>
      <c r="C4662" s="26" t="s">
        <v>8</v>
      </c>
      <c r="D4662" s="28" t="s">
        <v>9441</v>
      </c>
      <c r="E4662" s="26">
        <v>0.51</v>
      </c>
      <c r="F4662" s="29" t="s">
        <v>8985</v>
      </c>
    </row>
    <row r="4663" spans="1:6" ht="43.5" x14ac:dyDescent="0.35">
      <c r="A4663" s="26" t="s">
        <v>8968</v>
      </c>
      <c r="B4663" s="26" t="s">
        <v>9442</v>
      </c>
      <c r="C4663" s="26" t="s">
        <v>2</v>
      </c>
      <c r="D4663" s="28" t="s">
        <v>9443</v>
      </c>
      <c r="E4663" s="26">
        <v>29778</v>
      </c>
      <c r="F4663" s="29" t="s">
        <v>8988</v>
      </c>
    </row>
    <row r="4664" spans="1:6" ht="43.5" x14ac:dyDescent="0.35">
      <c r="A4664" s="26" t="s">
        <v>8968</v>
      </c>
      <c r="B4664" s="26" t="s">
        <v>676</v>
      </c>
      <c r="C4664" s="26" t="s">
        <v>6</v>
      </c>
      <c r="D4664" s="28" t="s">
        <v>9444</v>
      </c>
      <c r="E4664" s="26">
        <v>0</v>
      </c>
      <c r="F4664" s="29" t="s">
        <v>8970</v>
      </c>
    </row>
    <row r="4665" spans="1:6" ht="29" x14ac:dyDescent="0.35">
      <c r="A4665" s="26" t="s">
        <v>8968</v>
      </c>
      <c r="B4665" s="26" t="s">
        <v>9445</v>
      </c>
      <c r="C4665" s="26" t="s">
        <v>3</v>
      </c>
      <c r="D4665" s="28" t="s">
        <v>9446</v>
      </c>
      <c r="E4665" s="26">
        <v>0</v>
      </c>
      <c r="F4665" s="29" t="s">
        <v>8973</v>
      </c>
    </row>
    <row r="4666" spans="1:6" ht="43.5" x14ac:dyDescent="0.35">
      <c r="A4666" s="26" t="s">
        <v>8968</v>
      </c>
      <c r="B4666" s="26" t="s">
        <v>678</v>
      </c>
      <c r="C4666" s="26" t="s">
        <v>5</v>
      </c>
      <c r="D4666" s="28" t="s">
        <v>9447</v>
      </c>
      <c r="E4666" s="26">
        <v>0.74</v>
      </c>
      <c r="F4666" s="29" t="s">
        <v>8975</v>
      </c>
    </row>
    <row r="4667" spans="1:6" ht="43.5" x14ac:dyDescent="0.35">
      <c r="A4667" s="26" t="s">
        <v>8968</v>
      </c>
      <c r="B4667" s="26" t="s">
        <v>9448</v>
      </c>
      <c r="C4667" s="26" t="s">
        <v>1</v>
      </c>
      <c r="D4667" s="28" t="s">
        <v>9449</v>
      </c>
      <c r="E4667" s="26">
        <v>0</v>
      </c>
      <c r="F4667" s="29" t="s">
        <v>8978</v>
      </c>
    </row>
    <row r="4668" spans="1:6" ht="43.5" x14ac:dyDescent="0.35">
      <c r="A4668" s="26" t="s">
        <v>8968</v>
      </c>
      <c r="B4668" s="26" t="s">
        <v>9450</v>
      </c>
      <c r="C4668" s="26" t="s">
        <v>7</v>
      </c>
      <c r="D4668" s="28" t="s">
        <v>9451</v>
      </c>
      <c r="E4668" s="26">
        <v>0</v>
      </c>
      <c r="F4668" s="29" t="s">
        <v>8981</v>
      </c>
    </row>
    <row r="4669" spans="1:6" ht="29" x14ac:dyDescent="0.35">
      <c r="A4669" s="26" t="s">
        <v>8968</v>
      </c>
      <c r="B4669" s="26" t="s">
        <v>680</v>
      </c>
      <c r="C4669" s="26" t="s">
        <v>4</v>
      </c>
      <c r="D4669" s="28" t="s">
        <v>9452</v>
      </c>
      <c r="E4669" s="26">
        <v>0</v>
      </c>
      <c r="F4669" s="29" t="s">
        <v>8983</v>
      </c>
    </row>
    <row r="4670" spans="1:6" ht="43.5" x14ac:dyDescent="0.35">
      <c r="A4670" s="26" t="s">
        <v>8968</v>
      </c>
      <c r="B4670" s="26" t="s">
        <v>9453</v>
      </c>
      <c r="C4670" s="26" t="s">
        <v>8</v>
      </c>
      <c r="D4670" s="28" t="s">
        <v>9454</v>
      </c>
      <c r="E4670" s="26">
        <v>0.51</v>
      </c>
      <c r="F4670" s="29" t="s">
        <v>8985</v>
      </c>
    </row>
    <row r="4671" spans="1:6" ht="43.5" x14ac:dyDescent="0.35">
      <c r="A4671" s="26" t="s">
        <v>8968</v>
      </c>
      <c r="B4671" s="26" t="s">
        <v>9455</v>
      </c>
      <c r="C4671" s="26" t="s">
        <v>2</v>
      </c>
      <c r="D4671" s="28" t="s">
        <v>9456</v>
      </c>
      <c r="E4671" s="26">
        <v>29778</v>
      </c>
      <c r="F4671" s="29" t="s">
        <v>8988</v>
      </c>
    </row>
    <row r="4672" spans="1:6" ht="43.5" x14ac:dyDescent="0.35">
      <c r="A4672" s="26" t="s">
        <v>8968</v>
      </c>
      <c r="B4672" s="26" t="s">
        <v>688</v>
      </c>
      <c r="C4672" s="26" t="s">
        <v>6</v>
      </c>
      <c r="D4672" s="28" t="s">
        <v>9457</v>
      </c>
      <c r="E4672" s="26">
        <v>0</v>
      </c>
      <c r="F4672" s="29" t="s">
        <v>8970</v>
      </c>
    </row>
    <row r="4673" spans="1:6" ht="29" x14ac:dyDescent="0.35">
      <c r="A4673" s="26" t="s">
        <v>8968</v>
      </c>
      <c r="B4673" s="26" t="s">
        <v>9458</v>
      </c>
      <c r="C4673" s="26" t="s">
        <v>3</v>
      </c>
      <c r="D4673" s="28" t="s">
        <v>9459</v>
      </c>
      <c r="E4673" s="26">
        <v>0</v>
      </c>
      <c r="F4673" s="29" t="s">
        <v>8973</v>
      </c>
    </row>
    <row r="4674" spans="1:6" ht="43.5" x14ac:dyDescent="0.35">
      <c r="A4674" s="26" t="s">
        <v>8968</v>
      </c>
      <c r="B4674" s="26" t="s">
        <v>690</v>
      </c>
      <c r="C4674" s="26" t="s">
        <v>5</v>
      </c>
      <c r="D4674" s="28" t="s">
        <v>9460</v>
      </c>
      <c r="E4674" s="26">
        <v>0.74</v>
      </c>
      <c r="F4674" s="29" t="s">
        <v>8975</v>
      </c>
    </row>
    <row r="4675" spans="1:6" ht="43.5" x14ac:dyDescent="0.35">
      <c r="A4675" s="26" t="s">
        <v>8968</v>
      </c>
      <c r="B4675" s="26" t="s">
        <v>9461</v>
      </c>
      <c r="C4675" s="26" t="s">
        <v>1</v>
      </c>
      <c r="D4675" s="28" t="s">
        <v>9462</v>
      </c>
      <c r="E4675" s="26">
        <v>0</v>
      </c>
      <c r="F4675" s="29" t="s">
        <v>8978</v>
      </c>
    </row>
    <row r="4676" spans="1:6" ht="43.5" x14ac:dyDescent="0.35">
      <c r="A4676" s="26" t="s">
        <v>8968</v>
      </c>
      <c r="B4676" s="26" t="s">
        <v>9463</v>
      </c>
      <c r="C4676" s="26" t="s">
        <v>7</v>
      </c>
      <c r="D4676" s="28" t="s">
        <v>9464</v>
      </c>
      <c r="E4676" s="26">
        <v>0</v>
      </c>
      <c r="F4676" s="29" t="s">
        <v>8981</v>
      </c>
    </row>
    <row r="4677" spans="1:6" ht="29" x14ac:dyDescent="0.35">
      <c r="A4677" s="26" t="s">
        <v>8968</v>
      </c>
      <c r="B4677" s="26" t="s">
        <v>692</v>
      </c>
      <c r="C4677" s="26" t="s">
        <v>4</v>
      </c>
      <c r="D4677" s="28" t="s">
        <v>9465</v>
      </c>
      <c r="E4677" s="26">
        <v>0</v>
      </c>
      <c r="F4677" s="29" t="s">
        <v>8983</v>
      </c>
    </row>
    <row r="4678" spans="1:6" ht="43.5" x14ac:dyDescent="0.35">
      <c r="A4678" s="26" t="s">
        <v>8968</v>
      </c>
      <c r="B4678" s="26" t="s">
        <v>9466</v>
      </c>
      <c r="C4678" s="26" t="s">
        <v>8</v>
      </c>
      <c r="D4678" s="28" t="s">
        <v>9467</v>
      </c>
      <c r="E4678" s="26">
        <v>0.51</v>
      </c>
      <c r="F4678" s="29" t="s">
        <v>8985</v>
      </c>
    </row>
    <row r="4679" spans="1:6" ht="43.5" x14ac:dyDescent="0.35">
      <c r="A4679" s="26" t="s">
        <v>8968</v>
      </c>
      <c r="B4679" s="26" t="s">
        <v>9468</v>
      </c>
      <c r="C4679" s="26" t="s">
        <v>2</v>
      </c>
      <c r="D4679" s="28" t="s">
        <v>9469</v>
      </c>
      <c r="E4679" s="26">
        <v>29778</v>
      </c>
      <c r="F4679" s="29" t="s">
        <v>8988</v>
      </c>
    </row>
    <row r="4680" spans="1:6" ht="43.5" x14ac:dyDescent="0.35">
      <c r="A4680" s="26" t="s">
        <v>8968</v>
      </c>
      <c r="B4680" s="26" t="s">
        <v>700</v>
      </c>
      <c r="C4680" s="26" t="s">
        <v>6</v>
      </c>
      <c r="D4680" s="28" t="s">
        <v>9470</v>
      </c>
      <c r="E4680" s="26">
        <v>0</v>
      </c>
      <c r="F4680" s="29" t="s">
        <v>8970</v>
      </c>
    </row>
    <row r="4681" spans="1:6" ht="29" x14ac:dyDescent="0.35">
      <c r="A4681" s="26" t="s">
        <v>8968</v>
      </c>
      <c r="B4681" s="26" t="s">
        <v>9471</v>
      </c>
      <c r="C4681" s="26" t="s">
        <v>3</v>
      </c>
      <c r="D4681" s="28" t="s">
        <v>9472</v>
      </c>
      <c r="E4681" s="26">
        <v>0</v>
      </c>
      <c r="F4681" s="29" t="s">
        <v>8973</v>
      </c>
    </row>
    <row r="4682" spans="1:6" ht="43.5" x14ac:dyDescent="0.35">
      <c r="A4682" s="26" t="s">
        <v>8968</v>
      </c>
      <c r="B4682" s="26" t="s">
        <v>702</v>
      </c>
      <c r="C4682" s="26" t="s">
        <v>5</v>
      </c>
      <c r="D4682" s="28" t="s">
        <v>9473</v>
      </c>
      <c r="E4682" s="26">
        <v>0.74</v>
      </c>
      <c r="F4682" s="29" t="s">
        <v>8975</v>
      </c>
    </row>
    <row r="4683" spans="1:6" ht="43.5" x14ac:dyDescent="0.35">
      <c r="A4683" s="26" t="s">
        <v>8968</v>
      </c>
      <c r="B4683" s="26" t="s">
        <v>9474</v>
      </c>
      <c r="C4683" s="26" t="s">
        <v>1</v>
      </c>
      <c r="D4683" s="28" t="s">
        <v>9475</v>
      </c>
      <c r="E4683" s="26">
        <v>0</v>
      </c>
      <c r="F4683" s="29" t="s">
        <v>8978</v>
      </c>
    </row>
    <row r="4684" spans="1:6" ht="43.5" x14ac:dyDescent="0.35">
      <c r="A4684" s="26" t="s">
        <v>8968</v>
      </c>
      <c r="B4684" s="26" t="s">
        <v>9476</v>
      </c>
      <c r="C4684" s="26" t="s">
        <v>7</v>
      </c>
      <c r="D4684" s="28" t="s">
        <v>9477</v>
      </c>
      <c r="E4684" s="26">
        <v>0</v>
      </c>
      <c r="F4684" s="29" t="s">
        <v>8981</v>
      </c>
    </row>
    <row r="4685" spans="1:6" ht="29" x14ac:dyDescent="0.35">
      <c r="A4685" s="26" t="s">
        <v>8968</v>
      </c>
      <c r="B4685" s="26" t="s">
        <v>704</v>
      </c>
      <c r="C4685" s="26" t="s">
        <v>4</v>
      </c>
      <c r="D4685" s="28" t="s">
        <v>9478</v>
      </c>
      <c r="E4685" s="26">
        <v>0</v>
      </c>
      <c r="F4685" s="29" t="s">
        <v>8983</v>
      </c>
    </row>
    <row r="4686" spans="1:6" ht="43.5" x14ac:dyDescent="0.35">
      <c r="A4686" s="26" t="s">
        <v>8968</v>
      </c>
      <c r="B4686" s="26" t="s">
        <v>9479</v>
      </c>
      <c r="C4686" s="26" t="s">
        <v>8</v>
      </c>
      <c r="D4686" s="28" t="s">
        <v>9480</v>
      </c>
      <c r="E4686" s="26">
        <v>0.51</v>
      </c>
      <c r="F4686" s="29" t="s">
        <v>8985</v>
      </c>
    </row>
    <row r="4687" spans="1:6" ht="43.5" x14ac:dyDescent="0.35">
      <c r="A4687" s="26" t="s">
        <v>8968</v>
      </c>
      <c r="B4687" s="26" t="s">
        <v>9481</v>
      </c>
      <c r="C4687" s="26" t="s">
        <v>2</v>
      </c>
      <c r="D4687" s="28" t="s">
        <v>9482</v>
      </c>
      <c r="E4687" s="26">
        <v>29778</v>
      </c>
      <c r="F4687" s="29" t="s">
        <v>8988</v>
      </c>
    </row>
    <row r="4688" spans="1:6" ht="43.5" x14ac:dyDescent="0.35">
      <c r="A4688" s="26" t="s">
        <v>8968</v>
      </c>
      <c r="B4688" s="26" t="s">
        <v>712</v>
      </c>
      <c r="C4688" s="26" t="s">
        <v>6</v>
      </c>
      <c r="D4688" s="28" t="s">
        <v>9483</v>
      </c>
      <c r="E4688" s="26">
        <v>0</v>
      </c>
      <c r="F4688" s="29" t="s">
        <v>8970</v>
      </c>
    </row>
    <row r="4689" spans="1:6" ht="29" x14ac:dyDescent="0.35">
      <c r="A4689" s="26" t="s">
        <v>8968</v>
      </c>
      <c r="B4689" s="26" t="s">
        <v>9484</v>
      </c>
      <c r="C4689" s="26" t="s">
        <v>3</v>
      </c>
      <c r="D4689" s="28" t="s">
        <v>9485</v>
      </c>
      <c r="E4689" s="26">
        <v>0</v>
      </c>
      <c r="F4689" s="29" t="s">
        <v>8973</v>
      </c>
    </row>
    <row r="4690" spans="1:6" ht="43.5" x14ac:dyDescent="0.35">
      <c r="A4690" s="26" t="s">
        <v>8968</v>
      </c>
      <c r="B4690" s="26" t="s">
        <v>714</v>
      </c>
      <c r="C4690" s="26" t="s">
        <v>5</v>
      </c>
      <c r="D4690" s="28" t="s">
        <v>9486</v>
      </c>
      <c r="E4690" s="26">
        <v>0.74</v>
      </c>
      <c r="F4690" s="29" t="s">
        <v>8975</v>
      </c>
    </row>
    <row r="4691" spans="1:6" ht="43.5" x14ac:dyDescent="0.35">
      <c r="A4691" s="26" t="s">
        <v>8968</v>
      </c>
      <c r="B4691" s="26" t="s">
        <v>9487</v>
      </c>
      <c r="C4691" s="26" t="s">
        <v>1</v>
      </c>
      <c r="D4691" s="28" t="s">
        <v>9488</v>
      </c>
      <c r="E4691" s="26">
        <v>0</v>
      </c>
      <c r="F4691" s="29" t="s">
        <v>8978</v>
      </c>
    </row>
    <row r="4692" spans="1:6" ht="43.5" x14ac:dyDescent="0.35">
      <c r="A4692" s="26" t="s">
        <v>8968</v>
      </c>
      <c r="B4692" s="26" t="s">
        <v>9489</v>
      </c>
      <c r="C4692" s="26" t="s">
        <v>7</v>
      </c>
      <c r="D4692" s="28" t="s">
        <v>9490</v>
      </c>
      <c r="E4692" s="26">
        <v>0</v>
      </c>
      <c r="F4692" s="29" t="s">
        <v>8981</v>
      </c>
    </row>
    <row r="4693" spans="1:6" ht="29" x14ac:dyDescent="0.35">
      <c r="A4693" s="26" t="s">
        <v>8968</v>
      </c>
      <c r="B4693" s="26" t="s">
        <v>716</v>
      </c>
      <c r="C4693" s="26" t="s">
        <v>4</v>
      </c>
      <c r="D4693" s="28" t="s">
        <v>9491</v>
      </c>
      <c r="E4693" s="26">
        <v>0</v>
      </c>
      <c r="F4693" s="29" t="s">
        <v>8983</v>
      </c>
    </row>
    <row r="4694" spans="1:6" ht="43.5" x14ac:dyDescent="0.35">
      <c r="A4694" s="26" t="s">
        <v>8968</v>
      </c>
      <c r="B4694" s="26" t="s">
        <v>9492</v>
      </c>
      <c r="C4694" s="26" t="s">
        <v>8</v>
      </c>
      <c r="D4694" s="28" t="s">
        <v>9493</v>
      </c>
      <c r="E4694" s="26">
        <v>0.51</v>
      </c>
      <c r="F4694" s="29" t="s">
        <v>8985</v>
      </c>
    </row>
    <row r="4695" spans="1:6" ht="43.5" x14ac:dyDescent="0.35">
      <c r="A4695" s="26" t="s">
        <v>8968</v>
      </c>
      <c r="B4695" s="26" t="s">
        <v>9494</v>
      </c>
      <c r="C4695" s="26" t="s">
        <v>2</v>
      </c>
      <c r="D4695" s="28" t="s">
        <v>9495</v>
      </c>
      <c r="E4695" s="26">
        <v>29778</v>
      </c>
      <c r="F4695" s="29" t="s">
        <v>8988</v>
      </c>
    </row>
    <row r="4696" spans="1:6" ht="43.5" x14ac:dyDescent="0.35">
      <c r="A4696" s="26" t="s">
        <v>8968</v>
      </c>
      <c r="B4696" s="26" t="s">
        <v>724</v>
      </c>
      <c r="C4696" s="26" t="s">
        <v>6</v>
      </c>
      <c r="D4696" s="28" t="s">
        <v>9496</v>
      </c>
      <c r="E4696" s="26">
        <v>0</v>
      </c>
      <c r="F4696" s="29" t="s">
        <v>8970</v>
      </c>
    </row>
    <row r="4697" spans="1:6" ht="29" x14ac:dyDescent="0.35">
      <c r="A4697" s="26" t="s">
        <v>8968</v>
      </c>
      <c r="B4697" s="26" t="s">
        <v>9497</v>
      </c>
      <c r="C4697" s="26" t="s">
        <v>3</v>
      </c>
      <c r="D4697" s="28" t="s">
        <v>9498</v>
      </c>
      <c r="E4697" s="26">
        <v>0</v>
      </c>
      <c r="F4697" s="29" t="s">
        <v>8973</v>
      </c>
    </row>
    <row r="4698" spans="1:6" ht="43.5" x14ac:dyDescent="0.35">
      <c r="A4698" s="26" t="s">
        <v>8968</v>
      </c>
      <c r="B4698" s="26" t="s">
        <v>726</v>
      </c>
      <c r="C4698" s="26" t="s">
        <v>5</v>
      </c>
      <c r="D4698" s="28" t="s">
        <v>9499</v>
      </c>
      <c r="E4698" s="26">
        <v>0.74</v>
      </c>
      <c r="F4698" s="29" t="s">
        <v>8975</v>
      </c>
    </row>
    <row r="4699" spans="1:6" ht="43.5" x14ac:dyDescent="0.35">
      <c r="A4699" s="26" t="s">
        <v>8968</v>
      </c>
      <c r="B4699" s="26" t="s">
        <v>9500</v>
      </c>
      <c r="C4699" s="26" t="s">
        <v>1</v>
      </c>
      <c r="D4699" s="28" t="s">
        <v>9501</v>
      </c>
      <c r="E4699" s="26">
        <v>0</v>
      </c>
      <c r="F4699" s="29" t="s">
        <v>8978</v>
      </c>
    </row>
    <row r="4700" spans="1:6" ht="43.5" x14ac:dyDescent="0.35">
      <c r="A4700" s="26" t="s">
        <v>8968</v>
      </c>
      <c r="B4700" s="26" t="s">
        <v>9502</v>
      </c>
      <c r="C4700" s="26" t="s">
        <v>7</v>
      </c>
      <c r="D4700" s="28" t="s">
        <v>9503</v>
      </c>
      <c r="E4700" s="26">
        <v>0</v>
      </c>
      <c r="F4700" s="29" t="s">
        <v>8981</v>
      </c>
    </row>
    <row r="4701" spans="1:6" ht="29" x14ac:dyDescent="0.35">
      <c r="A4701" s="26" t="s">
        <v>8968</v>
      </c>
      <c r="B4701" s="26" t="s">
        <v>728</v>
      </c>
      <c r="C4701" s="26" t="s">
        <v>4</v>
      </c>
      <c r="D4701" s="28" t="s">
        <v>9504</v>
      </c>
      <c r="E4701" s="26">
        <v>0</v>
      </c>
      <c r="F4701" s="29" t="s">
        <v>8983</v>
      </c>
    </row>
    <row r="4702" spans="1:6" ht="43.5" x14ac:dyDescent="0.35">
      <c r="A4702" s="26" t="s">
        <v>8968</v>
      </c>
      <c r="B4702" s="26" t="s">
        <v>9505</v>
      </c>
      <c r="C4702" s="26" t="s">
        <v>8</v>
      </c>
      <c r="D4702" s="28" t="s">
        <v>9506</v>
      </c>
      <c r="E4702" s="26">
        <v>0.51</v>
      </c>
      <c r="F4702" s="29" t="s">
        <v>8985</v>
      </c>
    </row>
    <row r="4703" spans="1:6" ht="43.5" x14ac:dyDescent="0.35">
      <c r="A4703" s="26" t="s">
        <v>8968</v>
      </c>
      <c r="B4703" s="26" t="s">
        <v>9507</v>
      </c>
      <c r="C4703" s="26" t="s">
        <v>2</v>
      </c>
      <c r="D4703" s="28" t="s">
        <v>9508</v>
      </c>
      <c r="E4703" s="26">
        <v>29778</v>
      </c>
      <c r="F4703" s="29" t="s">
        <v>8988</v>
      </c>
    </row>
    <row r="4704" spans="1:6" ht="43.5" x14ac:dyDescent="0.35">
      <c r="A4704" s="26" t="s">
        <v>8968</v>
      </c>
      <c r="B4704" s="26" t="s">
        <v>736</v>
      </c>
      <c r="C4704" s="26" t="s">
        <v>6</v>
      </c>
      <c r="D4704" s="28" t="s">
        <v>9509</v>
      </c>
      <c r="E4704" s="26">
        <v>0</v>
      </c>
      <c r="F4704" s="29" t="s">
        <v>8970</v>
      </c>
    </row>
    <row r="4705" spans="1:6" ht="29" x14ac:dyDescent="0.35">
      <c r="A4705" s="26" t="s">
        <v>8968</v>
      </c>
      <c r="B4705" s="26" t="s">
        <v>9510</v>
      </c>
      <c r="C4705" s="26" t="s">
        <v>3</v>
      </c>
      <c r="D4705" s="28" t="s">
        <v>9511</v>
      </c>
      <c r="E4705" s="26">
        <v>0</v>
      </c>
      <c r="F4705" s="29" t="s">
        <v>8973</v>
      </c>
    </row>
    <row r="4706" spans="1:6" ht="43.5" x14ac:dyDescent="0.35">
      <c r="A4706" s="26" t="s">
        <v>8968</v>
      </c>
      <c r="B4706" s="26" t="s">
        <v>738</v>
      </c>
      <c r="C4706" s="26" t="s">
        <v>5</v>
      </c>
      <c r="D4706" s="28" t="s">
        <v>9512</v>
      </c>
      <c r="E4706" s="26">
        <v>0.74</v>
      </c>
      <c r="F4706" s="29" t="s">
        <v>8975</v>
      </c>
    </row>
    <row r="4707" spans="1:6" ht="43.5" x14ac:dyDescent="0.35">
      <c r="A4707" s="26" t="s">
        <v>8968</v>
      </c>
      <c r="B4707" s="26" t="s">
        <v>9513</v>
      </c>
      <c r="C4707" s="26" t="s">
        <v>1</v>
      </c>
      <c r="D4707" s="28" t="s">
        <v>9514</v>
      </c>
      <c r="E4707" s="26">
        <v>0</v>
      </c>
      <c r="F4707" s="29" t="s">
        <v>8978</v>
      </c>
    </row>
    <row r="4708" spans="1:6" ht="43.5" x14ac:dyDescent="0.35">
      <c r="A4708" s="26" t="s">
        <v>8968</v>
      </c>
      <c r="B4708" s="26" t="s">
        <v>9515</v>
      </c>
      <c r="C4708" s="26" t="s">
        <v>7</v>
      </c>
      <c r="D4708" s="28" t="s">
        <v>9516</v>
      </c>
      <c r="E4708" s="26">
        <v>0</v>
      </c>
      <c r="F4708" s="29" t="s">
        <v>8981</v>
      </c>
    </row>
    <row r="4709" spans="1:6" ht="29" x14ac:dyDescent="0.35">
      <c r="A4709" s="26" t="s">
        <v>8968</v>
      </c>
      <c r="B4709" s="26" t="s">
        <v>740</v>
      </c>
      <c r="C4709" s="26" t="s">
        <v>4</v>
      </c>
      <c r="D4709" s="28" t="s">
        <v>9517</v>
      </c>
      <c r="E4709" s="26">
        <v>0</v>
      </c>
      <c r="F4709" s="29" t="s">
        <v>8983</v>
      </c>
    </row>
    <row r="4710" spans="1:6" ht="43.5" x14ac:dyDescent="0.35">
      <c r="A4710" s="26" t="s">
        <v>8968</v>
      </c>
      <c r="B4710" s="26" t="s">
        <v>9518</v>
      </c>
      <c r="C4710" s="26" t="s">
        <v>8</v>
      </c>
      <c r="D4710" s="28" t="s">
        <v>9519</v>
      </c>
      <c r="E4710" s="26">
        <v>0.51</v>
      </c>
      <c r="F4710" s="29" t="s">
        <v>8985</v>
      </c>
    </row>
    <row r="4711" spans="1:6" ht="43.5" x14ac:dyDescent="0.35">
      <c r="A4711" s="26" t="s">
        <v>8968</v>
      </c>
      <c r="B4711" s="26" t="s">
        <v>9520</v>
      </c>
      <c r="C4711" s="26" t="s">
        <v>2</v>
      </c>
      <c r="D4711" s="28" t="s">
        <v>9521</v>
      </c>
      <c r="E4711" s="26">
        <v>29778</v>
      </c>
      <c r="F4711" s="29" t="s">
        <v>8988</v>
      </c>
    </row>
    <row r="4712" spans="1:6" ht="43.5" x14ac:dyDescent="0.35">
      <c r="A4712" s="26" t="s">
        <v>8968</v>
      </c>
      <c r="B4712" s="26" t="s">
        <v>748</v>
      </c>
      <c r="C4712" s="26" t="s">
        <v>6</v>
      </c>
      <c r="D4712" s="28" t="s">
        <v>9522</v>
      </c>
      <c r="E4712" s="26">
        <v>0</v>
      </c>
      <c r="F4712" s="29" t="s">
        <v>8970</v>
      </c>
    </row>
    <row r="4713" spans="1:6" ht="29" x14ac:dyDescent="0.35">
      <c r="A4713" s="26" t="s">
        <v>8968</v>
      </c>
      <c r="B4713" s="26" t="s">
        <v>9523</v>
      </c>
      <c r="C4713" s="26" t="s">
        <v>3</v>
      </c>
      <c r="D4713" s="28" t="s">
        <v>9524</v>
      </c>
      <c r="E4713" s="26">
        <v>0</v>
      </c>
      <c r="F4713" s="29" t="s">
        <v>8973</v>
      </c>
    </row>
    <row r="4714" spans="1:6" ht="43.5" x14ac:dyDescent="0.35">
      <c r="A4714" s="26" t="s">
        <v>8968</v>
      </c>
      <c r="B4714" s="26" t="s">
        <v>750</v>
      </c>
      <c r="C4714" s="26" t="s">
        <v>5</v>
      </c>
      <c r="D4714" s="28" t="s">
        <v>9525</v>
      </c>
      <c r="E4714" s="26">
        <v>0.74</v>
      </c>
      <c r="F4714" s="29" t="s">
        <v>8975</v>
      </c>
    </row>
    <row r="4715" spans="1:6" ht="43.5" x14ac:dyDescent="0.35">
      <c r="A4715" s="26" t="s">
        <v>8968</v>
      </c>
      <c r="B4715" s="26" t="s">
        <v>9526</v>
      </c>
      <c r="C4715" s="26" t="s">
        <v>1</v>
      </c>
      <c r="D4715" s="28" t="s">
        <v>9527</v>
      </c>
      <c r="E4715" s="26">
        <v>0</v>
      </c>
      <c r="F4715" s="29" t="s">
        <v>8978</v>
      </c>
    </row>
    <row r="4716" spans="1:6" ht="43.5" x14ac:dyDescent="0.35">
      <c r="A4716" s="26" t="s">
        <v>8968</v>
      </c>
      <c r="B4716" s="26" t="s">
        <v>9528</v>
      </c>
      <c r="C4716" s="26" t="s">
        <v>7</v>
      </c>
      <c r="D4716" s="28" t="s">
        <v>9529</v>
      </c>
      <c r="E4716" s="26">
        <v>0</v>
      </c>
      <c r="F4716" s="29" t="s">
        <v>8981</v>
      </c>
    </row>
    <row r="4717" spans="1:6" ht="29" x14ac:dyDescent="0.35">
      <c r="A4717" s="26" t="s">
        <v>8968</v>
      </c>
      <c r="B4717" s="26" t="s">
        <v>752</v>
      </c>
      <c r="C4717" s="26" t="s">
        <v>4</v>
      </c>
      <c r="D4717" s="28" t="s">
        <v>9530</v>
      </c>
      <c r="E4717" s="26">
        <v>0</v>
      </c>
      <c r="F4717" s="29" t="s">
        <v>8983</v>
      </c>
    </row>
    <row r="4718" spans="1:6" ht="43.5" x14ac:dyDescent="0.35">
      <c r="A4718" s="26" t="s">
        <v>8968</v>
      </c>
      <c r="B4718" s="26" t="s">
        <v>9531</v>
      </c>
      <c r="C4718" s="26" t="s">
        <v>8</v>
      </c>
      <c r="D4718" s="28" t="s">
        <v>9532</v>
      </c>
      <c r="E4718" s="26">
        <v>0.51</v>
      </c>
      <c r="F4718" s="29" t="s">
        <v>8985</v>
      </c>
    </row>
    <row r="4719" spans="1:6" ht="43.5" x14ac:dyDescent="0.35">
      <c r="A4719" s="26" t="s">
        <v>8968</v>
      </c>
      <c r="B4719" s="26" t="s">
        <v>9533</v>
      </c>
      <c r="C4719" s="26" t="s">
        <v>2</v>
      </c>
      <c r="D4719" s="28" t="s">
        <v>9534</v>
      </c>
      <c r="E4719" s="26">
        <v>29778</v>
      </c>
      <c r="F4719" s="29" t="s">
        <v>8988</v>
      </c>
    </row>
    <row r="4720" spans="1:6" ht="43.5" x14ac:dyDescent="0.35">
      <c r="A4720" s="26" t="s">
        <v>8968</v>
      </c>
      <c r="B4720" s="26" t="s">
        <v>760</v>
      </c>
      <c r="C4720" s="26" t="s">
        <v>6</v>
      </c>
      <c r="D4720" s="28" t="s">
        <v>9535</v>
      </c>
      <c r="E4720" s="26">
        <v>0</v>
      </c>
      <c r="F4720" s="29" t="s">
        <v>8970</v>
      </c>
    </row>
    <row r="4721" spans="1:6" ht="29" x14ac:dyDescent="0.35">
      <c r="A4721" s="26" t="s">
        <v>8968</v>
      </c>
      <c r="B4721" s="26" t="s">
        <v>9536</v>
      </c>
      <c r="C4721" s="26" t="s">
        <v>3</v>
      </c>
      <c r="D4721" s="28" t="s">
        <v>9537</v>
      </c>
      <c r="E4721" s="26">
        <v>0</v>
      </c>
      <c r="F4721" s="29" t="s">
        <v>8973</v>
      </c>
    </row>
    <row r="4722" spans="1:6" ht="43.5" x14ac:dyDescent="0.35">
      <c r="A4722" s="26" t="s">
        <v>8968</v>
      </c>
      <c r="B4722" s="26" t="s">
        <v>762</v>
      </c>
      <c r="C4722" s="26" t="s">
        <v>5</v>
      </c>
      <c r="D4722" s="28" t="s">
        <v>9538</v>
      </c>
      <c r="E4722" s="26">
        <v>0.74</v>
      </c>
      <c r="F4722" s="29" t="s">
        <v>8975</v>
      </c>
    </row>
    <row r="4723" spans="1:6" ht="43.5" x14ac:dyDescent="0.35">
      <c r="A4723" s="26" t="s">
        <v>8968</v>
      </c>
      <c r="B4723" s="26" t="s">
        <v>9539</v>
      </c>
      <c r="C4723" s="26" t="s">
        <v>1</v>
      </c>
      <c r="D4723" s="28" t="s">
        <v>9540</v>
      </c>
      <c r="E4723" s="26">
        <v>0</v>
      </c>
      <c r="F4723" s="29" t="s">
        <v>8978</v>
      </c>
    </row>
    <row r="4724" spans="1:6" ht="43.5" x14ac:dyDescent="0.35">
      <c r="A4724" s="26" t="s">
        <v>8968</v>
      </c>
      <c r="B4724" s="26" t="s">
        <v>9541</v>
      </c>
      <c r="C4724" s="26" t="s">
        <v>7</v>
      </c>
      <c r="D4724" s="28" t="s">
        <v>9542</v>
      </c>
      <c r="E4724" s="26">
        <v>0</v>
      </c>
      <c r="F4724" s="29" t="s">
        <v>8981</v>
      </c>
    </row>
    <row r="4725" spans="1:6" ht="29" x14ac:dyDescent="0.35">
      <c r="A4725" s="26" t="s">
        <v>8968</v>
      </c>
      <c r="B4725" s="26" t="s">
        <v>764</v>
      </c>
      <c r="C4725" s="26" t="s">
        <v>4</v>
      </c>
      <c r="D4725" s="28" t="s">
        <v>9543</v>
      </c>
      <c r="E4725" s="26">
        <v>0</v>
      </c>
      <c r="F4725" s="29" t="s">
        <v>8983</v>
      </c>
    </row>
    <row r="4726" spans="1:6" ht="43.5" x14ac:dyDescent="0.35">
      <c r="A4726" s="26" t="s">
        <v>8968</v>
      </c>
      <c r="B4726" s="26" t="s">
        <v>9544</v>
      </c>
      <c r="C4726" s="26" t="s">
        <v>8</v>
      </c>
      <c r="D4726" s="28" t="s">
        <v>9545</v>
      </c>
      <c r="E4726" s="26">
        <v>0.51</v>
      </c>
      <c r="F4726" s="29" t="s">
        <v>8985</v>
      </c>
    </row>
    <row r="4727" spans="1:6" ht="43.5" x14ac:dyDescent="0.35">
      <c r="A4727" s="26" t="s">
        <v>8968</v>
      </c>
      <c r="B4727" s="26" t="s">
        <v>9546</v>
      </c>
      <c r="C4727" s="26" t="s">
        <v>2</v>
      </c>
      <c r="D4727" s="28" t="s">
        <v>9547</v>
      </c>
      <c r="E4727" s="26">
        <v>29778</v>
      </c>
      <c r="F4727" s="29" t="s">
        <v>8988</v>
      </c>
    </row>
    <row r="4728" spans="1:6" ht="43.5" x14ac:dyDescent="0.35">
      <c r="A4728" s="26" t="s">
        <v>8968</v>
      </c>
      <c r="B4728" s="26" t="s">
        <v>772</v>
      </c>
      <c r="C4728" s="26" t="s">
        <v>6</v>
      </c>
      <c r="D4728" s="28" t="s">
        <v>9548</v>
      </c>
      <c r="E4728" s="26">
        <v>0</v>
      </c>
      <c r="F4728" s="29" t="s">
        <v>8970</v>
      </c>
    </row>
    <row r="4729" spans="1:6" ht="29" x14ac:dyDescent="0.35">
      <c r="A4729" s="26" t="s">
        <v>8968</v>
      </c>
      <c r="B4729" s="26" t="s">
        <v>9549</v>
      </c>
      <c r="C4729" s="26" t="s">
        <v>3</v>
      </c>
      <c r="D4729" s="28" t="s">
        <v>9550</v>
      </c>
      <c r="E4729" s="26">
        <v>0</v>
      </c>
      <c r="F4729" s="29" t="s">
        <v>8973</v>
      </c>
    </row>
    <row r="4730" spans="1:6" ht="43.5" x14ac:dyDescent="0.35">
      <c r="A4730" s="26" t="s">
        <v>8968</v>
      </c>
      <c r="B4730" s="26" t="s">
        <v>774</v>
      </c>
      <c r="C4730" s="26" t="s">
        <v>5</v>
      </c>
      <c r="D4730" s="28" t="s">
        <v>9551</v>
      </c>
      <c r="E4730" s="26">
        <v>0.74</v>
      </c>
      <c r="F4730" s="29" t="s">
        <v>8975</v>
      </c>
    </row>
    <row r="4731" spans="1:6" ht="43.5" x14ac:dyDescent="0.35">
      <c r="A4731" s="26" t="s">
        <v>8968</v>
      </c>
      <c r="B4731" s="26" t="s">
        <v>9552</v>
      </c>
      <c r="C4731" s="26" t="s">
        <v>1</v>
      </c>
      <c r="D4731" s="28" t="s">
        <v>9553</v>
      </c>
      <c r="E4731" s="26">
        <v>0</v>
      </c>
      <c r="F4731" s="29" t="s">
        <v>8978</v>
      </c>
    </row>
    <row r="4732" spans="1:6" ht="43.5" x14ac:dyDescent="0.35">
      <c r="A4732" s="26" t="s">
        <v>8968</v>
      </c>
      <c r="B4732" s="26" t="s">
        <v>9554</v>
      </c>
      <c r="C4732" s="26" t="s">
        <v>7</v>
      </c>
      <c r="D4732" s="28" t="s">
        <v>9555</v>
      </c>
      <c r="E4732" s="26">
        <v>0</v>
      </c>
      <c r="F4732" s="29" t="s">
        <v>8981</v>
      </c>
    </row>
    <row r="4733" spans="1:6" ht="29" x14ac:dyDescent="0.35">
      <c r="A4733" s="26" t="s">
        <v>8968</v>
      </c>
      <c r="B4733" s="26" t="s">
        <v>776</v>
      </c>
      <c r="C4733" s="26" t="s">
        <v>4</v>
      </c>
      <c r="D4733" s="28" t="s">
        <v>9556</v>
      </c>
      <c r="E4733" s="26">
        <v>0</v>
      </c>
      <c r="F4733" s="29" t="s">
        <v>8983</v>
      </c>
    </row>
    <row r="4734" spans="1:6" ht="43.5" x14ac:dyDescent="0.35">
      <c r="A4734" s="26" t="s">
        <v>8968</v>
      </c>
      <c r="B4734" s="26" t="s">
        <v>9557</v>
      </c>
      <c r="C4734" s="26" t="s">
        <v>8</v>
      </c>
      <c r="D4734" s="28" t="s">
        <v>9558</v>
      </c>
      <c r="E4734" s="26">
        <v>0.51</v>
      </c>
      <c r="F4734" s="29" t="s">
        <v>8985</v>
      </c>
    </row>
    <row r="4735" spans="1:6" ht="43.5" x14ac:dyDescent="0.35">
      <c r="A4735" s="26" t="s">
        <v>8968</v>
      </c>
      <c r="B4735" s="26" t="s">
        <v>9559</v>
      </c>
      <c r="C4735" s="26" t="s">
        <v>2</v>
      </c>
      <c r="D4735" s="28" t="s">
        <v>9560</v>
      </c>
      <c r="E4735" s="26">
        <v>29778</v>
      </c>
      <c r="F4735" s="29" t="s">
        <v>8988</v>
      </c>
    </row>
    <row r="4736" spans="1:6" ht="43.5" x14ac:dyDescent="0.35">
      <c r="A4736" s="26" t="s">
        <v>8968</v>
      </c>
      <c r="B4736" s="26" t="s">
        <v>784</v>
      </c>
      <c r="C4736" s="26" t="s">
        <v>6</v>
      </c>
      <c r="D4736" s="28" t="s">
        <v>9561</v>
      </c>
      <c r="E4736" s="26">
        <v>0</v>
      </c>
      <c r="F4736" s="29" t="s">
        <v>8970</v>
      </c>
    </row>
    <row r="4737" spans="1:6" ht="29" x14ac:dyDescent="0.35">
      <c r="A4737" s="26" t="s">
        <v>8968</v>
      </c>
      <c r="B4737" s="26" t="s">
        <v>9562</v>
      </c>
      <c r="C4737" s="26" t="s">
        <v>3</v>
      </c>
      <c r="D4737" s="28" t="s">
        <v>9563</v>
      </c>
      <c r="E4737" s="26">
        <v>0</v>
      </c>
      <c r="F4737" s="29" t="s">
        <v>8973</v>
      </c>
    </row>
    <row r="4738" spans="1:6" ht="43.5" x14ac:dyDescent="0.35">
      <c r="A4738" s="26" t="s">
        <v>8968</v>
      </c>
      <c r="B4738" s="26" t="s">
        <v>786</v>
      </c>
      <c r="C4738" s="26" t="s">
        <v>5</v>
      </c>
      <c r="D4738" s="28" t="s">
        <v>9564</v>
      </c>
      <c r="E4738" s="26">
        <v>0.74</v>
      </c>
      <c r="F4738" s="29" t="s">
        <v>8975</v>
      </c>
    </row>
    <row r="4739" spans="1:6" ht="43.5" x14ac:dyDescent="0.35">
      <c r="A4739" s="26" t="s">
        <v>8968</v>
      </c>
      <c r="B4739" s="26" t="s">
        <v>9565</v>
      </c>
      <c r="C4739" s="26" t="s">
        <v>1</v>
      </c>
      <c r="D4739" s="28" t="s">
        <v>9566</v>
      </c>
      <c r="E4739" s="26">
        <v>0</v>
      </c>
      <c r="F4739" s="29" t="s">
        <v>8978</v>
      </c>
    </row>
    <row r="4740" spans="1:6" ht="43.5" x14ac:dyDescent="0.35">
      <c r="A4740" s="26" t="s">
        <v>8968</v>
      </c>
      <c r="B4740" s="26" t="s">
        <v>9567</v>
      </c>
      <c r="C4740" s="26" t="s">
        <v>7</v>
      </c>
      <c r="D4740" s="28" t="s">
        <v>9568</v>
      </c>
      <c r="E4740" s="26">
        <v>0</v>
      </c>
      <c r="F4740" s="29" t="s">
        <v>8981</v>
      </c>
    </row>
    <row r="4741" spans="1:6" ht="29" x14ac:dyDescent="0.35">
      <c r="A4741" s="26" t="s">
        <v>8968</v>
      </c>
      <c r="B4741" s="26" t="s">
        <v>788</v>
      </c>
      <c r="C4741" s="26" t="s">
        <v>4</v>
      </c>
      <c r="D4741" s="28" t="s">
        <v>9569</v>
      </c>
      <c r="E4741" s="26">
        <v>0</v>
      </c>
      <c r="F4741" s="29" t="s">
        <v>8983</v>
      </c>
    </row>
    <row r="4742" spans="1:6" ht="43.5" x14ac:dyDescent="0.35">
      <c r="A4742" s="26" t="s">
        <v>8968</v>
      </c>
      <c r="B4742" s="26" t="s">
        <v>9570</v>
      </c>
      <c r="C4742" s="26" t="s">
        <v>8</v>
      </c>
      <c r="D4742" s="28" t="s">
        <v>9571</v>
      </c>
      <c r="E4742" s="26">
        <v>0.51</v>
      </c>
      <c r="F4742" s="29" t="s">
        <v>8985</v>
      </c>
    </row>
    <row r="4743" spans="1:6" ht="43.5" x14ac:dyDescent="0.35">
      <c r="A4743" s="26" t="s">
        <v>8968</v>
      </c>
      <c r="B4743" s="26" t="s">
        <v>9572</v>
      </c>
      <c r="C4743" s="26" t="s">
        <v>2</v>
      </c>
      <c r="D4743" s="28" t="s">
        <v>9573</v>
      </c>
      <c r="E4743" s="26">
        <v>29778</v>
      </c>
      <c r="F4743" s="29" t="s">
        <v>8988</v>
      </c>
    </row>
    <row r="4744" spans="1:6" ht="43.5" x14ac:dyDescent="0.35">
      <c r="A4744" s="26" t="s">
        <v>8968</v>
      </c>
      <c r="B4744" s="26" t="s">
        <v>796</v>
      </c>
      <c r="C4744" s="26" t="s">
        <v>6</v>
      </c>
      <c r="D4744" s="28" t="s">
        <v>9574</v>
      </c>
      <c r="E4744" s="26">
        <v>0</v>
      </c>
      <c r="F4744" s="29" t="s">
        <v>8970</v>
      </c>
    </row>
    <row r="4745" spans="1:6" ht="29" x14ac:dyDescent="0.35">
      <c r="A4745" s="26" t="s">
        <v>8968</v>
      </c>
      <c r="B4745" s="26" t="s">
        <v>9575</v>
      </c>
      <c r="C4745" s="26" t="s">
        <v>3</v>
      </c>
      <c r="D4745" s="28" t="s">
        <v>9576</v>
      </c>
      <c r="E4745" s="26">
        <v>0</v>
      </c>
      <c r="F4745" s="29" t="s">
        <v>8973</v>
      </c>
    </row>
    <row r="4746" spans="1:6" ht="43.5" x14ac:dyDescent="0.35">
      <c r="A4746" s="26" t="s">
        <v>8968</v>
      </c>
      <c r="B4746" s="26" t="s">
        <v>798</v>
      </c>
      <c r="C4746" s="26" t="s">
        <v>5</v>
      </c>
      <c r="D4746" s="28" t="s">
        <v>9577</v>
      </c>
      <c r="E4746" s="26">
        <v>0.74</v>
      </c>
      <c r="F4746" s="29" t="s">
        <v>8975</v>
      </c>
    </row>
    <row r="4747" spans="1:6" ht="43.5" x14ac:dyDescent="0.35">
      <c r="A4747" s="26" t="s">
        <v>8968</v>
      </c>
      <c r="B4747" s="26" t="s">
        <v>9578</v>
      </c>
      <c r="C4747" s="26" t="s">
        <v>1</v>
      </c>
      <c r="D4747" s="28" t="s">
        <v>9579</v>
      </c>
      <c r="E4747" s="26">
        <v>0</v>
      </c>
      <c r="F4747" s="29" t="s">
        <v>8978</v>
      </c>
    </row>
    <row r="4748" spans="1:6" ht="43.5" x14ac:dyDescent="0.35">
      <c r="A4748" s="26" t="s">
        <v>8968</v>
      </c>
      <c r="B4748" s="26" t="s">
        <v>9580</v>
      </c>
      <c r="C4748" s="26" t="s">
        <v>7</v>
      </c>
      <c r="D4748" s="28" t="s">
        <v>9581</v>
      </c>
      <c r="E4748" s="26">
        <v>0</v>
      </c>
      <c r="F4748" s="29" t="s">
        <v>8981</v>
      </c>
    </row>
    <row r="4749" spans="1:6" ht="29" x14ac:dyDescent="0.35">
      <c r="A4749" s="26" t="s">
        <v>8968</v>
      </c>
      <c r="B4749" s="26" t="s">
        <v>800</v>
      </c>
      <c r="C4749" s="26" t="s">
        <v>4</v>
      </c>
      <c r="D4749" s="28" t="s">
        <v>9582</v>
      </c>
      <c r="E4749" s="26">
        <v>0</v>
      </c>
      <c r="F4749" s="29" t="s">
        <v>8983</v>
      </c>
    </row>
    <row r="4750" spans="1:6" ht="43.5" x14ac:dyDescent="0.35">
      <c r="A4750" s="26" t="s">
        <v>8968</v>
      </c>
      <c r="B4750" s="26" t="s">
        <v>9583</v>
      </c>
      <c r="C4750" s="26" t="s">
        <v>8</v>
      </c>
      <c r="D4750" s="28" t="s">
        <v>9584</v>
      </c>
      <c r="E4750" s="26">
        <v>0.51</v>
      </c>
      <c r="F4750" s="29" t="s">
        <v>8985</v>
      </c>
    </row>
    <row r="4751" spans="1:6" ht="43.5" x14ac:dyDescent="0.35">
      <c r="A4751" s="26" t="s">
        <v>8968</v>
      </c>
      <c r="B4751" s="26" t="s">
        <v>9585</v>
      </c>
      <c r="C4751" s="26" t="s">
        <v>2</v>
      </c>
      <c r="D4751" s="28" t="s">
        <v>9586</v>
      </c>
      <c r="E4751" s="26">
        <v>29778</v>
      </c>
      <c r="F4751" s="29" t="s">
        <v>8988</v>
      </c>
    </row>
    <row r="4752" spans="1:6" ht="43.5" x14ac:dyDescent="0.35">
      <c r="A4752" s="26" t="s">
        <v>8968</v>
      </c>
      <c r="B4752" s="26" t="s">
        <v>808</v>
      </c>
      <c r="C4752" s="26" t="s">
        <v>6</v>
      </c>
      <c r="D4752" s="28" t="s">
        <v>9587</v>
      </c>
      <c r="E4752" s="26">
        <v>0</v>
      </c>
      <c r="F4752" s="29" t="s">
        <v>8970</v>
      </c>
    </row>
    <row r="4753" spans="1:6" ht="29" x14ac:dyDescent="0.35">
      <c r="A4753" s="26" t="s">
        <v>8968</v>
      </c>
      <c r="B4753" s="26" t="s">
        <v>9588</v>
      </c>
      <c r="C4753" s="26" t="s">
        <v>3</v>
      </c>
      <c r="D4753" s="28" t="s">
        <v>9589</v>
      </c>
      <c r="E4753" s="26">
        <v>0</v>
      </c>
      <c r="F4753" s="29" t="s">
        <v>8973</v>
      </c>
    </row>
    <row r="4754" spans="1:6" ht="43.5" x14ac:dyDescent="0.35">
      <c r="A4754" s="26" t="s">
        <v>8968</v>
      </c>
      <c r="B4754" s="26" t="s">
        <v>810</v>
      </c>
      <c r="C4754" s="26" t="s">
        <v>5</v>
      </c>
      <c r="D4754" s="28" t="s">
        <v>9590</v>
      </c>
      <c r="E4754" s="26">
        <v>0.74</v>
      </c>
      <c r="F4754" s="29" t="s">
        <v>8975</v>
      </c>
    </row>
    <row r="4755" spans="1:6" ht="43.5" x14ac:dyDescent="0.35">
      <c r="A4755" s="26" t="s">
        <v>8968</v>
      </c>
      <c r="B4755" s="26" t="s">
        <v>9591</v>
      </c>
      <c r="C4755" s="26" t="s">
        <v>1</v>
      </c>
      <c r="D4755" s="28" t="s">
        <v>9592</v>
      </c>
      <c r="E4755" s="26">
        <v>0</v>
      </c>
      <c r="F4755" s="29" t="s">
        <v>8978</v>
      </c>
    </row>
    <row r="4756" spans="1:6" ht="43.5" x14ac:dyDescent="0.35">
      <c r="A4756" s="26" t="s">
        <v>8968</v>
      </c>
      <c r="B4756" s="26" t="s">
        <v>9593</v>
      </c>
      <c r="C4756" s="26" t="s">
        <v>7</v>
      </c>
      <c r="D4756" s="28" t="s">
        <v>9594</v>
      </c>
      <c r="E4756" s="26">
        <v>0</v>
      </c>
      <c r="F4756" s="29" t="s">
        <v>8981</v>
      </c>
    </row>
    <row r="4757" spans="1:6" ht="29" x14ac:dyDescent="0.35">
      <c r="A4757" s="26" t="s">
        <v>8968</v>
      </c>
      <c r="B4757" s="26" t="s">
        <v>812</v>
      </c>
      <c r="C4757" s="26" t="s">
        <v>4</v>
      </c>
      <c r="D4757" s="28" t="s">
        <v>9595</v>
      </c>
      <c r="E4757" s="26">
        <v>0</v>
      </c>
      <c r="F4757" s="29" t="s">
        <v>8983</v>
      </c>
    </row>
    <row r="4758" spans="1:6" ht="43.5" x14ac:dyDescent="0.35">
      <c r="A4758" s="26" t="s">
        <v>8968</v>
      </c>
      <c r="B4758" s="26" t="s">
        <v>9596</v>
      </c>
      <c r="C4758" s="26" t="s">
        <v>8</v>
      </c>
      <c r="D4758" s="28" t="s">
        <v>9597</v>
      </c>
      <c r="E4758" s="26">
        <v>0.51</v>
      </c>
      <c r="F4758" s="29" t="s">
        <v>8985</v>
      </c>
    </row>
    <row r="4759" spans="1:6" ht="43.5" x14ac:dyDescent="0.35">
      <c r="A4759" s="26" t="s">
        <v>8968</v>
      </c>
      <c r="B4759" s="26" t="s">
        <v>9598</v>
      </c>
      <c r="C4759" s="26" t="s">
        <v>2</v>
      </c>
      <c r="D4759" s="28" t="s">
        <v>9599</v>
      </c>
      <c r="E4759" s="26">
        <v>29778</v>
      </c>
      <c r="F4759" s="29" t="s">
        <v>8988</v>
      </c>
    </row>
    <row r="4760" spans="1:6" ht="43.5" x14ac:dyDescent="0.35">
      <c r="A4760" s="26" t="s">
        <v>8968</v>
      </c>
      <c r="B4760" s="26" t="s">
        <v>820</v>
      </c>
      <c r="C4760" s="26" t="s">
        <v>6</v>
      </c>
      <c r="D4760" s="28" t="s">
        <v>9600</v>
      </c>
      <c r="E4760" s="26">
        <v>0</v>
      </c>
      <c r="F4760" s="29" t="s">
        <v>8970</v>
      </c>
    </row>
    <row r="4761" spans="1:6" ht="29" x14ac:dyDescent="0.35">
      <c r="A4761" s="26" t="s">
        <v>8968</v>
      </c>
      <c r="B4761" s="26" t="s">
        <v>9601</v>
      </c>
      <c r="C4761" s="26" t="s">
        <v>3</v>
      </c>
      <c r="D4761" s="28" t="s">
        <v>9602</v>
      </c>
      <c r="E4761" s="26">
        <v>0</v>
      </c>
      <c r="F4761" s="29" t="s">
        <v>8973</v>
      </c>
    </row>
    <row r="4762" spans="1:6" ht="43.5" x14ac:dyDescent="0.35">
      <c r="A4762" s="26" t="s">
        <v>8968</v>
      </c>
      <c r="B4762" s="26" t="s">
        <v>822</v>
      </c>
      <c r="C4762" s="26" t="s">
        <v>5</v>
      </c>
      <c r="D4762" s="28" t="s">
        <v>9603</v>
      </c>
      <c r="E4762" s="26">
        <v>0.74</v>
      </c>
      <c r="F4762" s="29" t="s">
        <v>8975</v>
      </c>
    </row>
    <row r="4763" spans="1:6" ht="43.5" x14ac:dyDescent="0.35">
      <c r="A4763" s="26" t="s">
        <v>8968</v>
      </c>
      <c r="B4763" s="26" t="s">
        <v>9604</v>
      </c>
      <c r="C4763" s="26" t="s">
        <v>1</v>
      </c>
      <c r="D4763" s="28" t="s">
        <v>9605</v>
      </c>
      <c r="E4763" s="26">
        <v>0</v>
      </c>
      <c r="F4763" s="29" t="s">
        <v>8978</v>
      </c>
    </row>
    <row r="4764" spans="1:6" ht="43.5" x14ac:dyDescent="0.35">
      <c r="A4764" s="26" t="s">
        <v>8968</v>
      </c>
      <c r="B4764" s="26" t="s">
        <v>9606</v>
      </c>
      <c r="C4764" s="26" t="s">
        <v>7</v>
      </c>
      <c r="D4764" s="28" t="s">
        <v>9607</v>
      </c>
      <c r="E4764" s="26">
        <v>0</v>
      </c>
      <c r="F4764" s="29" t="s">
        <v>8981</v>
      </c>
    </row>
    <row r="4765" spans="1:6" ht="29" x14ac:dyDescent="0.35">
      <c r="A4765" s="26" t="s">
        <v>8968</v>
      </c>
      <c r="B4765" s="26" t="s">
        <v>824</v>
      </c>
      <c r="C4765" s="26" t="s">
        <v>4</v>
      </c>
      <c r="D4765" s="28" t="s">
        <v>9608</v>
      </c>
      <c r="E4765" s="26">
        <v>0</v>
      </c>
      <c r="F4765" s="29" t="s">
        <v>8983</v>
      </c>
    </row>
    <row r="4766" spans="1:6" ht="43.5" x14ac:dyDescent="0.35">
      <c r="A4766" s="26" t="s">
        <v>8968</v>
      </c>
      <c r="B4766" s="26" t="s">
        <v>9609</v>
      </c>
      <c r="C4766" s="26" t="s">
        <v>8</v>
      </c>
      <c r="D4766" s="28" t="s">
        <v>9610</v>
      </c>
      <c r="E4766" s="26">
        <v>0.51</v>
      </c>
      <c r="F4766" s="29" t="s">
        <v>8985</v>
      </c>
    </row>
    <row r="4767" spans="1:6" ht="43.5" x14ac:dyDescent="0.35">
      <c r="A4767" s="26" t="s">
        <v>8968</v>
      </c>
      <c r="B4767" s="26" t="s">
        <v>9611</v>
      </c>
      <c r="C4767" s="26" t="s">
        <v>2</v>
      </c>
      <c r="D4767" s="28" t="s">
        <v>9612</v>
      </c>
      <c r="E4767" s="26">
        <v>29778</v>
      </c>
      <c r="F4767" s="29" t="s">
        <v>8988</v>
      </c>
    </row>
    <row r="4768" spans="1:6" ht="43.5" x14ac:dyDescent="0.35">
      <c r="A4768" s="26" t="s">
        <v>8968</v>
      </c>
      <c r="B4768" s="26" t="s">
        <v>832</v>
      </c>
      <c r="C4768" s="26" t="s">
        <v>6</v>
      </c>
      <c r="D4768" s="28" t="s">
        <v>9613</v>
      </c>
      <c r="E4768" s="26">
        <v>0</v>
      </c>
      <c r="F4768" s="29" t="s">
        <v>8970</v>
      </c>
    </row>
    <row r="4769" spans="1:6" ht="29" x14ac:dyDescent="0.35">
      <c r="A4769" s="26" t="s">
        <v>8968</v>
      </c>
      <c r="B4769" s="26" t="s">
        <v>9614</v>
      </c>
      <c r="C4769" s="26" t="s">
        <v>3</v>
      </c>
      <c r="D4769" s="28" t="s">
        <v>9615</v>
      </c>
      <c r="E4769" s="26">
        <v>0</v>
      </c>
      <c r="F4769" s="29" t="s">
        <v>8973</v>
      </c>
    </row>
    <row r="4770" spans="1:6" ht="43.5" x14ac:dyDescent="0.35">
      <c r="A4770" s="26" t="s">
        <v>8968</v>
      </c>
      <c r="B4770" s="26" t="s">
        <v>834</v>
      </c>
      <c r="C4770" s="26" t="s">
        <v>5</v>
      </c>
      <c r="D4770" s="28" t="s">
        <v>9616</v>
      </c>
      <c r="E4770" s="26">
        <v>0.74</v>
      </c>
      <c r="F4770" s="29" t="s">
        <v>8975</v>
      </c>
    </row>
    <row r="4771" spans="1:6" ht="43.5" x14ac:dyDescent="0.35">
      <c r="A4771" s="26" t="s">
        <v>8968</v>
      </c>
      <c r="B4771" s="26" t="s">
        <v>9617</v>
      </c>
      <c r="C4771" s="26" t="s">
        <v>1</v>
      </c>
      <c r="D4771" s="28" t="s">
        <v>9618</v>
      </c>
      <c r="E4771" s="26">
        <v>0</v>
      </c>
      <c r="F4771" s="29" t="s">
        <v>8978</v>
      </c>
    </row>
    <row r="4772" spans="1:6" ht="43.5" x14ac:dyDescent="0.35">
      <c r="A4772" s="26" t="s">
        <v>8968</v>
      </c>
      <c r="B4772" s="26" t="s">
        <v>9619</v>
      </c>
      <c r="C4772" s="26" t="s">
        <v>7</v>
      </c>
      <c r="D4772" s="28" t="s">
        <v>9620</v>
      </c>
      <c r="E4772" s="26">
        <v>0</v>
      </c>
      <c r="F4772" s="29" t="s">
        <v>8981</v>
      </c>
    </row>
    <row r="4773" spans="1:6" ht="29" x14ac:dyDescent="0.35">
      <c r="A4773" s="26" t="s">
        <v>8968</v>
      </c>
      <c r="B4773" s="26" t="s">
        <v>836</v>
      </c>
      <c r="C4773" s="26" t="s">
        <v>4</v>
      </c>
      <c r="D4773" s="28" t="s">
        <v>9621</v>
      </c>
      <c r="E4773" s="26">
        <v>0</v>
      </c>
      <c r="F4773" s="29" t="s">
        <v>8983</v>
      </c>
    </row>
    <row r="4774" spans="1:6" ht="43.5" x14ac:dyDescent="0.35">
      <c r="A4774" s="26" t="s">
        <v>8968</v>
      </c>
      <c r="B4774" s="26" t="s">
        <v>9622</v>
      </c>
      <c r="C4774" s="26" t="s">
        <v>8</v>
      </c>
      <c r="D4774" s="28" t="s">
        <v>9623</v>
      </c>
      <c r="E4774" s="26">
        <v>0.51</v>
      </c>
      <c r="F4774" s="29" t="s">
        <v>8985</v>
      </c>
    </row>
    <row r="4775" spans="1:6" ht="43.5" x14ac:dyDescent="0.35">
      <c r="A4775" s="26" t="s">
        <v>8968</v>
      </c>
      <c r="B4775" s="26" t="s">
        <v>9624</v>
      </c>
      <c r="C4775" s="26" t="s">
        <v>2</v>
      </c>
      <c r="D4775" s="28" t="s">
        <v>9625</v>
      </c>
      <c r="E4775" s="26">
        <v>29778</v>
      </c>
      <c r="F4775" s="29" t="s">
        <v>8988</v>
      </c>
    </row>
    <row r="4776" spans="1:6" ht="43.5" x14ac:dyDescent="0.35">
      <c r="A4776" s="26" t="s">
        <v>8968</v>
      </c>
      <c r="B4776" s="26" t="s">
        <v>844</v>
      </c>
      <c r="C4776" s="26" t="s">
        <v>6</v>
      </c>
      <c r="D4776" s="28" t="s">
        <v>9626</v>
      </c>
      <c r="E4776" s="26">
        <v>0</v>
      </c>
      <c r="F4776" s="29" t="s">
        <v>8970</v>
      </c>
    </row>
    <row r="4777" spans="1:6" ht="29" x14ac:dyDescent="0.35">
      <c r="A4777" s="26" t="s">
        <v>8968</v>
      </c>
      <c r="B4777" s="26" t="s">
        <v>9627</v>
      </c>
      <c r="C4777" s="26" t="s">
        <v>3</v>
      </c>
      <c r="D4777" s="28" t="s">
        <v>9628</v>
      </c>
      <c r="E4777" s="26">
        <v>0</v>
      </c>
      <c r="F4777" s="29" t="s">
        <v>8973</v>
      </c>
    </row>
    <row r="4778" spans="1:6" ht="43.5" x14ac:dyDescent="0.35">
      <c r="A4778" s="26" t="s">
        <v>8968</v>
      </c>
      <c r="B4778" s="26" t="s">
        <v>846</v>
      </c>
      <c r="C4778" s="26" t="s">
        <v>5</v>
      </c>
      <c r="D4778" s="28" t="s">
        <v>9629</v>
      </c>
      <c r="E4778" s="26">
        <v>0.74</v>
      </c>
      <c r="F4778" s="29" t="s">
        <v>8975</v>
      </c>
    </row>
    <row r="4779" spans="1:6" ht="43.5" x14ac:dyDescent="0.35">
      <c r="A4779" s="26" t="s">
        <v>8968</v>
      </c>
      <c r="B4779" s="26" t="s">
        <v>9630</v>
      </c>
      <c r="C4779" s="26" t="s">
        <v>1</v>
      </c>
      <c r="D4779" s="28" t="s">
        <v>9631</v>
      </c>
      <c r="E4779" s="26">
        <v>0</v>
      </c>
      <c r="F4779" s="29" t="s">
        <v>8978</v>
      </c>
    </row>
    <row r="4780" spans="1:6" ht="43.5" x14ac:dyDescent="0.35">
      <c r="A4780" s="26" t="s">
        <v>8968</v>
      </c>
      <c r="B4780" s="26" t="s">
        <v>9632</v>
      </c>
      <c r="C4780" s="26" t="s">
        <v>7</v>
      </c>
      <c r="D4780" s="28" t="s">
        <v>9633</v>
      </c>
      <c r="E4780" s="26">
        <v>0</v>
      </c>
      <c r="F4780" s="29" t="s">
        <v>8981</v>
      </c>
    </row>
    <row r="4781" spans="1:6" ht="29" x14ac:dyDescent="0.35">
      <c r="A4781" s="26" t="s">
        <v>8968</v>
      </c>
      <c r="B4781" s="26" t="s">
        <v>848</v>
      </c>
      <c r="C4781" s="26" t="s">
        <v>4</v>
      </c>
      <c r="D4781" s="28" t="s">
        <v>9634</v>
      </c>
      <c r="E4781" s="26">
        <v>0</v>
      </c>
      <c r="F4781" s="29" t="s">
        <v>8983</v>
      </c>
    </row>
    <row r="4782" spans="1:6" ht="43.5" x14ac:dyDescent="0.35">
      <c r="A4782" s="26" t="s">
        <v>8968</v>
      </c>
      <c r="B4782" s="26" t="s">
        <v>9635</v>
      </c>
      <c r="C4782" s="26" t="s">
        <v>8</v>
      </c>
      <c r="D4782" s="28" t="s">
        <v>9636</v>
      </c>
      <c r="E4782" s="26">
        <v>0.51</v>
      </c>
      <c r="F4782" s="29" t="s">
        <v>8985</v>
      </c>
    </row>
    <row r="4783" spans="1:6" ht="43.5" x14ac:dyDescent="0.35">
      <c r="A4783" s="26" t="s">
        <v>8968</v>
      </c>
      <c r="B4783" s="26" t="s">
        <v>9637</v>
      </c>
      <c r="C4783" s="26" t="s">
        <v>2</v>
      </c>
      <c r="D4783" s="28" t="s">
        <v>9638</v>
      </c>
      <c r="E4783" s="26">
        <v>29778</v>
      </c>
      <c r="F4783" s="29" t="s">
        <v>8988</v>
      </c>
    </row>
    <row r="4784" spans="1:6" ht="43.5" x14ac:dyDescent="0.35">
      <c r="A4784" s="26" t="s">
        <v>8968</v>
      </c>
      <c r="B4784" s="26" t="s">
        <v>856</v>
      </c>
      <c r="C4784" s="26" t="s">
        <v>6</v>
      </c>
      <c r="D4784" s="28" t="s">
        <v>9639</v>
      </c>
      <c r="E4784" s="26">
        <v>0</v>
      </c>
      <c r="F4784" s="29" t="s">
        <v>8970</v>
      </c>
    </row>
    <row r="4785" spans="1:6" ht="29" x14ac:dyDescent="0.35">
      <c r="A4785" s="26" t="s">
        <v>8968</v>
      </c>
      <c r="B4785" s="26" t="s">
        <v>9640</v>
      </c>
      <c r="C4785" s="26" t="s">
        <v>3</v>
      </c>
      <c r="D4785" s="28" t="s">
        <v>9641</v>
      </c>
      <c r="E4785" s="26">
        <v>0</v>
      </c>
      <c r="F4785" s="29" t="s">
        <v>8973</v>
      </c>
    </row>
    <row r="4786" spans="1:6" ht="43.5" x14ac:dyDescent="0.35">
      <c r="A4786" s="26" t="s">
        <v>8968</v>
      </c>
      <c r="B4786" s="26" t="s">
        <v>858</v>
      </c>
      <c r="C4786" s="26" t="s">
        <v>5</v>
      </c>
      <c r="D4786" s="28" t="s">
        <v>9642</v>
      </c>
      <c r="E4786" s="26">
        <v>0.74</v>
      </c>
      <c r="F4786" s="29" t="s">
        <v>8975</v>
      </c>
    </row>
    <row r="4787" spans="1:6" ht="43.5" x14ac:dyDescent="0.35">
      <c r="A4787" s="26" t="s">
        <v>8968</v>
      </c>
      <c r="B4787" s="26" t="s">
        <v>9643</v>
      </c>
      <c r="C4787" s="26" t="s">
        <v>1</v>
      </c>
      <c r="D4787" s="28" t="s">
        <v>9644</v>
      </c>
      <c r="E4787" s="26">
        <v>0</v>
      </c>
      <c r="F4787" s="29" t="s">
        <v>8978</v>
      </c>
    </row>
    <row r="4788" spans="1:6" ht="43.5" x14ac:dyDescent="0.35">
      <c r="A4788" s="26" t="s">
        <v>8968</v>
      </c>
      <c r="B4788" s="26" t="s">
        <v>9645</v>
      </c>
      <c r="C4788" s="26" t="s">
        <v>7</v>
      </c>
      <c r="D4788" s="28" t="s">
        <v>9646</v>
      </c>
      <c r="E4788" s="26">
        <v>0</v>
      </c>
      <c r="F4788" s="29" t="s">
        <v>8981</v>
      </c>
    </row>
    <row r="4789" spans="1:6" ht="29" x14ac:dyDescent="0.35">
      <c r="A4789" s="26" t="s">
        <v>8968</v>
      </c>
      <c r="B4789" s="26" t="s">
        <v>860</v>
      </c>
      <c r="C4789" s="26" t="s">
        <v>4</v>
      </c>
      <c r="D4789" s="28" t="s">
        <v>9647</v>
      </c>
      <c r="E4789" s="26">
        <v>0</v>
      </c>
      <c r="F4789" s="29" t="s">
        <v>8983</v>
      </c>
    </row>
    <row r="4790" spans="1:6" ht="43.5" x14ac:dyDescent="0.35">
      <c r="A4790" s="26" t="s">
        <v>8968</v>
      </c>
      <c r="B4790" s="26" t="s">
        <v>9648</v>
      </c>
      <c r="C4790" s="26" t="s">
        <v>8</v>
      </c>
      <c r="D4790" s="28" t="s">
        <v>9649</v>
      </c>
      <c r="E4790" s="26">
        <v>0.51</v>
      </c>
      <c r="F4790" s="29" t="s">
        <v>8985</v>
      </c>
    </row>
    <row r="4791" spans="1:6" ht="43.5" x14ac:dyDescent="0.35">
      <c r="A4791" s="26" t="s">
        <v>8968</v>
      </c>
      <c r="B4791" s="26" t="s">
        <v>9650</v>
      </c>
      <c r="C4791" s="26" t="s">
        <v>2</v>
      </c>
      <c r="D4791" s="28" t="s">
        <v>9651</v>
      </c>
      <c r="E4791" s="26">
        <v>29778</v>
      </c>
      <c r="F4791" s="29" t="s">
        <v>8988</v>
      </c>
    </row>
    <row r="4792" spans="1:6" ht="43.5" x14ac:dyDescent="0.35">
      <c r="A4792" s="26" t="s">
        <v>8968</v>
      </c>
      <c r="B4792" s="26" t="s">
        <v>868</v>
      </c>
      <c r="C4792" s="26" t="s">
        <v>6</v>
      </c>
      <c r="D4792" s="28" t="s">
        <v>9652</v>
      </c>
      <c r="E4792" s="26">
        <v>0</v>
      </c>
      <c r="F4792" s="29" t="s">
        <v>8970</v>
      </c>
    </row>
    <row r="4793" spans="1:6" ht="29" x14ac:dyDescent="0.35">
      <c r="A4793" s="26" t="s">
        <v>8968</v>
      </c>
      <c r="B4793" s="26" t="s">
        <v>9653</v>
      </c>
      <c r="C4793" s="26" t="s">
        <v>3</v>
      </c>
      <c r="D4793" s="28" t="s">
        <v>9654</v>
      </c>
      <c r="E4793" s="26">
        <v>0</v>
      </c>
      <c r="F4793" s="29" t="s">
        <v>8973</v>
      </c>
    </row>
    <row r="4794" spans="1:6" ht="43.5" x14ac:dyDescent="0.35">
      <c r="A4794" s="26" t="s">
        <v>8968</v>
      </c>
      <c r="B4794" s="26" t="s">
        <v>870</v>
      </c>
      <c r="C4794" s="26" t="s">
        <v>5</v>
      </c>
      <c r="D4794" s="28" t="s">
        <v>9655</v>
      </c>
      <c r="E4794" s="26">
        <v>0.74</v>
      </c>
      <c r="F4794" s="29" t="s">
        <v>8975</v>
      </c>
    </row>
    <row r="4795" spans="1:6" ht="43.5" x14ac:dyDescent="0.35">
      <c r="A4795" s="26" t="s">
        <v>8968</v>
      </c>
      <c r="B4795" s="26" t="s">
        <v>9656</v>
      </c>
      <c r="C4795" s="26" t="s">
        <v>1</v>
      </c>
      <c r="D4795" s="28" t="s">
        <v>9657</v>
      </c>
      <c r="E4795" s="26">
        <v>0</v>
      </c>
      <c r="F4795" s="29" t="s">
        <v>8978</v>
      </c>
    </row>
    <row r="4796" spans="1:6" ht="43.5" x14ac:dyDescent="0.35">
      <c r="A4796" s="26" t="s">
        <v>8968</v>
      </c>
      <c r="B4796" s="26" t="s">
        <v>9658</v>
      </c>
      <c r="C4796" s="26" t="s">
        <v>7</v>
      </c>
      <c r="D4796" s="28" t="s">
        <v>9659</v>
      </c>
      <c r="E4796" s="26">
        <v>0</v>
      </c>
      <c r="F4796" s="29" t="s">
        <v>8981</v>
      </c>
    </row>
    <row r="4797" spans="1:6" ht="29" x14ac:dyDescent="0.35">
      <c r="A4797" s="26" t="s">
        <v>8968</v>
      </c>
      <c r="B4797" s="26" t="s">
        <v>872</v>
      </c>
      <c r="C4797" s="26" t="s">
        <v>4</v>
      </c>
      <c r="D4797" s="28" t="s">
        <v>9660</v>
      </c>
      <c r="E4797" s="26">
        <v>0</v>
      </c>
      <c r="F4797" s="29" t="s">
        <v>8983</v>
      </c>
    </row>
    <row r="4798" spans="1:6" ht="43.5" x14ac:dyDescent="0.35">
      <c r="A4798" s="26" t="s">
        <v>8968</v>
      </c>
      <c r="B4798" s="26" t="s">
        <v>9661</v>
      </c>
      <c r="C4798" s="26" t="s">
        <v>8</v>
      </c>
      <c r="D4798" s="28" t="s">
        <v>9662</v>
      </c>
      <c r="E4798" s="26">
        <v>0.51</v>
      </c>
      <c r="F4798" s="29" t="s">
        <v>8985</v>
      </c>
    </row>
    <row r="4799" spans="1:6" ht="43.5" x14ac:dyDescent="0.35">
      <c r="A4799" s="26" t="s">
        <v>8968</v>
      </c>
      <c r="B4799" s="26" t="s">
        <v>9663</v>
      </c>
      <c r="C4799" s="26" t="s">
        <v>2</v>
      </c>
      <c r="D4799" s="28" t="s">
        <v>9664</v>
      </c>
      <c r="E4799" s="26">
        <v>29778</v>
      </c>
      <c r="F4799" s="29" t="s">
        <v>8988</v>
      </c>
    </row>
    <row r="4800" spans="1:6" ht="43.5" x14ac:dyDescent="0.35">
      <c r="A4800" s="26" t="s">
        <v>8968</v>
      </c>
      <c r="B4800" s="26" t="s">
        <v>880</v>
      </c>
      <c r="C4800" s="26" t="s">
        <v>6</v>
      </c>
      <c r="D4800" s="28" t="s">
        <v>9665</v>
      </c>
      <c r="E4800" s="26">
        <v>0</v>
      </c>
      <c r="F4800" s="29" t="s">
        <v>8970</v>
      </c>
    </row>
    <row r="4801" spans="1:6" ht="29" x14ac:dyDescent="0.35">
      <c r="A4801" s="26" t="s">
        <v>8968</v>
      </c>
      <c r="B4801" s="26" t="s">
        <v>9666</v>
      </c>
      <c r="C4801" s="26" t="s">
        <v>3</v>
      </c>
      <c r="D4801" s="28" t="s">
        <v>9667</v>
      </c>
      <c r="E4801" s="26">
        <v>0</v>
      </c>
      <c r="F4801" s="29" t="s">
        <v>8973</v>
      </c>
    </row>
    <row r="4802" spans="1:6" ht="43.5" x14ac:dyDescent="0.35">
      <c r="A4802" s="26" t="s">
        <v>8968</v>
      </c>
      <c r="B4802" s="26" t="s">
        <v>882</v>
      </c>
      <c r="C4802" s="26" t="s">
        <v>5</v>
      </c>
      <c r="D4802" s="28" t="s">
        <v>9668</v>
      </c>
      <c r="E4802" s="26">
        <v>0.74</v>
      </c>
      <c r="F4802" s="29" t="s">
        <v>8975</v>
      </c>
    </row>
    <row r="4803" spans="1:6" ht="43.5" x14ac:dyDescent="0.35">
      <c r="A4803" s="26" t="s">
        <v>8968</v>
      </c>
      <c r="B4803" s="26" t="s">
        <v>9669</v>
      </c>
      <c r="C4803" s="26" t="s">
        <v>1</v>
      </c>
      <c r="D4803" s="28" t="s">
        <v>9670</v>
      </c>
      <c r="E4803" s="26">
        <v>0</v>
      </c>
      <c r="F4803" s="29" t="s">
        <v>8978</v>
      </c>
    </row>
    <row r="4804" spans="1:6" ht="43.5" x14ac:dyDescent="0.35">
      <c r="A4804" s="26" t="s">
        <v>8968</v>
      </c>
      <c r="B4804" s="26" t="s">
        <v>9671</v>
      </c>
      <c r="C4804" s="26" t="s">
        <v>7</v>
      </c>
      <c r="D4804" s="28" t="s">
        <v>9672</v>
      </c>
      <c r="E4804" s="26">
        <v>0</v>
      </c>
      <c r="F4804" s="29" t="s">
        <v>8981</v>
      </c>
    </row>
    <row r="4805" spans="1:6" ht="29" x14ac:dyDescent="0.35">
      <c r="A4805" s="26" t="s">
        <v>8968</v>
      </c>
      <c r="B4805" s="26" t="s">
        <v>884</v>
      </c>
      <c r="C4805" s="26" t="s">
        <v>4</v>
      </c>
      <c r="D4805" s="28" t="s">
        <v>9673</v>
      </c>
      <c r="E4805" s="26">
        <v>0</v>
      </c>
      <c r="F4805" s="29" t="s">
        <v>8983</v>
      </c>
    </row>
    <row r="4806" spans="1:6" ht="43.5" x14ac:dyDescent="0.35">
      <c r="A4806" s="26" t="s">
        <v>8968</v>
      </c>
      <c r="B4806" s="26" t="s">
        <v>9674</v>
      </c>
      <c r="C4806" s="26" t="s">
        <v>8</v>
      </c>
      <c r="D4806" s="28" t="s">
        <v>9675</v>
      </c>
      <c r="E4806" s="26">
        <v>0.51</v>
      </c>
      <c r="F4806" s="29" t="s">
        <v>8985</v>
      </c>
    </row>
    <row r="4807" spans="1:6" ht="43.5" x14ac:dyDescent="0.35">
      <c r="A4807" s="26" t="s">
        <v>8968</v>
      </c>
      <c r="B4807" s="26" t="s">
        <v>9676</v>
      </c>
      <c r="C4807" s="26" t="s">
        <v>2</v>
      </c>
      <c r="D4807" s="28" t="s">
        <v>9677</v>
      </c>
      <c r="E4807" s="26">
        <v>29778</v>
      </c>
      <c r="F4807" s="29" t="s">
        <v>8988</v>
      </c>
    </row>
    <row r="4808" spans="1:6" ht="43.5" x14ac:dyDescent="0.35">
      <c r="A4808" s="26" t="s">
        <v>8968</v>
      </c>
      <c r="B4808" s="26" t="s">
        <v>892</v>
      </c>
      <c r="C4808" s="26" t="s">
        <v>6</v>
      </c>
      <c r="D4808" s="28" t="s">
        <v>9678</v>
      </c>
      <c r="E4808" s="26">
        <v>0</v>
      </c>
      <c r="F4808" s="29" t="s">
        <v>8970</v>
      </c>
    </row>
    <row r="4809" spans="1:6" ht="29" x14ac:dyDescent="0.35">
      <c r="A4809" s="26" t="s">
        <v>8968</v>
      </c>
      <c r="B4809" s="26" t="s">
        <v>9679</v>
      </c>
      <c r="C4809" s="26" t="s">
        <v>3</v>
      </c>
      <c r="D4809" s="28" t="s">
        <v>9680</v>
      </c>
      <c r="E4809" s="26">
        <v>0</v>
      </c>
      <c r="F4809" s="29" t="s">
        <v>8973</v>
      </c>
    </row>
    <row r="4810" spans="1:6" ht="43.5" x14ac:dyDescent="0.35">
      <c r="A4810" s="26" t="s">
        <v>8968</v>
      </c>
      <c r="B4810" s="26" t="s">
        <v>894</v>
      </c>
      <c r="C4810" s="26" t="s">
        <v>5</v>
      </c>
      <c r="D4810" s="28" t="s">
        <v>9681</v>
      </c>
      <c r="E4810" s="26">
        <v>0.74</v>
      </c>
      <c r="F4810" s="29" t="s">
        <v>8975</v>
      </c>
    </row>
    <row r="4811" spans="1:6" ht="43.5" x14ac:dyDescent="0.35">
      <c r="A4811" s="26" t="s">
        <v>8968</v>
      </c>
      <c r="B4811" s="26" t="s">
        <v>9682</v>
      </c>
      <c r="C4811" s="26" t="s">
        <v>1</v>
      </c>
      <c r="D4811" s="28" t="s">
        <v>9683</v>
      </c>
      <c r="E4811" s="26">
        <v>0</v>
      </c>
      <c r="F4811" s="29" t="s">
        <v>8978</v>
      </c>
    </row>
    <row r="4812" spans="1:6" ht="43.5" x14ac:dyDescent="0.35">
      <c r="A4812" s="26" t="s">
        <v>8968</v>
      </c>
      <c r="B4812" s="26" t="s">
        <v>9684</v>
      </c>
      <c r="C4812" s="26" t="s">
        <v>7</v>
      </c>
      <c r="D4812" s="28" t="s">
        <v>9685</v>
      </c>
      <c r="E4812" s="26">
        <v>0</v>
      </c>
      <c r="F4812" s="29" t="s">
        <v>8981</v>
      </c>
    </row>
    <row r="4813" spans="1:6" ht="29" x14ac:dyDescent="0.35">
      <c r="A4813" s="26" t="s">
        <v>8968</v>
      </c>
      <c r="B4813" s="26" t="s">
        <v>896</v>
      </c>
      <c r="C4813" s="26" t="s">
        <v>4</v>
      </c>
      <c r="D4813" s="28" t="s">
        <v>9686</v>
      </c>
      <c r="E4813" s="26">
        <v>0</v>
      </c>
      <c r="F4813" s="29" t="s">
        <v>8983</v>
      </c>
    </row>
    <row r="4814" spans="1:6" ht="43.5" x14ac:dyDescent="0.35">
      <c r="A4814" s="26" t="s">
        <v>8968</v>
      </c>
      <c r="B4814" s="26" t="s">
        <v>9687</v>
      </c>
      <c r="C4814" s="26" t="s">
        <v>8</v>
      </c>
      <c r="D4814" s="28" t="s">
        <v>9688</v>
      </c>
      <c r="E4814" s="26">
        <v>0.51</v>
      </c>
      <c r="F4814" s="29" t="s">
        <v>8985</v>
      </c>
    </row>
    <row r="4815" spans="1:6" ht="43.5" x14ac:dyDescent="0.35">
      <c r="A4815" s="26" t="s">
        <v>8968</v>
      </c>
      <c r="B4815" s="26" t="s">
        <v>9689</v>
      </c>
      <c r="C4815" s="26" t="s">
        <v>2</v>
      </c>
      <c r="D4815" s="28" t="s">
        <v>9690</v>
      </c>
      <c r="E4815" s="26">
        <v>29778</v>
      </c>
      <c r="F4815" s="29" t="s">
        <v>8988</v>
      </c>
    </row>
    <row r="4816" spans="1:6" ht="43.5" x14ac:dyDescent="0.35">
      <c r="A4816" s="26" t="s">
        <v>8968</v>
      </c>
      <c r="B4816" s="26" t="s">
        <v>904</v>
      </c>
      <c r="C4816" s="26" t="s">
        <v>6</v>
      </c>
      <c r="D4816" s="28" t="s">
        <v>9691</v>
      </c>
      <c r="E4816" s="26">
        <v>0</v>
      </c>
      <c r="F4816" s="29" t="s">
        <v>8970</v>
      </c>
    </row>
    <row r="4817" spans="1:6" ht="29" x14ac:dyDescent="0.35">
      <c r="A4817" s="26" t="s">
        <v>8968</v>
      </c>
      <c r="B4817" s="26" t="s">
        <v>9692</v>
      </c>
      <c r="C4817" s="26" t="s">
        <v>3</v>
      </c>
      <c r="D4817" s="28" t="s">
        <v>9693</v>
      </c>
      <c r="E4817" s="26">
        <v>0</v>
      </c>
      <c r="F4817" s="29" t="s">
        <v>8973</v>
      </c>
    </row>
    <row r="4818" spans="1:6" ht="43.5" x14ac:dyDescent="0.35">
      <c r="A4818" s="26" t="s">
        <v>8968</v>
      </c>
      <c r="B4818" s="26" t="s">
        <v>906</v>
      </c>
      <c r="C4818" s="26" t="s">
        <v>5</v>
      </c>
      <c r="D4818" s="28" t="s">
        <v>9694</v>
      </c>
      <c r="E4818" s="26">
        <v>0.74</v>
      </c>
      <c r="F4818" s="29" t="s">
        <v>8975</v>
      </c>
    </row>
    <row r="4819" spans="1:6" ht="43.5" x14ac:dyDescent="0.35">
      <c r="A4819" s="26" t="s">
        <v>8968</v>
      </c>
      <c r="B4819" s="26" t="s">
        <v>9695</v>
      </c>
      <c r="C4819" s="26" t="s">
        <v>1</v>
      </c>
      <c r="D4819" s="28" t="s">
        <v>9696</v>
      </c>
      <c r="E4819" s="26">
        <v>0</v>
      </c>
      <c r="F4819" s="29" t="s">
        <v>8978</v>
      </c>
    </row>
    <row r="4820" spans="1:6" ht="43.5" x14ac:dyDescent="0.35">
      <c r="A4820" s="26" t="s">
        <v>8968</v>
      </c>
      <c r="B4820" s="26" t="s">
        <v>9697</v>
      </c>
      <c r="C4820" s="26" t="s">
        <v>7</v>
      </c>
      <c r="D4820" s="28" t="s">
        <v>9698</v>
      </c>
      <c r="E4820" s="26">
        <v>0</v>
      </c>
      <c r="F4820" s="29" t="s">
        <v>8981</v>
      </c>
    </row>
    <row r="4821" spans="1:6" ht="29" x14ac:dyDescent="0.35">
      <c r="A4821" s="26" t="s">
        <v>8968</v>
      </c>
      <c r="B4821" s="26" t="s">
        <v>908</v>
      </c>
      <c r="C4821" s="26" t="s">
        <v>4</v>
      </c>
      <c r="D4821" s="28" t="s">
        <v>9699</v>
      </c>
      <c r="E4821" s="26">
        <v>0</v>
      </c>
      <c r="F4821" s="29" t="s">
        <v>8983</v>
      </c>
    </row>
    <row r="4822" spans="1:6" ht="43.5" x14ac:dyDescent="0.35">
      <c r="A4822" s="26" t="s">
        <v>8968</v>
      </c>
      <c r="B4822" s="26" t="s">
        <v>9700</v>
      </c>
      <c r="C4822" s="26" t="s">
        <v>8</v>
      </c>
      <c r="D4822" s="28" t="s">
        <v>9701</v>
      </c>
      <c r="E4822" s="26">
        <v>0.51</v>
      </c>
      <c r="F4822" s="29" t="s">
        <v>8985</v>
      </c>
    </row>
    <row r="4823" spans="1:6" ht="43.5" x14ac:dyDescent="0.35">
      <c r="A4823" s="26" t="s">
        <v>8968</v>
      </c>
      <c r="B4823" s="26" t="s">
        <v>9702</v>
      </c>
      <c r="C4823" s="26" t="s">
        <v>2</v>
      </c>
      <c r="D4823" s="28" t="s">
        <v>9703</v>
      </c>
      <c r="E4823" s="26">
        <v>29778</v>
      </c>
      <c r="F4823" s="29" t="s">
        <v>8988</v>
      </c>
    </row>
    <row r="4824" spans="1:6" ht="43.5" x14ac:dyDescent="0.35">
      <c r="A4824" s="26" t="s">
        <v>8968</v>
      </c>
      <c r="B4824" s="26" t="s">
        <v>916</v>
      </c>
      <c r="C4824" s="26" t="s">
        <v>6</v>
      </c>
      <c r="D4824" s="28" t="s">
        <v>9704</v>
      </c>
      <c r="E4824" s="26">
        <v>0</v>
      </c>
      <c r="F4824" s="29" t="s">
        <v>8970</v>
      </c>
    </row>
    <row r="4825" spans="1:6" ht="29" x14ac:dyDescent="0.35">
      <c r="A4825" s="26" t="s">
        <v>8968</v>
      </c>
      <c r="B4825" s="26" t="s">
        <v>9705</v>
      </c>
      <c r="C4825" s="26" t="s">
        <v>3</v>
      </c>
      <c r="D4825" s="28" t="s">
        <v>9706</v>
      </c>
      <c r="E4825" s="26">
        <v>0</v>
      </c>
      <c r="F4825" s="29" t="s">
        <v>8973</v>
      </c>
    </row>
    <row r="4826" spans="1:6" ht="43.5" x14ac:dyDescent="0.35">
      <c r="A4826" s="26" t="s">
        <v>8968</v>
      </c>
      <c r="B4826" s="26" t="s">
        <v>918</v>
      </c>
      <c r="C4826" s="26" t="s">
        <v>5</v>
      </c>
      <c r="D4826" s="28" t="s">
        <v>9707</v>
      </c>
      <c r="E4826" s="26">
        <v>0.74</v>
      </c>
      <c r="F4826" s="29" t="s">
        <v>8975</v>
      </c>
    </row>
    <row r="4827" spans="1:6" ht="43.5" x14ac:dyDescent="0.35">
      <c r="A4827" s="26" t="s">
        <v>8968</v>
      </c>
      <c r="B4827" s="26" t="s">
        <v>9708</v>
      </c>
      <c r="C4827" s="26" t="s">
        <v>1</v>
      </c>
      <c r="D4827" s="28" t="s">
        <v>9709</v>
      </c>
      <c r="E4827" s="26">
        <v>0</v>
      </c>
      <c r="F4827" s="29" t="s">
        <v>8978</v>
      </c>
    </row>
    <row r="4828" spans="1:6" ht="43.5" x14ac:dyDescent="0.35">
      <c r="A4828" s="26" t="s">
        <v>8968</v>
      </c>
      <c r="B4828" s="26" t="s">
        <v>9710</v>
      </c>
      <c r="C4828" s="26" t="s">
        <v>7</v>
      </c>
      <c r="D4828" s="28" t="s">
        <v>9711</v>
      </c>
      <c r="E4828" s="26">
        <v>0</v>
      </c>
      <c r="F4828" s="29" t="s">
        <v>8981</v>
      </c>
    </row>
    <row r="4829" spans="1:6" ht="29" x14ac:dyDescent="0.35">
      <c r="A4829" s="26" t="s">
        <v>8968</v>
      </c>
      <c r="B4829" s="26" t="s">
        <v>920</v>
      </c>
      <c r="C4829" s="26" t="s">
        <v>4</v>
      </c>
      <c r="D4829" s="28" t="s">
        <v>9712</v>
      </c>
      <c r="E4829" s="26">
        <v>0</v>
      </c>
      <c r="F4829" s="29" t="s">
        <v>8983</v>
      </c>
    </row>
    <row r="4830" spans="1:6" ht="43.5" x14ac:dyDescent="0.35">
      <c r="A4830" s="26" t="s">
        <v>8968</v>
      </c>
      <c r="B4830" s="26" t="s">
        <v>9713</v>
      </c>
      <c r="C4830" s="26" t="s">
        <v>8</v>
      </c>
      <c r="D4830" s="28" t="s">
        <v>9714</v>
      </c>
      <c r="E4830" s="26">
        <v>0.51</v>
      </c>
      <c r="F4830" s="29" t="s">
        <v>8985</v>
      </c>
    </row>
    <row r="4831" spans="1:6" ht="43.5" x14ac:dyDescent="0.35">
      <c r="A4831" s="26" t="s">
        <v>8968</v>
      </c>
      <c r="B4831" s="26" t="s">
        <v>9715</v>
      </c>
      <c r="C4831" s="26" t="s">
        <v>2</v>
      </c>
      <c r="D4831" s="28" t="s">
        <v>9716</v>
      </c>
      <c r="E4831" s="26">
        <v>29778</v>
      </c>
      <c r="F4831" s="29" t="s">
        <v>8988</v>
      </c>
    </row>
    <row r="4832" spans="1:6" ht="43.5" x14ac:dyDescent="0.35">
      <c r="A4832" s="26" t="s">
        <v>8968</v>
      </c>
      <c r="B4832" s="26" t="s">
        <v>928</v>
      </c>
      <c r="C4832" s="26" t="s">
        <v>6</v>
      </c>
      <c r="D4832" s="28" t="s">
        <v>9717</v>
      </c>
      <c r="E4832" s="26">
        <v>0</v>
      </c>
      <c r="F4832" s="29" t="s">
        <v>8970</v>
      </c>
    </row>
    <row r="4833" spans="1:6" ht="29" x14ac:dyDescent="0.35">
      <c r="A4833" s="26" t="s">
        <v>8968</v>
      </c>
      <c r="B4833" s="26" t="s">
        <v>9718</v>
      </c>
      <c r="C4833" s="26" t="s">
        <v>3</v>
      </c>
      <c r="D4833" s="28" t="s">
        <v>9719</v>
      </c>
      <c r="E4833" s="26">
        <v>0</v>
      </c>
      <c r="F4833" s="29" t="s">
        <v>8973</v>
      </c>
    </row>
    <row r="4834" spans="1:6" ht="43.5" x14ac:dyDescent="0.35">
      <c r="A4834" s="26" t="s">
        <v>8968</v>
      </c>
      <c r="B4834" s="26" t="s">
        <v>930</v>
      </c>
      <c r="C4834" s="26" t="s">
        <v>5</v>
      </c>
      <c r="D4834" s="28" t="s">
        <v>9720</v>
      </c>
      <c r="E4834" s="26">
        <v>0.74</v>
      </c>
      <c r="F4834" s="29" t="s">
        <v>8975</v>
      </c>
    </row>
    <row r="4835" spans="1:6" ht="43.5" x14ac:dyDescent="0.35">
      <c r="A4835" s="26" t="s">
        <v>8968</v>
      </c>
      <c r="B4835" s="26" t="s">
        <v>9721</v>
      </c>
      <c r="C4835" s="26" t="s">
        <v>1</v>
      </c>
      <c r="D4835" s="28" t="s">
        <v>9722</v>
      </c>
      <c r="E4835" s="26">
        <v>0</v>
      </c>
      <c r="F4835" s="29" t="s">
        <v>8978</v>
      </c>
    </row>
    <row r="4836" spans="1:6" ht="43.5" x14ac:dyDescent="0.35">
      <c r="A4836" s="26" t="s">
        <v>8968</v>
      </c>
      <c r="B4836" s="26" t="s">
        <v>9723</v>
      </c>
      <c r="C4836" s="26" t="s">
        <v>7</v>
      </c>
      <c r="D4836" s="28" t="s">
        <v>9724</v>
      </c>
      <c r="E4836" s="26">
        <v>0</v>
      </c>
      <c r="F4836" s="29" t="s">
        <v>8981</v>
      </c>
    </row>
    <row r="4837" spans="1:6" ht="29" x14ac:dyDescent="0.35">
      <c r="A4837" s="26" t="s">
        <v>8968</v>
      </c>
      <c r="B4837" s="26" t="s">
        <v>932</v>
      </c>
      <c r="C4837" s="26" t="s">
        <v>4</v>
      </c>
      <c r="D4837" s="28" t="s">
        <v>9725</v>
      </c>
      <c r="E4837" s="26">
        <v>0</v>
      </c>
      <c r="F4837" s="29" t="s">
        <v>8983</v>
      </c>
    </row>
    <row r="4838" spans="1:6" ht="43.5" x14ac:dyDescent="0.35">
      <c r="A4838" s="26" t="s">
        <v>8968</v>
      </c>
      <c r="B4838" s="26" t="s">
        <v>9726</v>
      </c>
      <c r="C4838" s="26" t="s">
        <v>8</v>
      </c>
      <c r="D4838" s="28" t="s">
        <v>9727</v>
      </c>
      <c r="E4838" s="26">
        <v>0.51</v>
      </c>
      <c r="F4838" s="29" t="s">
        <v>8985</v>
      </c>
    </row>
    <row r="4839" spans="1:6" ht="43.5" x14ac:dyDescent="0.35">
      <c r="A4839" s="26" t="s">
        <v>8968</v>
      </c>
      <c r="B4839" s="26" t="s">
        <v>9728</v>
      </c>
      <c r="C4839" s="26" t="s">
        <v>2</v>
      </c>
      <c r="D4839" s="28" t="s">
        <v>9729</v>
      </c>
      <c r="E4839" s="26">
        <v>29778</v>
      </c>
      <c r="F4839" s="29" t="s">
        <v>8988</v>
      </c>
    </row>
    <row r="4840" spans="1:6" ht="43.5" x14ac:dyDescent="0.35">
      <c r="A4840" s="26" t="s">
        <v>8968</v>
      </c>
      <c r="B4840" s="26" t="s">
        <v>940</v>
      </c>
      <c r="C4840" s="26" t="s">
        <v>6</v>
      </c>
      <c r="D4840" s="28" t="s">
        <v>9730</v>
      </c>
      <c r="E4840" s="26">
        <v>0</v>
      </c>
      <c r="F4840" s="29" t="s">
        <v>8970</v>
      </c>
    </row>
    <row r="4841" spans="1:6" ht="29" x14ac:dyDescent="0.35">
      <c r="A4841" s="26" t="s">
        <v>8968</v>
      </c>
      <c r="B4841" s="26" t="s">
        <v>9731</v>
      </c>
      <c r="C4841" s="26" t="s">
        <v>3</v>
      </c>
      <c r="D4841" s="28" t="s">
        <v>9732</v>
      </c>
      <c r="E4841" s="26">
        <v>0</v>
      </c>
      <c r="F4841" s="29" t="s">
        <v>8973</v>
      </c>
    </row>
    <row r="4842" spans="1:6" ht="43.5" x14ac:dyDescent="0.35">
      <c r="A4842" s="26" t="s">
        <v>8968</v>
      </c>
      <c r="B4842" s="26" t="s">
        <v>942</v>
      </c>
      <c r="C4842" s="26" t="s">
        <v>5</v>
      </c>
      <c r="D4842" s="28" t="s">
        <v>9733</v>
      </c>
      <c r="E4842" s="26">
        <v>0.74</v>
      </c>
      <c r="F4842" s="29" t="s">
        <v>8975</v>
      </c>
    </row>
    <row r="4843" spans="1:6" ht="43.5" x14ac:dyDescent="0.35">
      <c r="A4843" s="26" t="s">
        <v>8968</v>
      </c>
      <c r="B4843" s="26" t="s">
        <v>9734</v>
      </c>
      <c r="C4843" s="26" t="s">
        <v>1</v>
      </c>
      <c r="D4843" s="28" t="s">
        <v>9735</v>
      </c>
      <c r="E4843" s="26">
        <v>0</v>
      </c>
      <c r="F4843" s="29" t="s">
        <v>8978</v>
      </c>
    </row>
    <row r="4844" spans="1:6" ht="43.5" x14ac:dyDescent="0.35">
      <c r="A4844" s="26" t="s">
        <v>8968</v>
      </c>
      <c r="B4844" s="26" t="s">
        <v>9736</v>
      </c>
      <c r="C4844" s="26" t="s">
        <v>7</v>
      </c>
      <c r="D4844" s="28" t="s">
        <v>9737</v>
      </c>
      <c r="E4844" s="26">
        <v>0</v>
      </c>
      <c r="F4844" s="29" t="s">
        <v>8981</v>
      </c>
    </row>
    <row r="4845" spans="1:6" ht="29" x14ac:dyDescent="0.35">
      <c r="A4845" s="26" t="s">
        <v>8968</v>
      </c>
      <c r="B4845" s="26" t="s">
        <v>944</v>
      </c>
      <c r="C4845" s="26" t="s">
        <v>4</v>
      </c>
      <c r="D4845" s="28" t="s">
        <v>9738</v>
      </c>
      <c r="E4845" s="26">
        <v>0</v>
      </c>
      <c r="F4845" s="29" t="s">
        <v>8983</v>
      </c>
    </row>
    <row r="4846" spans="1:6" ht="43.5" x14ac:dyDescent="0.35">
      <c r="A4846" s="26" t="s">
        <v>8968</v>
      </c>
      <c r="B4846" s="26" t="s">
        <v>9739</v>
      </c>
      <c r="C4846" s="26" t="s">
        <v>8</v>
      </c>
      <c r="D4846" s="28" t="s">
        <v>9740</v>
      </c>
      <c r="E4846" s="26">
        <v>0.51</v>
      </c>
      <c r="F4846" s="29" t="s">
        <v>8985</v>
      </c>
    </row>
    <row r="4847" spans="1:6" ht="43.5" x14ac:dyDescent="0.35">
      <c r="A4847" s="26" t="s">
        <v>8968</v>
      </c>
      <c r="B4847" s="26" t="s">
        <v>9741</v>
      </c>
      <c r="C4847" s="26" t="s">
        <v>2</v>
      </c>
      <c r="D4847" s="28" t="s">
        <v>9742</v>
      </c>
      <c r="E4847" s="26">
        <v>29778</v>
      </c>
      <c r="F4847" s="29" t="s">
        <v>8988</v>
      </c>
    </row>
    <row r="4848" spans="1:6" ht="43.5" x14ac:dyDescent="0.35">
      <c r="A4848" s="26" t="s">
        <v>8968</v>
      </c>
      <c r="B4848" s="26" t="s">
        <v>952</v>
      </c>
      <c r="C4848" s="26" t="s">
        <v>6</v>
      </c>
      <c r="D4848" s="28" t="s">
        <v>9743</v>
      </c>
      <c r="E4848" s="26">
        <v>0</v>
      </c>
      <c r="F4848" s="29" t="s">
        <v>8970</v>
      </c>
    </row>
    <row r="4849" spans="1:6" ht="29" x14ac:dyDescent="0.35">
      <c r="A4849" s="26" t="s">
        <v>8968</v>
      </c>
      <c r="B4849" s="26" t="s">
        <v>9744</v>
      </c>
      <c r="C4849" s="26" t="s">
        <v>3</v>
      </c>
      <c r="D4849" s="28" t="s">
        <v>9745</v>
      </c>
      <c r="E4849" s="26">
        <v>0</v>
      </c>
      <c r="F4849" s="29" t="s">
        <v>8973</v>
      </c>
    </row>
    <row r="4850" spans="1:6" ht="43.5" x14ac:dyDescent="0.35">
      <c r="A4850" s="26" t="s">
        <v>8968</v>
      </c>
      <c r="B4850" s="26" t="s">
        <v>954</v>
      </c>
      <c r="C4850" s="26" t="s">
        <v>5</v>
      </c>
      <c r="D4850" s="28" t="s">
        <v>9746</v>
      </c>
      <c r="E4850" s="26">
        <v>0.74</v>
      </c>
      <c r="F4850" s="29" t="s">
        <v>8975</v>
      </c>
    </row>
    <row r="4851" spans="1:6" ht="43.5" x14ac:dyDescent="0.35">
      <c r="A4851" s="26" t="s">
        <v>8968</v>
      </c>
      <c r="B4851" s="26" t="s">
        <v>9747</v>
      </c>
      <c r="C4851" s="26" t="s">
        <v>1</v>
      </c>
      <c r="D4851" s="28" t="s">
        <v>9748</v>
      </c>
      <c r="E4851" s="26">
        <v>0</v>
      </c>
      <c r="F4851" s="29" t="s">
        <v>8978</v>
      </c>
    </row>
    <row r="4852" spans="1:6" ht="43.5" x14ac:dyDescent="0.35">
      <c r="A4852" s="26" t="s">
        <v>8968</v>
      </c>
      <c r="B4852" s="26" t="s">
        <v>9749</v>
      </c>
      <c r="C4852" s="26" t="s">
        <v>7</v>
      </c>
      <c r="D4852" s="28" t="s">
        <v>9750</v>
      </c>
      <c r="E4852" s="26">
        <v>0</v>
      </c>
      <c r="F4852" s="29" t="s">
        <v>8981</v>
      </c>
    </row>
    <row r="4853" spans="1:6" ht="29" x14ac:dyDescent="0.35">
      <c r="A4853" s="26" t="s">
        <v>8968</v>
      </c>
      <c r="B4853" s="26" t="s">
        <v>956</v>
      </c>
      <c r="C4853" s="26" t="s">
        <v>4</v>
      </c>
      <c r="D4853" s="28" t="s">
        <v>9751</v>
      </c>
      <c r="E4853" s="26">
        <v>0</v>
      </c>
      <c r="F4853" s="29" t="s">
        <v>8983</v>
      </c>
    </row>
    <row r="4854" spans="1:6" ht="43.5" x14ac:dyDescent="0.35">
      <c r="A4854" s="26" t="s">
        <v>8968</v>
      </c>
      <c r="B4854" s="26" t="s">
        <v>9752</v>
      </c>
      <c r="C4854" s="26" t="s">
        <v>8</v>
      </c>
      <c r="D4854" s="28" t="s">
        <v>9753</v>
      </c>
      <c r="E4854" s="26">
        <v>0.51</v>
      </c>
      <c r="F4854" s="29" t="s">
        <v>8985</v>
      </c>
    </row>
    <row r="4855" spans="1:6" ht="43.5" x14ac:dyDescent="0.35">
      <c r="A4855" s="26" t="s">
        <v>8968</v>
      </c>
      <c r="B4855" s="26" t="s">
        <v>9754</v>
      </c>
      <c r="C4855" s="26" t="s">
        <v>2</v>
      </c>
      <c r="D4855" s="28" t="s">
        <v>9755</v>
      </c>
      <c r="E4855" s="26">
        <v>29778</v>
      </c>
      <c r="F4855" s="29" t="s">
        <v>8988</v>
      </c>
    </row>
    <row r="4856" spans="1:6" ht="43.5" x14ac:dyDescent="0.35">
      <c r="A4856" s="26" t="s">
        <v>8968</v>
      </c>
      <c r="B4856" s="26" t="s">
        <v>964</v>
      </c>
      <c r="C4856" s="26" t="s">
        <v>6</v>
      </c>
      <c r="D4856" s="28" t="s">
        <v>9756</v>
      </c>
      <c r="E4856" s="26">
        <v>0</v>
      </c>
      <c r="F4856" s="29" t="s">
        <v>8970</v>
      </c>
    </row>
    <row r="4857" spans="1:6" ht="29" x14ac:dyDescent="0.35">
      <c r="A4857" s="26" t="s">
        <v>8968</v>
      </c>
      <c r="B4857" s="26" t="s">
        <v>9757</v>
      </c>
      <c r="C4857" s="26" t="s">
        <v>3</v>
      </c>
      <c r="D4857" s="28" t="s">
        <v>9758</v>
      </c>
      <c r="E4857" s="26">
        <v>0</v>
      </c>
      <c r="F4857" s="29" t="s">
        <v>8973</v>
      </c>
    </row>
    <row r="4858" spans="1:6" ht="43.5" x14ac:dyDescent="0.35">
      <c r="A4858" s="26" t="s">
        <v>8968</v>
      </c>
      <c r="B4858" s="26" t="s">
        <v>966</v>
      </c>
      <c r="C4858" s="26" t="s">
        <v>5</v>
      </c>
      <c r="D4858" s="28" t="s">
        <v>9759</v>
      </c>
      <c r="E4858" s="26">
        <v>0.74</v>
      </c>
      <c r="F4858" s="29" t="s">
        <v>8975</v>
      </c>
    </row>
    <row r="4859" spans="1:6" ht="43.5" x14ac:dyDescent="0.35">
      <c r="A4859" s="26" t="s">
        <v>8968</v>
      </c>
      <c r="B4859" s="26" t="s">
        <v>9760</v>
      </c>
      <c r="C4859" s="26" t="s">
        <v>1</v>
      </c>
      <c r="D4859" s="28" t="s">
        <v>9761</v>
      </c>
      <c r="E4859" s="26">
        <v>0</v>
      </c>
      <c r="F4859" s="29" t="s">
        <v>8978</v>
      </c>
    </row>
    <row r="4860" spans="1:6" ht="43.5" x14ac:dyDescent="0.35">
      <c r="A4860" s="26" t="s">
        <v>8968</v>
      </c>
      <c r="B4860" s="26" t="s">
        <v>9762</v>
      </c>
      <c r="C4860" s="26" t="s">
        <v>7</v>
      </c>
      <c r="D4860" s="28" t="s">
        <v>9763</v>
      </c>
      <c r="E4860" s="26">
        <v>0</v>
      </c>
      <c r="F4860" s="29" t="s">
        <v>8981</v>
      </c>
    </row>
    <row r="4861" spans="1:6" ht="29" x14ac:dyDescent="0.35">
      <c r="A4861" s="26" t="s">
        <v>8968</v>
      </c>
      <c r="B4861" s="26" t="s">
        <v>968</v>
      </c>
      <c r="C4861" s="26" t="s">
        <v>4</v>
      </c>
      <c r="D4861" s="28" t="s">
        <v>9764</v>
      </c>
      <c r="E4861" s="26">
        <v>0</v>
      </c>
      <c r="F4861" s="29" t="s">
        <v>8983</v>
      </c>
    </row>
    <row r="4862" spans="1:6" ht="43.5" x14ac:dyDescent="0.35">
      <c r="A4862" s="26" t="s">
        <v>8968</v>
      </c>
      <c r="B4862" s="26" t="s">
        <v>9765</v>
      </c>
      <c r="C4862" s="26" t="s">
        <v>8</v>
      </c>
      <c r="D4862" s="28" t="s">
        <v>9766</v>
      </c>
      <c r="E4862" s="26">
        <v>0.51</v>
      </c>
      <c r="F4862" s="29" t="s">
        <v>8985</v>
      </c>
    </row>
    <row r="4863" spans="1:6" ht="43.5" x14ac:dyDescent="0.35">
      <c r="A4863" s="26" t="s">
        <v>8968</v>
      </c>
      <c r="B4863" s="26" t="s">
        <v>9767</v>
      </c>
      <c r="C4863" s="26" t="s">
        <v>2</v>
      </c>
      <c r="D4863" s="28" t="s">
        <v>9768</v>
      </c>
      <c r="E4863" s="26">
        <v>29778</v>
      </c>
      <c r="F4863" s="29" t="s">
        <v>8988</v>
      </c>
    </row>
    <row r="4864" spans="1:6" ht="43.5" x14ac:dyDescent="0.35">
      <c r="A4864" s="26" t="s">
        <v>8968</v>
      </c>
      <c r="B4864" s="26" t="s">
        <v>976</v>
      </c>
      <c r="C4864" s="26" t="s">
        <v>6</v>
      </c>
      <c r="D4864" s="28" t="s">
        <v>9769</v>
      </c>
      <c r="E4864" s="26">
        <v>0</v>
      </c>
      <c r="F4864" s="29" t="s">
        <v>8970</v>
      </c>
    </row>
    <row r="4865" spans="1:6" ht="29" x14ac:dyDescent="0.35">
      <c r="A4865" s="26" t="s">
        <v>8968</v>
      </c>
      <c r="B4865" s="26" t="s">
        <v>9770</v>
      </c>
      <c r="C4865" s="26" t="s">
        <v>3</v>
      </c>
      <c r="D4865" s="28" t="s">
        <v>9771</v>
      </c>
      <c r="E4865" s="26">
        <v>0</v>
      </c>
      <c r="F4865" s="29" t="s">
        <v>8973</v>
      </c>
    </row>
    <row r="4866" spans="1:6" ht="43.5" x14ac:dyDescent="0.35">
      <c r="A4866" s="26" t="s">
        <v>8968</v>
      </c>
      <c r="B4866" s="26" t="s">
        <v>978</v>
      </c>
      <c r="C4866" s="26" t="s">
        <v>5</v>
      </c>
      <c r="D4866" s="28" t="s">
        <v>9772</v>
      </c>
      <c r="E4866" s="26">
        <v>0.74</v>
      </c>
      <c r="F4866" s="29" t="s">
        <v>8975</v>
      </c>
    </row>
    <row r="4867" spans="1:6" ht="43.5" x14ac:dyDescent="0.35">
      <c r="A4867" s="26" t="s">
        <v>8968</v>
      </c>
      <c r="B4867" s="26" t="s">
        <v>9773</v>
      </c>
      <c r="C4867" s="26" t="s">
        <v>1</v>
      </c>
      <c r="D4867" s="28" t="s">
        <v>9774</v>
      </c>
      <c r="E4867" s="26">
        <v>0</v>
      </c>
      <c r="F4867" s="29" t="s">
        <v>8978</v>
      </c>
    </row>
    <row r="4868" spans="1:6" ht="43.5" x14ac:dyDescent="0.35">
      <c r="A4868" s="26" t="s">
        <v>8968</v>
      </c>
      <c r="B4868" s="26" t="s">
        <v>9775</v>
      </c>
      <c r="C4868" s="26" t="s">
        <v>7</v>
      </c>
      <c r="D4868" s="28" t="s">
        <v>9776</v>
      </c>
      <c r="E4868" s="26">
        <v>0</v>
      </c>
      <c r="F4868" s="29" t="s">
        <v>8981</v>
      </c>
    </row>
    <row r="4869" spans="1:6" ht="29" x14ac:dyDescent="0.35">
      <c r="A4869" s="26" t="s">
        <v>8968</v>
      </c>
      <c r="B4869" s="26" t="s">
        <v>980</v>
      </c>
      <c r="C4869" s="26" t="s">
        <v>4</v>
      </c>
      <c r="D4869" s="28" t="s">
        <v>9777</v>
      </c>
      <c r="E4869" s="26">
        <v>0</v>
      </c>
      <c r="F4869" s="29" t="s">
        <v>8983</v>
      </c>
    </row>
    <row r="4870" spans="1:6" ht="43.5" x14ac:dyDescent="0.35">
      <c r="A4870" s="26" t="s">
        <v>8968</v>
      </c>
      <c r="B4870" s="26" t="s">
        <v>9778</v>
      </c>
      <c r="C4870" s="26" t="s">
        <v>8</v>
      </c>
      <c r="D4870" s="28" t="s">
        <v>9779</v>
      </c>
      <c r="E4870" s="26">
        <v>0.51</v>
      </c>
      <c r="F4870" s="29" t="s">
        <v>8985</v>
      </c>
    </row>
    <row r="4871" spans="1:6" ht="43.5" x14ac:dyDescent="0.35">
      <c r="A4871" s="26" t="s">
        <v>8968</v>
      </c>
      <c r="B4871" s="26" t="s">
        <v>9780</v>
      </c>
      <c r="C4871" s="26" t="s">
        <v>2</v>
      </c>
      <c r="D4871" s="28" t="s">
        <v>9781</v>
      </c>
      <c r="E4871" s="26">
        <v>29778</v>
      </c>
      <c r="F4871" s="29" t="s">
        <v>8988</v>
      </c>
    </row>
    <row r="4872" spans="1:6" ht="43.5" x14ac:dyDescent="0.35">
      <c r="A4872" s="26" t="s">
        <v>8968</v>
      </c>
      <c r="B4872" s="26" t="s">
        <v>988</v>
      </c>
      <c r="C4872" s="26" t="s">
        <v>6</v>
      </c>
      <c r="D4872" s="28" t="s">
        <v>9782</v>
      </c>
      <c r="E4872" s="26">
        <v>0</v>
      </c>
      <c r="F4872" s="29" t="s">
        <v>8970</v>
      </c>
    </row>
    <row r="4873" spans="1:6" ht="29" x14ac:dyDescent="0.35">
      <c r="A4873" s="26" t="s">
        <v>8968</v>
      </c>
      <c r="B4873" s="26" t="s">
        <v>9783</v>
      </c>
      <c r="C4873" s="26" t="s">
        <v>3</v>
      </c>
      <c r="D4873" s="28" t="s">
        <v>9784</v>
      </c>
      <c r="E4873" s="26">
        <v>0</v>
      </c>
      <c r="F4873" s="29" t="s">
        <v>8973</v>
      </c>
    </row>
    <row r="4874" spans="1:6" ht="43.5" x14ac:dyDescent="0.35">
      <c r="A4874" s="26" t="s">
        <v>8968</v>
      </c>
      <c r="B4874" s="26" t="s">
        <v>990</v>
      </c>
      <c r="C4874" s="26" t="s">
        <v>5</v>
      </c>
      <c r="D4874" s="28" t="s">
        <v>9785</v>
      </c>
      <c r="E4874" s="26">
        <v>0.74</v>
      </c>
      <c r="F4874" s="29" t="s">
        <v>8975</v>
      </c>
    </row>
    <row r="4875" spans="1:6" ht="43.5" x14ac:dyDescent="0.35">
      <c r="A4875" s="26" t="s">
        <v>8968</v>
      </c>
      <c r="B4875" s="26" t="s">
        <v>9786</v>
      </c>
      <c r="C4875" s="26" t="s">
        <v>1</v>
      </c>
      <c r="D4875" s="28" t="s">
        <v>9787</v>
      </c>
      <c r="E4875" s="26">
        <v>0</v>
      </c>
      <c r="F4875" s="29" t="s">
        <v>8978</v>
      </c>
    </row>
    <row r="4876" spans="1:6" ht="43.5" x14ac:dyDescent="0.35">
      <c r="A4876" s="26" t="s">
        <v>8968</v>
      </c>
      <c r="B4876" s="26" t="s">
        <v>9788</v>
      </c>
      <c r="C4876" s="26" t="s">
        <v>7</v>
      </c>
      <c r="D4876" s="28" t="s">
        <v>9789</v>
      </c>
      <c r="E4876" s="26">
        <v>0</v>
      </c>
      <c r="F4876" s="29" t="s">
        <v>8981</v>
      </c>
    </row>
    <row r="4877" spans="1:6" ht="29" x14ac:dyDescent="0.35">
      <c r="A4877" s="26" t="s">
        <v>8968</v>
      </c>
      <c r="B4877" s="26" t="s">
        <v>992</v>
      </c>
      <c r="C4877" s="26" t="s">
        <v>4</v>
      </c>
      <c r="D4877" s="28" t="s">
        <v>9790</v>
      </c>
      <c r="E4877" s="26">
        <v>0</v>
      </c>
      <c r="F4877" s="29" t="s">
        <v>8983</v>
      </c>
    </row>
    <row r="4878" spans="1:6" ht="43.5" x14ac:dyDescent="0.35">
      <c r="A4878" s="26" t="s">
        <v>8968</v>
      </c>
      <c r="B4878" s="26" t="s">
        <v>9791</v>
      </c>
      <c r="C4878" s="26" t="s">
        <v>8</v>
      </c>
      <c r="D4878" s="28" t="s">
        <v>9792</v>
      </c>
      <c r="E4878" s="26">
        <v>0.51</v>
      </c>
      <c r="F4878" s="29" t="s">
        <v>8985</v>
      </c>
    </row>
    <row r="4879" spans="1:6" ht="43.5" x14ac:dyDescent="0.35">
      <c r="A4879" s="26" t="s">
        <v>8968</v>
      </c>
      <c r="B4879" s="26" t="s">
        <v>9793</v>
      </c>
      <c r="C4879" s="26" t="s">
        <v>2</v>
      </c>
      <c r="D4879" s="28" t="s">
        <v>9794</v>
      </c>
      <c r="E4879" s="26">
        <v>29778</v>
      </c>
      <c r="F4879" s="29" t="s">
        <v>8988</v>
      </c>
    </row>
    <row r="4880" spans="1:6" ht="43.5" x14ac:dyDescent="0.35">
      <c r="A4880" s="26" t="s">
        <v>8968</v>
      </c>
      <c r="B4880" s="26" t="s">
        <v>1000</v>
      </c>
      <c r="C4880" s="26" t="s">
        <v>6</v>
      </c>
      <c r="D4880" s="28" t="s">
        <v>9795</v>
      </c>
      <c r="E4880" s="26">
        <v>0</v>
      </c>
      <c r="F4880" s="29" t="s">
        <v>8970</v>
      </c>
    </row>
    <row r="4881" spans="1:6" ht="29" x14ac:dyDescent="0.35">
      <c r="A4881" s="26" t="s">
        <v>8968</v>
      </c>
      <c r="B4881" s="26" t="s">
        <v>9796</v>
      </c>
      <c r="C4881" s="26" t="s">
        <v>3</v>
      </c>
      <c r="D4881" s="28" t="s">
        <v>9797</v>
      </c>
      <c r="E4881" s="26">
        <v>0</v>
      </c>
      <c r="F4881" s="29" t="s">
        <v>8973</v>
      </c>
    </row>
    <row r="4882" spans="1:6" ht="43.5" x14ac:dyDescent="0.35">
      <c r="A4882" s="26" t="s">
        <v>8968</v>
      </c>
      <c r="B4882" s="26" t="s">
        <v>1002</v>
      </c>
      <c r="C4882" s="26" t="s">
        <v>5</v>
      </c>
      <c r="D4882" s="28" t="s">
        <v>9798</v>
      </c>
      <c r="E4882" s="26">
        <v>0.74</v>
      </c>
      <c r="F4882" s="29" t="s">
        <v>8975</v>
      </c>
    </row>
    <row r="4883" spans="1:6" ht="43.5" x14ac:dyDescent="0.35">
      <c r="A4883" s="26" t="s">
        <v>8968</v>
      </c>
      <c r="B4883" s="26" t="s">
        <v>9799</v>
      </c>
      <c r="C4883" s="26" t="s">
        <v>1</v>
      </c>
      <c r="D4883" s="28" t="s">
        <v>9800</v>
      </c>
      <c r="E4883" s="26">
        <v>0</v>
      </c>
      <c r="F4883" s="29" t="s">
        <v>8978</v>
      </c>
    </row>
    <row r="4884" spans="1:6" ht="43.5" x14ac:dyDescent="0.35">
      <c r="A4884" s="26" t="s">
        <v>8968</v>
      </c>
      <c r="B4884" s="26" t="s">
        <v>9801</v>
      </c>
      <c r="C4884" s="26" t="s">
        <v>7</v>
      </c>
      <c r="D4884" s="28" t="s">
        <v>9802</v>
      </c>
      <c r="E4884" s="26">
        <v>0</v>
      </c>
      <c r="F4884" s="29" t="s">
        <v>8981</v>
      </c>
    </row>
    <row r="4885" spans="1:6" ht="29" x14ac:dyDescent="0.35">
      <c r="A4885" s="26" t="s">
        <v>8968</v>
      </c>
      <c r="B4885" s="26" t="s">
        <v>1004</v>
      </c>
      <c r="C4885" s="26" t="s">
        <v>4</v>
      </c>
      <c r="D4885" s="28" t="s">
        <v>9803</v>
      </c>
      <c r="E4885" s="26">
        <v>0</v>
      </c>
      <c r="F4885" s="29" t="s">
        <v>8983</v>
      </c>
    </row>
    <row r="4886" spans="1:6" ht="43.5" x14ac:dyDescent="0.35">
      <c r="A4886" s="26" t="s">
        <v>8968</v>
      </c>
      <c r="B4886" s="26" t="s">
        <v>9804</v>
      </c>
      <c r="C4886" s="26" t="s">
        <v>8</v>
      </c>
      <c r="D4886" s="28" t="s">
        <v>9805</v>
      </c>
      <c r="E4886" s="26">
        <v>0.51</v>
      </c>
      <c r="F4886" s="29" t="s">
        <v>8985</v>
      </c>
    </row>
    <row r="4887" spans="1:6" ht="43.5" x14ac:dyDescent="0.35">
      <c r="A4887" s="26" t="s">
        <v>8968</v>
      </c>
      <c r="B4887" s="26" t="s">
        <v>9806</v>
      </c>
      <c r="C4887" s="26" t="s">
        <v>2</v>
      </c>
      <c r="D4887" s="28" t="s">
        <v>9807</v>
      </c>
      <c r="E4887" s="26">
        <v>29778</v>
      </c>
      <c r="F4887" s="29" t="s">
        <v>8988</v>
      </c>
    </row>
    <row r="4888" spans="1:6" ht="43.5" x14ac:dyDescent="0.35">
      <c r="A4888" s="26" t="s">
        <v>8968</v>
      </c>
      <c r="B4888" s="26" t="s">
        <v>1012</v>
      </c>
      <c r="C4888" s="26" t="s">
        <v>6</v>
      </c>
      <c r="D4888" s="28" t="s">
        <v>9808</v>
      </c>
      <c r="E4888" s="26">
        <v>0</v>
      </c>
      <c r="F4888" s="29" t="s">
        <v>8970</v>
      </c>
    </row>
    <row r="4889" spans="1:6" ht="29" x14ac:dyDescent="0.35">
      <c r="A4889" s="26" t="s">
        <v>8968</v>
      </c>
      <c r="B4889" s="26" t="s">
        <v>9809</v>
      </c>
      <c r="C4889" s="26" t="s">
        <v>3</v>
      </c>
      <c r="D4889" s="28" t="s">
        <v>9810</v>
      </c>
      <c r="E4889" s="26">
        <v>0</v>
      </c>
      <c r="F4889" s="29" t="s">
        <v>8973</v>
      </c>
    </row>
    <row r="4890" spans="1:6" ht="43.5" x14ac:dyDescent="0.35">
      <c r="A4890" s="26" t="s">
        <v>8968</v>
      </c>
      <c r="B4890" s="26" t="s">
        <v>1014</v>
      </c>
      <c r="C4890" s="26" t="s">
        <v>5</v>
      </c>
      <c r="D4890" s="28" t="s">
        <v>9811</v>
      </c>
      <c r="E4890" s="26">
        <v>0.74</v>
      </c>
      <c r="F4890" s="29" t="s">
        <v>8975</v>
      </c>
    </row>
    <row r="4891" spans="1:6" ht="43.5" x14ac:dyDescent="0.35">
      <c r="A4891" s="26" t="s">
        <v>8968</v>
      </c>
      <c r="B4891" s="26" t="s">
        <v>9812</v>
      </c>
      <c r="C4891" s="26" t="s">
        <v>1</v>
      </c>
      <c r="D4891" s="28" t="s">
        <v>9813</v>
      </c>
      <c r="E4891" s="26">
        <v>0</v>
      </c>
      <c r="F4891" s="29" t="s">
        <v>8978</v>
      </c>
    </row>
    <row r="4892" spans="1:6" ht="43.5" x14ac:dyDescent="0.35">
      <c r="A4892" s="26" t="s">
        <v>8968</v>
      </c>
      <c r="B4892" s="26" t="s">
        <v>9814</v>
      </c>
      <c r="C4892" s="26" t="s">
        <v>7</v>
      </c>
      <c r="D4892" s="28" t="s">
        <v>9815</v>
      </c>
      <c r="E4892" s="26">
        <v>0</v>
      </c>
      <c r="F4892" s="29" t="s">
        <v>8981</v>
      </c>
    </row>
    <row r="4893" spans="1:6" ht="29" x14ac:dyDescent="0.35">
      <c r="A4893" s="26" t="s">
        <v>8968</v>
      </c>
      <c r="B4893" s="26" t="s">
        <v>1016</v>
      </c>
      <c r="C4893" s="26" t="s">
        <v>4</v>
      </c>
      <c r="D4893" s="28" t="s">
        <v>9816</v>
      </c>
      <c r="E4893" s="26">
        <v>0</v>
      </c>
      <c r="F4893" s="29" t="s">
        <v>8983</v>
      </c>
    </row>
    <row r="4894" spans="1:6" ht="43.5" x14ac:dyDescent="0.35">
      <c r="A4894" s="26" t="s">
        <v>8968</v>
      </c>
      <c r="B4894" s="26" t="s">
        <v>9817</v>
      </c>
      <c r="C4894" s="26" t="s">
        <v>8</v>
      </c>
      <c r="D4894" s="28" t="s">
        <v>9818</v>
      </c>
      <c r="E4894" s="26">
        <v>0.51</v>
      </c>
      <c r="F4894" s="29" t="s">
        <v>8985</v>
      </c>
    </row>
    <row r="4895" spans="1:6" ht="43.5" x14ac:dyDescent="0.35">
      <c r="A4895" s="26" t="s">
        <v>8968</v>
      </c>
      <c r="B4895" s="26" t="s">
        <v>9819</v>
      </c>
      <c r="C4895" s="26" t="s">
        <v>2</v>
      </c>
      <c r="D4895" s="28" t="s">
        <v>9820</v>
      </c>
      <c r="E4895" s="26">
        <v>29778</v>
      </c>
      <c r="F4895" s="29" t="s">
        <v>8988</v>
      </c>
    </row>
    <row r="4896" spans="1:6" ht="43.5" x14ac:dyDescent="0.35">
      <c r="A4896" s="26" t="s">
        <v>8968</v>
      </c>
      <c r="B4896" s="26" t="s">
        <v>1024</v>
      </c>
      <c r="C4896" s="26" t="s">
        <v>6</v>
      </c>
      <c r="D4896" s="28" t="s">
        <v>9821</v>
      </c>
      <c r="E4896" s="26">
        <v>0</v>
      </c>
      <c r="F4896" s="29" t="s">
        <v>8970</v>
      </c>
    </row>
    <row r="4897" spans="1:6" ht="29" x14ac:dyDescent="0.35">
      <c r="A4897" s="26" t="s">
        <v>8968</v>
      </c>
      <c r="B4897" s="26" t="s">
        <v>9822</v>
      </c>
      <c r="C4897" s="26" t="s">
        <v>3</v>
      </c>
      <c r="D4897" s="28" t="s">
        <v>9823</v>
      </c>
      <c r="E4897" s="26">
        <v>0</v>
      </c>
      <c r="F4897" s="29" t="s">
        <v>8973</v>
      </c>
    </row>
    <row r="4898" spans="1:6" ht="43.5" x14ac:dyDescent="0.35">
      <c r="A4898" s="26" t="s">
        <v>8968</v>
      </c>
      <c r="B4898" s="26" t="s">
        <v>1026</v>
      </c>
      <c r="C4898" s="26" t="s">
        <v>5</v>
      </c>
      <c r="D4898" s="28" t="s">
        <v>9824</v>
      </c>
      <c r="E4898" s="26">
        <v>0.74</v>
      </c>
      <c r="F4898" s="29" t="s">
        <v>8975</v>
      </c>
    </row>
    <row r="4899" spans="1:6" ht="43.5" x14ac:dyDescent="0.35">
      <c r="A4899" s="26" t="s">
        <v>8968</v>
      </c>
      <c r="B4899" s="26" t="s">
        <v>9825</v>
      </c>
      <c r="C4899" s="26" t="s">
        <v>1</v>
      </c>
      <c r="D4899" s="28" t="s">
        <v>9826</v>
      </c>
      <c r="E4899" s="26">
        <v>0</v>
      </c>
      <c r="F4899" s="29" t="s">
        <v>8978</v>
      </c>
    </row>
    <row r="4900" spans="1:6" ht="43.5" x14ac:dyDescent="0.35">
      <c r="A4900" s="26" t="s">
        <v>8968</v>
      </c>
      <c r="B4900" s="26" t="s">
        <v>9827</v>
      </c>
      <c r="C4900" s="26" t="s">
        <v>7</v>
      </c>
      <c r="D4900" s="28" t="s">
        <v>9828</v>
      </c>
      <c r="E4900" s="26">
        <v>0</v>
      </c>
      <c r="F4900" s="29" t="s">
        <v>8981</v>
      </c>
    </row>
    <row r="4901" spans="1:6" ht="29" x14ac:dyDescent="0.35">
      <c r="A4901" s="26" t="s">
        <v>8968</v>
      </c>
      <c r="B4901" s="26" t="s">
        <v>1028</v>
      </c>
      <c r="C4901" s="26" t="s">
        <v>4</v>
      </c>
      <c r="D4901" s="28" t="s">
        <v>9829</v>
      </c>
      <c r="E4901" s="26">
        <v>0</v>
      </c>
      <c r="F4901" s="29" t="s">
        <v>8983</v>
      </c>
    </row>
    <row r="4902" spans="1:6" ht="43.5" x14ac:dyDescent="0.35">
      <c r="A4902" s="26" t="s">
        <v>8968</v>
      </c>
      <c r="B4902" s="26" t="s">
        <v>9830</v>
      </c>
      <c r="C4902" s="26" t="s">
        <v>8</v>
      </c>
      <c r="D4902" s="28" t="s">
        <v>9831</v>
      </c>
      <c r="E4902" s="26">
        <v>0.51</v>
      </c>
      <c r="F4902" s="29" t="s">
        <v>8985</v>
      </c>
    </row>
    <row r="4903" spans="1:6" ht="43.5" x14ac:dyDescent="0.35">
      <c r="A4903" s="26" t="s">
        <v>8968</v>
      </c>
      <c r="B4903" s="26" t="s">
        <v>9832</v>
      </c>
      <c r="C4903" s="26" t="s">
        <v>2</v>
      </c>
      <c r="D4903" s="28" t="s">
        <v>9833</v>
      </c>
      <c r="E4903" s="26">
        <v>29778</v>
      </c>
      <c r="F4903" s="29" t="s">
        <v>8988</v>
      </c>
    </row>
    <row r="4904" spans="1:6" ht="43.5" x14ac:dyDescent="0.35">
      <c r="A4904" s="26" t="s">
        <v>8968</v>
      </c>
      <c r="B4904" s="26" t="s">
        <v>1036</v>
      </c>
      <c r="C4904" s="26" t="s">
        <v>6</v>
      </c>
      <c r="D4904" s="28" t="s">
        <v>9834</v>
      </c>
      <c r="E4904" s="26">
        <v>0</v>
      </c>
      <c r="F4904" s="29" t="s">
        <v>8970</v>
      </c>
    </row>
    <row r="4905" spans="1:6" ht="29" x14ac:dyDescent="0.35">
      <c r="A4905" s="26" t="s">
        <v>8968</v>
      </c>
      <c r="B4905" s="26" t="s">
        <v>9835</v>
      </c>
      <c r="C4905" s="26" t="s">
        <v>3</v>
      </c>
      <c r="D4905" s="28" t="s">
        <v>9836</v>
      </c>
      <c r="E4905" s="26">
        <v>0</v>
      </c>
      <c r="F4905" s="29" t="s">
        <v>8973</v>
      </c>
    </row>
    <row r="4906" spans="1:6" ht="43.5" x14ac:dyDescent="0.35">
      <c r="A4906" s="26" t="s">
        <v>8968</v>
      </c>
      <c r="B4906" s="26" t="s">
        <v>1038</v>
      </c>
      <c r="C4906" s="26" t="s">
        <v>5</v>
      </c>
      <c r="D4906" s="28" t="s">
        <v>9837</v>
      </c>
      <c r="E4906" s="26">
        <v>0.74</v>
      </c>
      <c r="F4906" s="29" t="s">
        <v>8975</v>
      </c>
    </row>
    <row r="4907" spans="1:6" ht="43.5" x14ac:dyDescent="0.35">
      <c r="A4907" s="26" t="s">
        <v>8968</v>
      </c>
      <c r="B4907" s="26" t="s">
        <v>9838</v>
      </c>
      <c r="C4907" s="26" t="s">
        <v>1</v>
      </c>
      <c r="D4907" s="28" t="s">
        <v>9839</v>
      </c>
      <c r="E4907" s="26">
        <v>0</v>
      </c>
      <c r="F4907" s="29" t="s">
        <v>8978</v>
      </c>
    </row>
    <row r="4908" spans="1:6" ht="43.5" x14ac:dyDescent="0.35">
      <c r="A4908" s="26" t="s">
        <v>8968</v>
      </c>
      <c r="B4908" s="26" t="s">
        <v>9840</v>
      </c>
      <c r="C4908" s="26" t="s">
        <v>7</v>
      </c>
      <c r="D4908" s="28" t="s">
        <v>9841</v>
      </c>
      <c r="E4908" s="26">
        <v>0</v>
      </c>
      <c r="F4908" s="29" t="s">
        <v>8981</v>
      </c>
    </row>
    <row r="4909" spans="1:6" ht="29" x14ac:dyDescent="0.35">
      <c r="A4909" s="26" t="s">
        <v>8968</v>
      </c>
      <c r="B4909" s="26" t="s">
        <v>1040</v>
      </c>
      <c r="C4909" s="26" t="s">
        <v>4</v>
      </c>
      <c r="D4909" s="28" t="s">
        <v>9842</v>
      </c>
      <c r="E4909" s="26">
        <v>0</v>
      </c>
      <c r="F4909" s="29" t="s">
        <v>8983</v>
      </c>
    </row>
    <row r="4910" spans="1:6" ht="43.5" x14ac:dyDescent="0.35">
      <c r="A4910" s="26" t="s">
        <v>8968</v>
      </c>
      <c r="B4910" s="26" t="s">
        <v>9843</v>
      </c>
      <c r="C4910" s="26" t="s">
        <v>8</v>
      </c>
      <c r="D4910" s="28" t="s">
        <v>9844</v>
      </c>
      <c r="E4910" s="26">
        <v>0.51</v>
      </c>
      <c r="F4910" s="29" t="s">
        <v>8985</v>
      </c>
    </row>
    <row r="4911" spans="1:6" ht="43.5" x14ac:dyDescent="0.35">
      <c r="A4911" s="26" t="s">
        <v>8968</v>
      </c>
      <c r="B4911" s="26" t="s">
        <v>9845</v>
      </c>
      <c r="C4911" s="26" t="s">
        <v>2</v>
      </c>
      <c r="D4911" s="28" t="s">
        <v>9846</v>
      </c>
      <c r="E4911" s="26">
        <v>29778</v>
      </c>
      <c r="F4911" s="29" t="s">
        <v>8988</v>
      </c>
    </row>
    <row r="4912" spans="1:6" ht="43.5" x14ac:dyDescent="0.35">
      <c r="A4912" s="26" t="s">
        <v>8968</v>
      </c>
      <c r="B4912" s="26" t="s">
        <v>1048</v>
      </c>
      <c r="C4912" s="26" t="s">
        <v>6</v>
      </c>
      <c r="D4912" s="28" t="s">
        <v>9847</v>
      </c>
      <c r="E4912" s="26">
        <v>0</v>
      </c>
      <c r="F4912" s="29" t="s">
        <v>8970</v>
      </c>
    </row>
    <row r="4913" spans="1:6" ht="29" x14ac:dyDescent="0.35">
      <c r="A4913" s="26" t="s">
        <v>8968</v>
      </c>
      <c r="B4913" s="26" t="s">
        <v>9848</v>
      </c>
      <c r="C4913" s="26" t="s">
        <v>3</v>
      </c>
      <c r="D4913" s="28" t="s">
        <v>9849</v>
      </c>
      <c r="E4913" s="26">
        <v>0</v>
      </c>
      <c r="F4913" s="29" t="s">
        <v>8973</v>
      </c>
    </row>
    <row r="4914" spans="1:6" ht="43.5" x14ac:dyDescent="0.35">
      <c r="A4914" s="26" t="s">
        <v>8968</v>
      </c>
      <c r="B4914" s="26" t="s">
        <v>1050</v>
      </c>
      <c r="C4914" s="26" t="s">
        <v>5</v>
      </c>
      <c r="D4914" s="28" t="s">
        <v>9850</v>
      </c>
      <c r="E4914" s="26">
        <v>0.74</v>
      </c>
      <c r="F4914" s="29" t="s">
        <v>8975</v>
      </c>
    </row>
    <row r="4915" spans="1:6" ht="43.5" x14ac:dyDescent="0.35">
      <c r="A4915" s="26" t="s">
        <v>8968</v>
      </c>
      <c r="B4915" s="26" t="s">
        <v>9851</v>
      </c>
      <c r="C4915" s="26" t="s">
        <v>1</v>
      </c>
      <c r="D4915" s="28" t="s">
        <v>9852</v>
      </c>
      <c r="E4915" s="26">
        <v>0</v>
      </c>
      <c r="F4915" s="29" t="s">
        <v>8978</v>
      </c>
    </row>
    <row r="4916" spans="1:6" ht="43.5" x14ac:dyDescent="0.35">
      <c r="A4916" s="26" t="s">
        <v>8968</v>
      </c>
      <c r="B4916" s="26" t="s">
        <v>9853</v>
      </c>
      <c r="C4916" s="26" t="s">
        <v>7</v>
      </c>
      <c r="D4916" s="28" t="s">
        <v>9854</v>
      </c>
      <c r="E4916" s="26">
        <v>0</v>
      </c>
      <c r="F4916" s="29" t="s">
        <v>8981</v>
      </c>
    </row>
    <row r="4917" spans="1:6" ht="29" x14ac:dyDescent="0.35">
      <c r="A4917" s="26" t="s">
        <v>8968</v>
      </c>
      <c r="B4917" s="26" t="s">
        <v>1052</v>
      </c>
      <c r="C4917" s="26" t="s">
        <v>4</v>
      </c>
      <c r="D4917" s="28" t="s">
        <v>9855</v>
      </c>
      <c r="E4917" s="26">
        <v>0</v>
      </c>
      <c r="F4917" s="29" t="s">
        <v>8983</v>
      </c>
    </row>
    <row r="4918" spans="1:6" ht="43.5" x14ac:dyDescent="0.35">
      <c r="A4918" s="26" t="s">
        <v>8968</v>
      </c>
      <c r="B4918" s="26" t="s">
        <v>9856</v>
      </c>
      <c r="C4918" s="26" t="s">
        <v>8</v>
      </c>
      <c r="D4918" s="28" t="s">
        <v>9857</v>
      </c>
      <c r="E4918" s="26">
        <v>0.51</v>
      </c>
      <c r="F4918" s="29" t="s">
        <v>8985</v>
      </c>
    </row>
    <row r="4919" spans="1:6" ht="43.5" x14ac:dyDescent="0.35">
      <c r="A4919" s="26" t="s">
        <v>8968</v>
      </c>
      <c r="B4919" s="26" t="s">
        <v>9858</v>
      </c>
      <c r="C4919" s="26" t="s">
        <v>2</v>
      </c>
      <c r="D4919" s="28" t="s">
        <v>9859</v>
      </c>
      <c r="E4919" s="26">
        <v>29778</v>
      </c>
      <c r="F4919" s="29" t="s">
        <v>8988</v>
      </c>
    </row>
    <row r="4920" spans="1:6" ht="43.5" x14ac:dyDescent="0.35">
      <c r="A4920" s="26" t="s">
        <v>8968</v>
      </c>
      <c r="B4920" s="26" t="s">
        <v>1060</v>
      </c>
      <c r="C4920" s="26" t="s">
        <v>6</v>
      </c>
      <c r="D4920" s="28" t="s">
        <v>9860</v>
      </c>
      <c r="E4920" s="26">
        <v>0</v>
      </c>
      <c r="F4920" s="29" t="s">
        <v>8970</v>
      </c>
    </row>
    <row r="4921" spans="1:6" ht="29" x14ac:dyDescent="0.35">
      <c r="A4921" s="26" t="s">
        <v>8968</v>
      </c>
      <c r="B4921" s="26" t="s">
        <v>9861</v>
      </c>
      <c r="C4921" s="26" t="s">
        <v>3</v>
      </c>
      <c r="D4921" s="28" t="s">
        <v>9862</v>
      </c>
      <c r="E4921" s="26">
        <v>0</v>
      </c>
      <c r="F4921" s="29" t="s">
        <v>8973</v>
      </c>
    </row>
    <row r="4922" spans="1:6" ht="43.5" x14ac:dyDescent="0.35">
      <c r="A4922" s="26" t="s">
        <v>8968</v>
      </c>
      <c r="B4922" s="26" t="s">
        <v>1062</v>
      </c>
      <c r="C4922" s="26" t="s">
        <v>5</v>
      </c>
      <c r="D4922" s="28" t="s">
        <v>9863</v>
      </c>
      <c r="E4922" s="26">
        <v>0.74</v>
      </c>
      <c r="F4922" s="29" t="s">
        <v>8975</v>
      </c>
    </row>
    <row r="4923" spans="1:6" ht="43.5" x14ac:dyDescent="0.35">
      <c r="A4923" s="26" t="s">
        <v>8968</v>
      </c>
      <c r="B4923" s="26" t="s">
        <v>9864</v>
      </c>
      <c r="C4923" s="26" t="s">
        <v>1</v>
      </c>
      <c r="D4923" s="28" t="s">
        <v>9865</v>
      </c>
      <c r="E4923" s="26">
        <v>0</v>
      </c>
      <c r="F4923" s="29" t="s">
        <v>8978</v>
      </c>
    </row>
    <row r="4924" spans="1:6" ht="43.5" x14ac:dyDescent="0.35">
      <c r="A4924" s="26" t="s">
        <v>8968</v>
      </c>
      <c r="B4924" s="26" t="s">
        <v>9866</v>
      </c>
      <c r="C4924" s="26" t="s">
        <v>7</v>
      </c>
      <c r="D4924" s="28" t="s">
        <v>9867</v>
      </c>
      <c r="E4924" s="26">
        <v>0</v>
      </c>
      <c r="F4924" s="29" t="s">
        <v>8981</v>
      </c>
    </row>
    <row r="4925" spans="1:6" ht="29" x14ac:dyDescent="0.35">
      <c r="A4925" s="26" t="s">
        <v>8968</v>
      </c>
      <c r="B4925" s="26" t="s">
        <v>1064</v>
      </c>
      <c r="C4925" s="26" t="s">
        <v>4</v>
      </c>
      <c r="D4925" s="28" t="s">
        <v>9868</v>
      </c>
      <c r="E4925" s="26">
        <v>0</v>
      </c>
      <c r="F4925" s="29" t="s">
        <v>8983</v>
      </c>
    </row>
    <row r="4926" spans="1:6" ht="43.5" x14ac:dyDescent="0.35">
      <c r="A4926" s="26" t="s">
        <v>8968</v>
      </c>
      <c r="B4926" s="26" t="s">
        <v>9869</v>
      </c>
      <c r="C4926" s="26" t="s">
        <v>8</v>
      </c>
      <c r="D4926" s="28" t="s">
        <v>9870</v>
      </c>
      <c r="E4926" s="26">
        <v>0.51</v>
      </c>
      <c r="F4926" s="29" t="s">
        <v>8985</v>
      </c>
    </row>
    <row r="4927" spans="1:6" ht="43.5" x14ac:dyDescent="0.35">
      <c r="A4927" s="26" t="s">
        <v>8968</v>
      </c>
      <c r="B4927" s="26" t="s">
        <v>9871</v>
      </c>
      <c r="C4927" s="26" t="s">
        <v>2</v>
      </c>
      <c r="D4927" s="28" t="s">
        <v>9872</v>
      </c>
      <c r="E4927" s="26">
        <v>29778</v>
      </c>
      <c r="F4927" s="29" t="s">
        <v>8988</v>
      </c>
    </row>
    <row r="4928" spans="1:6" ht="43.5" x14ac:dyDescent="0.35">
      <c r="A4928" s="26" t="s">
        <v>8968</v>
      </c>
      <c r="B4928" s="26" t="s">
        <v>1072</v>
      </c>
      <c r="C4928" s="26" t="s">
        <v>6</v>
      </c>
      <c r="D4928" s="28" t="s">
        <v>9873</v>
      </c>
      <c r="E4928" s="26">
        <v>0</v>
      </c>
      <c r="F4928" s="29" t="s">
        <v>8970</v>
      </c>
    </row>
    <row r="4929" spans="1:6" ht="29" x14ac:dyDescent="0.35">
      <c r="A4929" s="26" t="s">
        <v>8968</v>
      </c>
      <c r="B4929" s="26" t="s">
        <v>9874</v>
      </c>
      <c r="C4929" s="26" t="s">
        <v>3</v>
      </c>
      <c r="D4929" s="28" t="s">
        <v>9875</v>
      </c>
      <c r="E4929" s="26">
        <v>0</v>
      </c>
      <c r="F4929" s="29" t="s">
        <v>8973</v>
      </c>
    </row>
    <row r="4930" spans="1:6" ht="43.5" x14ac:dyDescent="0.35">
      <c r="A4930" s="26" t="s">
        <v>8968</v>
      </c>
      <c r="B4930" s="26" t="s">
        <v>1074</v>
      </c>
      <c r="C4930" s="26" t="s">
        <v>5</v>
      </c>
      <c r="D4930" s="28" t="s">
        <v>9876</v>
      </c>
      <c r="E4930" s="26">
        <v>0.74</v>
      </c>
      <c r="F4930" s="29" t="s">
        <v>8975</v>
      </c>
    </row>
    <row r="4931" spans="1:6" ht="43.5" x14ac:dyDescent="0.35">
      <c r="A4931" s="26" t="s">
        <v>8968</v>
      </c>
      <c r="B4931" s="26" t="s">
        <v>9877</v>
      </c>
      <c r="C4931" s="26" t="s">
        <v>1</v>
      </c>
      <c r="D4931" s="28" t="s">
        <v>9878</v>
      </c>
      <c r="E4931" s="26">
        <v>0</v>
      </c>
      <c r="F4931" s="29" t="s">
        <v>8978</v>
      </c>
    </row>
    <row r="4932" spans="1:6" ht="43.5" x14ac:dyDescent="0.35">
      <c r="A4932" s="26" t="s">
        <v>8968</v>
      </c>
      <c r="B4932" s="26" t="s">
        <v>9879</v>
      </c>
      <c r="C4932" s="26" t="s">
        <v>7</v>
      </c>
      <c r="D4932" s="28" t="s">
        <v>9880</v>
      </c>
      <c r="E4932" s="26">
        <v>0</v>
      </c>
      <c r="F4932" s="29" t="s">
        <v>8981</v>
      </c>
    </row>
    <row r="4933" spans="1:6" ht="29" x14ac:dyDescent="0.35">
      <c r="A4933" s="26" t="s">
        <v>8968</v>
      </c>
      <c r="B4933" s="26" t="s">
        <v>1076</v>
      </c>
      <c r="C4933" s="26" t="s">
        <v>4</v>
      </c>
      <c r="D4933" s="28" t="s">
        <v>9881</v>
      </c>
      <c r="E4933" s="26">
        <v>0</v>
      </c>
      <c r="F4933" s="29" t="s">
        <v>8983</v>
      </c>
    </row>
    <row r="4934" spans="1:6" ht="43.5" x14ac:dyDescent="0.35">
      <c r="A4934" s="26" t="s">
        <v>8968</v>
      </c>
      <c r="B4934" s="26" t="s">
        <v>9882</v>
      </c>
      <c r="C4934" s="26" t="s">
        <v>8</v>
      </c>
      <c r="D4934" s="28" t="s">
        <v>9883</v>
      </c>
      <c r="E4934" s="26">
        <v>0.51</v>
      </c>
      <c r="F4934" s="29" t="s">
        <v>8985</v>
      </c>
    </row>
    <row r="4935" spans="1:6" ht="43.5" x14ac:dyDescent="0.35">
      <c r="A4935" s="26" t="s">
        <v>8968</v>
      </c>
      <c r="B4935" s="26" t="s">
        <v>9884</v>
      </c>
      <c r="C4935" s="26" t="s">
        <v>2</v>
      </c>
      <c r="D4935" s="28" t="s">
        <v>9885</v>
      </c>
      <c r="E4935" s="26">
        <v>29778</v>
      </c>
      <c r="F4935" s="29" t="s">
        <v>8988</v>
      </c>
    </row>
    <row r="4936" spans="1:6" ht="43.5" x14ac:dyDescent="0.35">
      <c r="A4936" s="26" t="s">
        <v>8968</v>
      </c>
      <c r="B4936" s="26" t="s">
        <v>1084</v>
      </c>
      <c r="C4936" s="26" t="s">
        <v>6</v>
      </c>
      <c r="D4936" s="28" t="s">
        <v>9886</v>
      </c>
      <c r="E4936" s="26">
        <v>0</v>
      </c>
      <c r="F4936" s="29" t="s">
        <v>8970</v>
      </c>
    </row>
    <row r="4937" spans="1:6" ht="29" x14ac:dyDescent="0.35">
      <c r="A4937" s="26" t="s">
        <v>8968</v>
      </c>
      <c r="B4937" s="26" t="s">
        <v>9887</v>
      </c>
      <c r="C4937" s="26" t="s">
        <v>3</v>
      </c>
      <c r="D4937" s="28" t="s">
        <v>9888</v>
      </c>
      <c r="E4937" s="26">
        <v>0</v>
      </c>
      <c r="F4937" s="29" t="s">
        <v>8973</v>
      </c>
    </row>
    <row r="4938" spans="1:6" ht="43.5" x14ac:dyDescent="0.35">
      <c r="A4938" s="26" t="s">
        <v>8968</v>
      </c>
      <c r="B4938" s="26" t="s">
        <v>1086</v>
      </c>
      <c r="C4938" s="26" t="s">
        <v>5</v>
      </c>
      <c r="D4938" s="28" t="s">
        <v>9889</v>
      </c>
      <c r="E4938" s="26">
        <v>0.74</v>
      </c>
      <c r="F4938" s="29" t="s">
        <v>8975</v>
      </c>
    </row>
    <row r="4939" spans="1:6" ht="43.5" x14ac:dyDescent="0.35">
      <c r="A4939" s="26" t="s">
        <v>8968</v>
      </c>
      <c r="B4939" s="26" t="s">
        <v>9890</v>
      </c>
      <c r="C4939" s="26" t="s">
        <v>1</v>
      </c>
      <c r="D4939" s="28" t="s">
        <v>9891</v>
      </c>
      <c r="E4939" s="26">
        <v>0</v>
      </c>
      <c r="F4939" s="29" t="s">
        <v>8978</v>
      </c>
    </row>
    <row r="4940" spans="1:6" ht="43.5" x14ac:dyDescent="0.35">
      <c r="A4940" s="26" t="s">
        <v>8968</v>
      </c>
      <c r="B4940" s="26" t="s">
        <v>9892</v>
      </c>
      <c r="C4940" s="26" t="s">
        <v>7</v>
      </c>
      <c r="D4940" s="28" t="s">
        <v>9893</v>
      </c>
      <c r="E4940" s="26">
        <v>0</v>
      </c>
      <c r="F4940" s="29" t="s">
        <v>8981</v>
      </c>
    </row>
    <row r="4941" spans="1:6" ht="29" x14ac:dyDescent="0.35">
      <c r="A4941" s="26" t="s">
        <v>8968</v>
      </c>
      <c r="B4941" s="26" t="s">
        <v>1088</v>
      </c>
      <c r="C4941" s="26" t="s">
        <v>4</v>
      </c>
      <c r="D4941" s="28" t="s">
        <v>9894</v>
      </c>
      <c r="E4941" s="26">
        <v>0</v>
      </c>
      <c r="F4941" s="29" t="s">
        <v>8983</v>
      </c>
    </row>
    <row r="4942" spans="1:6" ht="43.5" x14ac:dyDescent="0.35">
      <c r="A4942" s="26" t="s">
        <v>8968</v>
      </c>
      <c r="B4942" s="26" t="s">
        <v>9895</v>
      </c>
      <c r="C4942" s="26" t="s">
        <v>8</v>
      </c>
      <c r="D4942" s="28" t="s">
        <v>9896</v>
      </c>
      <c r="E4942" s="26">
        <v>0.51</v>
      </c>
      <c r="F4942" s="29" t="s">
        <v>8985</v>
      </c>
    </row>
    <row r="4943" spans="1:6" ht="43.5" x14ac:dyDescent="0.35">
      <c r="A4943" s="26" t="s">
        <v>8968</v>
      </c>
      <c r="B4943" s="26" t="s">
        <v>9897</v>
      </c>
      <c r="C4943" s="26" t="s">
        <v>2</v>
      </c>
      <c r="D4943" s="28" t="s">
        <v>9898</v>
      </c>
      <c r="E4943" s="26">
        <v>29778</v>
      </c>
      <c r="F4943" s="29" t="s">
        <v>8988</v>
      </c>
    </row>
    <row r="4944" spans="1:6" ht="43.5" x14ac:dyDescent="0.35">
      <c r="A4944" s="26" t="s">
        <v>8968</v>
      </c>
      <c r="B4944" s="26" t="s">
        <v>1096</v>
      </c>
      <c r="C4944" s="26" t="s">
        <v>6</v>
      </c>
      <c r="D4944" s="28" t="s">
        <v>9899</v>
      </c>
      <c r="E4944" s="26">
        <v>0</v>
      </c>
      <c r="F4944" s="29" t="s">
        <v>8970</v>
      </c>
    </row>
    <row r="4945" spans="1:6" ht="29" x14ac:dyDescent="0.35">
      <c r="A4945" s="26" t="s">
        <v>8968</v>
      </c>
      <c r="B4945" s="26" t="s">
        <v>9900</v>
      </c>
      <c r="C4945" s="26" t="s">
        <v>3</v>
      </c>
      <c r="D4945" s="28" t="s">
        <v>9901</v>
      </c>
      <c r="E4945" s="26">
        <v>0</v>
      </c>
      <c r="F4945" s="29" t="s">
        <v>8973</v>
      </c>
    </row>
    <row r="4946" spans="1:6" ht="43.5" x14ac:dyDescent="0.35">
      <c r="A4946" s="26" t="s">
        <v>8968</v>
      </c>
      <c r="B4946" s="26" t="s">
        <v>1098</v>
      </c>
      <c r="C4946" s="26" t="s">
        <v>5</v>
      </c>
      <c r="D4946" s="28" t="s">
        <v>9902</v>
      </c>
      <c r="E4946" s="26">
        <v>0.74</v>
      </c>
      <c r="F4946" s="29" t="s">
        <v>8975</v>
      </c>
    </row>
    <row r="4947" spans="1:6" ht="43.5" x14ac:dyDescent="0.35">
      <c r="A4947" s="26" t="s">
        <v>8968</v>
      </c>
      <c r="B4947" s="26" t="s">
        <v>9903</v>
      </c>
      <c r="C4947" s="26" t="s">
        <v>1</v>
      </c>
      <c r="D4947" s="28" t="s">
        <v>9904</v>
      </c>
      <c r="E4947" s="26">
        <v>0</v>
      </c>
      <c r="F4947" s="29" t="s">
        <v>8978</v>
      </c>
    </row>
    <row r="4948" spans="1:6" ht="43.5" x14ac:dyDescent="0.35">
      <c r="A4948" s="26" t="s">
        <v>8968</v>
      </c>
      <c r="B4948" s="26" t="s">
        <v>9905</v>
      </c>
      <c r="C4948" s="26" t="s">
        <v>7</v>
      </c>
      <c r="D4948" s="28" t="s">
        <v>9906</v>
      </c>
      <c r="E4948" s="26">
        <v>0</v>
      </c>
      <c r="F4948" s="29" t="s">
        <v>8981</v>
      </c>
    </row>
    <row r="4949" spans="1:6" ht="29" x14ac:dyDescent="0.35">
      <c r="A4949" s="26" t="s">
        <v>8968</v>
      </c>
      <c r="B4949" s="26" t="s">
        <v>1100</v>
      </c>
      <c r="C4949" s="26" t="s">
        <v>4</v>
      </c>
      <c r="D4949" s="28" t="s">
        <v>9907</v>
      </c>
      <c r="E4949" s="26">
        <v>0</v>
      </c>
      <c r="F4949" s="29" t="s">
        <v>8983</v>
      </c>
    </row>
    <row r="4950" spans="1:6" ht="43.5" x14ac:dyDescent="0.35">
      <c r="A4950" s="26" t="s">
        <v>8968</v>
      </c>
      <c r="B4950" s="26" t="s">
        <v>9908</v>
      </c>
      <c r="C4950" s="26" t="s">
        <v>8</v>
      </c>
      <c r="D4950" s="28" t="s">
        <v>9909</v>
      </c>
      <c r="E4950" s="26">
        <v>0.51</v>
      </c>
      <c r="F4950" s="29" t="s">
        <v>8985</v>
      </c>
    </row>
    <row r="4951" spans="1:6" ht="43.5" x14ac:dyDescent="0.35">
      <c r="A4951" s="26" t="s">
        <v>8968</v>
      </c>
      <c r="B4951" s="26" t="s">
        <v>9910</v>
      </c>
      <c r="C4951" s="26" t="s">
        <v>2</v>
      </c>
      <c r="D4951" s="28" t="s">
        <v>9911</v>
      </c>
      <c r="E4951" s="26">
        <v>29778</v>
      </c>
      <c r="F4951" s="29" t="s">
        <v>8988</v>
      </c>
    </row>
    <row r="4952" spans="1:6" ht="43.5" x14ac:dyDescent="0.35">
      <c r="A4952" s="26" t="s">
        <v>8968</v>
      </c>
      <c r="B4952" s="26" t="s">
        <v>1108</v>
      </c>
      <c r="C4952" s="26" t="s">
        <v>6</v>
      </c>
      <c r="D4952" s="28" t="s">
        <v>9912</v>
      </c>
      <c r="E4952" s="26">
        <v>0</v>
      </c>
      <c r="F4952" s="29" t="s">
        <v>8970</v>
      </c>
    </row>
    <row r="4953" spans="1:6" ht="29" x14ac:dyDescent="0.35">
      <c r="A4953" s="26" t="s">
        <v>8968</v>
      </c>
      <c r="B4953" s="26" t="s">
        <v>9913</v>
      </c>
      <c r="C4953" s="26" t="s">
        <v>3</v>
      </c>
      <c r="D4953" s="28" t="s">
        <v>9914</v>
      </c>
      <c r="E4953" s="26">
        <v>0</v>
      </c>
      <c r="F4953" s="29" t="s">
        <v>8973</v>
      </c>
    </row>
    <row r="4954" spans="1:6" ht="43.5" x14ac:dyDescent="0.35">
      <c r="A4954" s="26" t="s">
        <v>8968</v>
      </c>
      <c r="B4954" s="26" t="s">
        <v>1110</v>
      </c>
      <c r="C4954" s="26" t="s">
        <v>5</v>
      </c>
      <c r="D4954" s="28" t="s">
        <v>9915</v>
      </c>
      <c r="E4954" s="26">
        <v>0.74</v>
      </c>
      <c r="F4954" s="29" t="s">
        <v>8975</v>
      </c>
    </row>
    <row r="4955" spans="1:6" ht="43.5" x14ac:dyDescent="0.35">
      <c r="A4955" s="26" t="s">
        <v>8968</v>
      </c>
      <c r="B4955" s="26" t="s">
        <v>9916</v>
      </c>
      <c r="C4955" s="26" t="s">
        <v>1</v>
      </c>
      <c r="D4955" s="28" t="s">
        <v>9917</v>
      </c>
      <c r="E4955" s="26">
        <v>0</v>
      </c>
      <c r="F4955" s="29" t="s">
        <v>8978</v>
      </c>
    </row>
    <row r="4956" spans="1:6" ht="43.5" x14ac:dyDescent="0.35">
      <c r="A4956" s="26" t="s">
        <v>8968</v>
      </c>
      <c r="B4956" s="26" t="s">
        <v>9918</v>
      </c>
      <c r="C4956" s="26" t="s">
        <v>7</v>
      </c>
      <c r="D4956" s="28" t="s">
        <v>9919</v>
      </c>
      <c r="E4956" s="26">
        <v>0</v>
      </c>
      <c r="F4956" s="29" t="s">
        <v>8981</v>
      </c>
    </row>
    <row r="4957" spans="1:6" ht="29" x14ac:dyDescent="0.35">
      <c r="A4957" s="26" t="s">
        <v>8968</v>
      </c>
      <c r="B4957" s="26" t="s">
        <v>1112</v>
      </c>
      <c r="C4957" s="26" t="s">
        <v>4</v>
      </c>
      <c r="D4957" s="28" t="s">
        <v>9920</v>
      </c>
      <c r="E4957" s="26">
        <v>0</v>
      </c>
      <c r="F4957" s="29" t="s">
        <v>8983</v>
      </c>
    </row>
    <row r="4958" spans="1:6" ht="43.5" x14ac:dyDescent="0.35">
      <c r="A4958" s="26" t="s">
        <v>8968</v>
      </c>
      <c r="B4958" s="26" t="s">
        <v>9921</v>
      </c>
      <c r="C4958" s="26" t="s">
        <v>8</v>
      </c>
      <c r="D4958" s="28" t="s">
        <v>9922</v>
      </c>
      <c r="E4958" s="26">
        <v>0.51</v>
      </c>
      <c r="F4958" s="29" t="s">
        <v>8985</v>
      </c>
    </row>
    <row r="4959" spans="1:6" ht="43.5" x14ac:dyDescent="0.35">
      <c r="A4959" s="26" t="s">
        <v>8968</v>
      </c>
      <c r="B4959" s="26" t="s">
        <v>9923</v>
      </c>
      <c r="C4959" s="26" t="s">
        <v>2</v>
      </c>
      <c r="D4959" s="28" t="s">
        <v>9924</v>
      </c>
      <c r="E4959" s="26">
        <v>29778</v>
      </c>
      <c r="F4959" s="29" t="s">
        <v>8988</v>
      </c>
    </row>
    <row r="4960" spans="1:6" ht="43.5" x14ac:dyDescent="0.35">
      <c r="A4960" s="26" t="s">
        <v>8968</v>
      </c>
      <c r="B4960" s="26" t="s">
        <v>1120</v>
      </c>
      <c r="C4960" s="26" t="s">
        <v>6</v>
      </c>
      <c r="D4960" s="28" t="s">
        <v>9925</v>
      </c>
      <c r="E4960" s="26">
        <v>0</v>
      </c>
      <c r="F4960" s="29" t="s">
        <v>8970</v>
      </c>
    </row>
    <row r="4961" spans="1:6" ht="29" x14ac:dyDescent="0.35">
      <c r="A4961" s="26" t="s">
        <v>8968</v>
      </c>
      <c r="B4961" s="26" t="s">
        <v>9926</v>
      </c>
      <c r="C4961" s="26" t="s">
        <v>3</v>
      </c>
      <c r="D4961" s="28" t="s">
        <v>9927</v>
      </c>
      <c r="E4961" s="26">
        <v>0</v>
      </c>
      <c r="F4961" s="29" t="s">
        <v>8973</v>
      </c>
    </row>
    <row r="4962" spans="1:6" ht="43.5" x14ac:dyDescent="0.35">
      <c r="A4962" s="26" t="s">
        <v>8968</v>
      </c>
      <c r="B4962" s="26" t="s">
        <v>1122</v>
      </c>
      <c r="C4962" s="26" t="s">
        <v>5</v>
      </c>
      <c r="D4962" s="28" t="s">
        <v>9928</v>
      </c>
      <c r="E4962" s="26">
        <v>0.74</v>
      </c>
      <c r="F4962" s="29" t="s">
        <v>8975</v>
      </c>
    </row>
    <row r="4963" spans="1:6" ht="43.5" x14ac:dyDescent="0.35">
      <c r="A4963" s="26" t="s">
        <v>8968</v>
      </c>
      <c r="B4963" s="26" t="s">
        <v>9929</v>
      </c>
      <c r="C4963" s="26" t="s">
        <v>1</v>
      </c>
      <c r="D4963" s="28" t="s">
        <v>9930</v>
      </c>
      <c r="E4963" s="26">
        <v>0</v>
      </c>
      <c r="F4963" s="29" t="s">
        <v>8978</v>
      </c>
    </row>
    <row r="4964" spans="1:6" ht="43.5" x14ac:dyDescent="0.35">
      <c r="A4964" s="26" t="s">
        <v>8968</v>
      </c>
      <c r="B4964" s="26" t="s">
        <v>9931</v>
      </c>
      <c r="C4964" s="26" t="s">
        <v>7</v>
      </c>
      <c r="D4964" s="28" t="s">
        <v>9932</v>
      </c>
      <c r="E4964" s="26">
        <v>0</v>
      </c>
      <c r="F4964" s="29" t="s">
        <v>8981</v>
      </c>
    </row>
    <row r="4965" spans="1:6" ht="29" x14ac:dyDescent="0.35">
      <c r="A4965" s="26" t="s">
        <v>8968</v>
      </c>
      <c r="B4965" s="26" t="s">
        <v>1124</v>
      </c>
      <c r="C4965" s="26" t="s">
        <v>4</v>
      </c>
      <c r="D4965" s="28" t="s">
        <v>9933</v>
      </c>
      <c r="E4965" s="26">
        <v>0</v>
      </c>
      <c r="F4965" s="29" t="s">
        <v>8983</v>
      </c>
    </row>
    <row r="4966" spans="1:6" ht="43.5" x14ac:dyDescent="0.35">
      <c r="A4966" s="26" t="s">
        <v>8968</v>
      </c>
      <c r="B4966" s="26" t="s">
        <v>9934</v>
      </c>
      <c r="C4966" s="26" t="s">
        <v>8</v>
      </c>
      <c r="D4966" s="28" t="s">
        <v>9935</v>
      </c>
      <c r="E4966" s="26">
        <v>0.51</v>
      </c>
      <c r="F4966" s="29" t="s">
        <v>8985</v>
      </c>
    </row>
    <row r="4967" spans="1:6" ht="43.5" x14ac:dyDescent="0.35">
      <c r="A4967" s="26" t="s">
        <v>8968</v>
      </c>
      <c r="B4967" s="26" t="s">
        <v>9936</v>
      </c>
      <c r="C4967" s="26" t="s">
        <v>2</v>
      </c>
      <c r="D4967" s="28" t="s">
        <v>9937</v>
      </c>
      <c r="E4967" s="26">
        <v>29778</v>
      </c>
      <c r="F4967" s="29" t="s">
        <v>8988</v>
      </c>
    </row>
    <row r="4968" spans="1:6" ht="43.5" x14ac:dyDescent="0.35">
      <c r="A4968" s="26" t="s">
        <v>8968</v>
      </c>
      <c r="B4968" s="26" t="s">
        <v>1132</v>
      </c>
      <c r="C4968" s="26" t="s">
        <v>6</v>
      </c>
      <c r="D4968" s="28" t="s">
        <v>9938</v>
      </c>
      <c r="E4968" s="26">
        <v>0</v>
      </c>
      <c r="F4968" s="29" t="s">
        <v>8970</v>
      </c>
    </row>
    <row r="4969" spans="1:6" ht="29" x14ac:dyDescent="0.35">
      <c r="A4969" s="26" t="s">
        <v>8968</v>
      </c>
      <c r="B4969" s="26" t="s">
        <v>9939</v>
      </c>
      <c r="C4969" s="26" t="s">
        <v>3</v>
      </c>
      <c r="D4969" s="28" t="s">
        <v>9940</v>
      </c>
      <c r="E4969" s="26">
        <v>0</v>
      </c>
      <c r="F4969" s="29" t="s">
        <v>8973</v>
      </c>
    </row>
    <row r="4970" spans="1:6" ht="43.5" x14ac:dyDescent="0.35">
      <c r="A4970" s="26" t="s">
        <v>8968</v>
      </c>
      <c r="B4970" s="26" t="s">
        <v>1134</v>
      </c>
      <c r="C4970" s="26" t="s">
        <v>5</v>
      </c>
      <c r="D4970" s="28" t="s">
        <v>9941</v>
      </c>
      <c r="E4970" s="26">
        <v>0.74</v>
      </c>
      <c r="F4970" s="29" t="s">
        <v>8975</v>
      </c>
    </row>
    <row r="4971" spans="1:6" ht="43.5" x14ac:dyDescent="0.35">
      <c r="A4971" s="26" t="s">
        <v>8968</v>
      </c>
      <c r="B4971" s="26" t="s">
        <v>9942</v>
      </c>
      <c r="C4971" s="26" t="s">
        <v>1</v>
      </c>
      <c r="D4971" s="28" t="s">
        <v>9943</v>
      </c>
      <c r="E4971" s="26">
        <v>0</v>
      </c>
      <c r="F4971" s="29" t="s">
        <v>8978</v>
      </c>
    </row>
    <row r="4972" spans="1:6" ht="43.5" x14ac:dyDescent="0.35">
      <c r="A4972" s="26" t="s">
        <v>8968</v>
      </c>
      <c r="B4972" s="26" t="s">
        <v>9944</v>
      </c>
      <c r="C4972" s="26" t="s">
        <v>7</v>
      </c>
      <c r="D4972" s="28" t="s">
        <v>9945</v>
      </c>
      <c r="E4972" s="26">
        <v>0</v>
      </c>
      <c r="F4972" s="29" t="s">
        <v>8981</v>
      </c>
    </row>
    <row r="4973" spans="1:6" ht="29" x14ac:dyDescent="0.35">
      <c r="A4973" s="26" t="s">
        <v>8968</v>
      </c>
      <c r="B4973" s="26" t="s">
        <v>1136</v>
      </c>
      <c r="C4973" s="26" t="s">
        <v>4</v>
      </c>
      <c r="D4973" s="28" t="s">
        <v>9946</v>
      </c>
      <c r="E4973" s="26">
        <v>0</v>
      </c>
      <c r="F4973" s="29" t="s">
        <v>8983</v>
      </c>
    </row>
    <row r="4974" spans="1:6" ht="43.5" x14ac:dyDescent="0.35">
      <c r="A4974" s="26" t="s">
        <v>8968</v>
      </c>
      <c r="B4974" s="26" t="s">
        <v>9947</v>
      </c>
      <c r="C4974" s="26" t="s">
        <v>8</v>
      </c>
      <c r="D4974" s="28" t="s">
        <v>9948</v>
      </c>
      <c r="E4974" s="26">
        <v>0.51</v>
      </c>
      <c r="F4974" s="29" t="s">
        <v>8985</v>
      </c>
    </row>
    <row r="4975" spans="1:6" ht="43.5" x14ac:dyDescent="0.35">
      <c r="A4975" s="26" t="s">
        <v>8968</v>
      </c>
      <c r="B4975" s="26" t="s">
        <v>9949</v>
      </c>
      <c r="C4975" s="26" t="s">
        <v>2</v>
      </c>
      <c r="D4975" s="28" t="s">
        <v>9950</v>
      </c>
      <c r="E4975" s="26">
        <v>29778</v>
      </c>
      <c r="F4975" s="29" t="s">
        <v>8988</v>
      </c>
    </row>
    <row r="4976" spans="1:6" ht="43.5" x14ac:dyDescent="0.35">
      <c r="A4976" s="26" t="s">
        <v>8968</v>
      </c>
      <c r="B4976" s="26" t="s">
        <v>1144</v>
      </c>
      <c r="C4976" s="26" t="s">
        <v>6</v>
      </c>
      <c r="D4976" s="28" t="s">
        <v>9951</v>
      </c>
      <c r="E4976" s="26">
        <v>0</v>
      </c>
      <c r="F4976" s="29" t="s">
        <v>8970</v>
      </c>
    </row>
    <row r="4977" spans="1:6" ht="29" x14ac:dyDescent="0.35">
      <c r="A4977" s="26" t="s">
        <v>8968</v>
      </c>
      <c r="B4977" s="26" t="s">
        <v>9952</v>
      </c>
      <c r="C4977" s="26" t="s">
        <v>3</v>
      </c>
      <c r="D4977" s="28" t="s">
        <v>9953</v>
      </c>
      <c r="E4977" s="26">
        <v>0</v>
      </c>
      <c r="F4977" s="29" t="s">
        <v>8973</v>
      </c>
    </row>
    <row r="4978" spans="1:6" ht="43.5" x14ac:dyDescent="0.35">
      <c r="A4978" s="26" t="s">
        <v>8968</v>
      </c>
      <c r="B4978" s="26" t="s">
        <v>1146</v>
      </c>
      <c r="C4978" s="26" t="s">
        <v>5</v>
      </c>
      <c r="D4978" s="28" t="s">
        <v>9954</v>
      </c>
      <c r="E4978" s="26">
        <v>0.74</v>
      </c>
      <c r="F4978" s="29" t="s">
        <v>8975</v>
      </c>
    </row>
    <row r="4979" spans="1:6" ht="43.5" x14ac:dyDescent="0.35">
      <c r="A4979" s="26" t="s">
        <v>8968</v>
      </c>
      <c r="B4979" s="26" t="s">
        <v>9955</v>
      </c>
      <c r="C4979" s="26" t="s">
        <v>1</v>
      </c>
      <c r="D4979" s="28" t="s">
        <v>9956</v>
      </c>
      <c r="E4979" s="26">
        <v>0</v>
      </c>
      <c r="F4979" s="29" t="s">
        <v>8978</v>
      </c>
    </row>
    <row r="4980" spans="1:6" ht="43.5" x14ac:dyDescent="0.35">
      <c r="A4980" s="26" t="s">
        <v>8968</v>
      </c>
      <c r="B4980" s="26" t="s">
        <v>9957</v>
      </c>
      <c r="C4980" s="26" t="s">
        <v>7</v>
      </c>
      <c r="D4980" s="28" t="s">
        <v>9958</v>
      </c>
      <c r="E4980" s="26">
        <v>0</v>
      </c>
      <c r="F4980" s="29" t="s">
        <v>8981</v>
      </c>
    </row>
    <row r="4981" spans="1:6" ht="29" x14ac:dyDescent="0.35">
      <c r="A4981" s="26" t="s">
        <v>8968</v>
      </c>
      <c r="B4981" s="26" t="s">
        <v>1148</v>
      </c>
      <c r="C4981" s="26" t="s">
        <v>4</v>
      </c>
      <c r="D4981" s="28" t="s">
        <v>9959</v>
      </c>
      <c r="E4981" s="26">
        <v>0</v>
      </c>
      <c r="F4981" s="29" t="s">
        <v>8983</v>
      </c>
    </row>
    <row r="4982" spans="1:6" ht="43.5" x14ac:dyDescent="0.35">
      <c r="A4982" s="26" t="s">
        <v>8968</v>
      </c>
      <c r="B4982" s="26" t="s">
        <v>9960</v>
      </c>
      <c r="C4982" s="26" t="s">
        <v>8</v>
      </c>
      <c r="D4982" s="28" t="s">
        <v>9961</v>
      </c>
      <c r="E4982" s="26">
        <v>0.51</v>
      </c>
      <c r="F4982" s="29" t="s">
        <v>8985</v>
      </c>
    </row>
    <row r="4983" spans="1:6" ht="43.5" x14ac:dyDescent="0.35">
      <c r="A4983" s="26" t="s">
        <v>8968</v>
      </c>
      <c r="B4983" s="26" t="s">
        <v>9962</v>
      </c>
      <c r="C4983" s="26" t="s">
        <v>2</v>
      </c>
      <c r="D4983" s="28" t="s">
        <v>9963</v>
      </c>
      <c r="E4983" s="26">
        <v>29778</v>
      </c>
      <c r="F4983" s="29" t="s">
        <v>8988</v>
      </c>
    </row>
    <row r="4984" spans="1:6" ht="43.5" x14ac:dyDescent="0.35">
      <c r="A4984" s="26" t="s">
        <v>8968</v>
      </c>
      <c r="B4984" s="26" t="s">
        <v>1156</v>
      </c>
      <c r="C4984" s="26" t="s">
        <v>6</v>
      </c>
      <c r="D4984" s="28" t="s">
        <v>9964</v>
      </c>
      <c r="E4984" s="26">
        <v>0</v>
      </c>
      <c r="F4984" s="29" t="s">
        <v>8970</v>
      </c>
    </row>
    <row r="4985" spans="1:6" ht="29" x14ac:dyDescent="0.35">
      <c r="A4985" s="26" t="s">
        <v>8968</v>
      </c>
      <c r="B4985" s="26" t="s">
        <v>9965</v>
      </c>
      <c r="C4985" s="26" t="s">
        <v>3</v>
      </c>
      <c r="D4985" s="28" t="s">
        <v>9966</v>
      </c>
      <c r="E4985" s="26">
        <v>0</v>
      </c>
      <c r="F4985" s="29" t="s">
        <v>8973</v>
      </c>
    </row>
    <row r="4986" spans="1:6" ht="43.5" x14ac:dyDescent="0.35">
      <c r="A4986" s="26" t="s">
        <v>8968</v>
      </c>
      <c r="B4986" s="26" t="s">
        <v>1158</v>
      </c>
      <c r="C4986" s="26" t="s">
        <v>5</v>
      </c>
      <c r="D4986" s="28" t="s">
        <v>9967</v>
      </c>
      <c r="E4986" s="26">
        <v>0.74</v>
      </c>
      <c r="F4986" s="29" t="s">
        <v>8975</v>
      </c>
    </row>
    <row r="4987" spans="1:6" ht="43.5" x14ac:dyDescent="0.35">
      <c r="A4987" s="26" t="s">
        <v>8968</v>
      </c>
      <c r="B4987" s="26" t="s">
        <v>9968</v>
      </c>
      <c r="C4987" s="26" t="s">
        <v>1</v>
      </c>
      <c r="D4987" s="28" t="s">
        <v>9969</v>
      </c>
      <c r="E4987" s="26">
        <v>0</v>
      </c>
      <c r="F4987" s="29" t="s">
        <v>8978</v>
      </c>
    </row>
    <row r="4988" spans="1:6" ht="43.5" x14ac:dyDescent="0.35">
      <c r="A4988" s="26" t="s">
        <v>8968</v>
      </c>
      <c r="B4988" s="26" t="s">
        <v>9970</v>
      </c>
      <c r="C4988" s="26" t="s">
        <v>7</v>
      </c>
      <c r="D4988" s="28" t="s">
        <v>9971</v>
      </c>
      <c r="E4988" s="26">
        <v>0</v>
      </c>
      <c r="F4988" s="29" t="s">
        <v>8981</v>
      </c>
    </row>
    <row r="4989" spans="1:6" ht="29" x14ac:dyDescent="0.35">
      <c r="A4989" s="26" t="s">
        <v>8968</v>
      </c>
      <c r="B4989" s="26" t="s">
        <v>1160</v>
      </c>
      <c r="C4989" s="26" t="s">
        <v>4</v>
      </c>
      <c r="D4989" s="28" t="s">
        <v>9972</v>
      </c>
      <c r="E4989" s="26">
        <v>0</v>
      </c>
      <c r="F4989" s="29" t="s">
        <v>8983</v>
      </c>
    </row>
    <row r="4990" spans="1:6" ht="43.5" x14ac:dyDescent="0.35">
      <c r="A4990" s="26" t="s">
        <v>8968</v>
      </c>
      <c r="B4990" s="26" t="s">
        <v>9973</v>
      </c>
      <c r="C4990" s="26" t="s">
        <v>8</v>
      </c>
      <c r="D4990" s="28" t="s">
        <v>9974</v>
      </c>
      <c r="E4990" s="26">
        <v>0.51</v>
      </c>
      <c r="F4990" s="29" t="s">
        <v>8985</v>
      </c>
    </row>
    <row r="4991" spans="1:6" ht="43.5" x14ac:dyDescent="0.35">
      <c r="A4991" s="26" t="s">
        <v>8968</v>
      </c>
      <c r="B4991" s="26" t="s">
        <v>9975</v>
      </c>
      <c r="C4991" s="26" t="s">
        <v>2</v>
      </c>
      <c r="D4991" s="28" t="s">
        <v>9976</v>
      </c>
      <c r="E4991" s="26">
        <v>29778</v>
      </c>
      <c r="F4991" s="29" t="s">
        <v>8988</v>
      </c>
    </row>
    <row r="4992" spans="1:6" ht="43.5" x14ac:dyDescent="0.35">
      <c r="A4992" s="26" t="s">
        <v>8968</v>
      </c>
      <c r="B4992" s="26" t="s">
        <v>1168</v>
      </c>
      <c r="C4992" s="26" t="s">
        <v>6</v>
      </c>
      <c r="D4992" s="28" t="s">
        <v>9977</v>
      </c>
      <c r="E4992" s="26">
        <v>0</v>
      </c>
      <c r="F4992" s="29" t="s">
        <v>8970</v>
      </c>
    </row>
    <row r="4993" spans="1:6" ht="29" x14ac:dyDescent="0.35">
      <c r="A4993" s="26" t="s">
        <v>8968</v>
      </c>
      <c r="B4993" s="26" t="s">
        <v>9978</v>
      </c>
      <c r="C4993" s="26" t="s">
        <v>3</v>
      </c>
      <c r="D4993" s="28" t="s">
        <v>9979</v>
      </c>
      <c r="E4993" s="26">
        <v>0</v>
      </c>
      <c r="F4993" s="29" t="s">
        <v>8973</v>
      </c>
    </row>
    <row r="4994" spans="1:6" ht="43.5" x14ac:dyDescent="0.35">
      <c r="A4994" s="26" t="s">
        <v>8968</v>
      </c>
      <c r="B4994" s="26" t="s">
        <v>1170</v>
      </c>
      <c r="C4994" s="26" t="s">
        <v>5</v>
      </c>
      <c r="D4994" s="28" t="s">
        <v>9980</v>
      </c>
      <c r="E4994" s="26">
        <v>0.74</v>
      </c>
      <c r="F4994" s="29" t="s">
        <v>8975</v>
      </c>
    </row>
    <row r="4995" spans="1:6" ht="43.5" x14ac:dyDescent="0.35">
      <c r="A4995" s="26" t="s">
        <v>8968</v>
      </c>
      <c r="B4995" s="26" t="s">
        <v>9981</v>
      </c>
      <c r="C4995" s="26" t="s">
        <v>1</v>
      </c>
      <c r="D4995" s="28" t="s">
        <v>9982</v>
      </c>
      <c r="E4995" s="26">
        <v>0</v>
      </c>
      <c r="F4995" s="29" t="s">
        <v>8978</v>
      </c>
    </row>
    <row r="4996" spans="1:6" ht="43.5" x14ac:dyDescent="0.35">
      <c r="A4996" s="26" t="s">
        <v>8968</v>
      </c>
      <c r="B4996" s="26" t="s">
        <v>9983</v>
      </c>
      <c r="C4996" s="26" t="s">
        <v>7</v>
      </c>
      <c r="D4996" s="28" t="s">
        <v>9984</v>
      </c>
      <c r="E4996" s="26">
        <v>0</v>
      </c>
      <c r="F4996" s="29" t="s">
        <v>8981</v>
      </c>
    </row>
    <row r="4997" spans="1:6" ht="29" x14ac:dyDescent="0.35">
      <c r="A4997" s="26" t="s">
        <v>8968</v>
      </c>
      <c r="B4997" s="26" t="s">
        <v>1172</v>
      </c>
      <c r="C4997" s="26" t="s">
        <v>4</v>
      </c>
      <c r="D4997" s="28" t="s">
        <v>9985</v>
      </c>
      <c r="E4997" s="26">
        <v>0</v>
      </c>
      <c r="F4997" s="29" t="s">
        <v>8983</v>
      </c>
    </row>
    <row r="4998" spans="1:6" ht="43.5" x14ac:dyDescent="0.35">
      <c r="A4998" s="26" t="s">
        <v>8968</v>
      </c>
      <c r="B4998" s="26" t="s">
        <v>9986</v>
      </c>
      <c r="C4998" s="26" t="s">
        <v>8</v>
      </c>
      <c r="D4998" s="28" t="s">
        <v>9987</v>
      </c>
      <c r="E4998" s="26">
        <v>0.51</v>
      </c>
      <c r="F4998" s="29" t="s">
        <v>8985</v>
      </c>
    </row>
    <row r="4999" spans="1:6" ht="43.5" x14ac:dyDescent="0.35">
      <c r="A4999" s="26" t="s">
        <v>8968</v>
      </c>
      <c r="B4999" s="26" t="s">
        <v>9988</v>
      </c>
      <c r="C4999" s="26" t="s">
        <v>2</v>
      </c>
      <c r="D4999" s="28" t="s">
        <v>9989</v>
      </c>
      <c r="E4999" s="26">
        <v>29778</v>
      </c>
      <c r="F4999" s="29" t="s">
        <v>8988</v>
      </c>
    </row>
    <row r="5000" spans="1:6" ht="43.5" x14ac:dyDescent="0.35">
      <c r="A5000" s="26" t="s">
        <v>8968</v>
      </c>
      <c r="B5000" s="26" t="s">
        <v>1180</v>
      </c>
      <c r="C5000" s="26" t="s">
        <v>6</v>
      </c>
      <c r="D5000" s="28" t="s">
        <v>9990</v>
      </c>
      <c r="E5000" s="26">
        <v>0</v>
      </c>
      <c r="F5000" s="29" t="s">
        <v>8970</v>
      </c>
    </row>
    <row r="5001" spans="1:6" ht="29" x14ac:dyDescent="0.35">
      <c r="A5001" s="26" t="s">
        <v>8968</v>
      </c>
      <c r="B5001" s="26" t="s">
        <v>9991</v>
      </c>
      <c r="C5001" s="26" t="s">
        <v>3</v>
      </c>
      <c r="D5001" s="28" t="s">
        <v>9992</v>
      </c>
      <c r="E5001" s="26">
        <v>0</v>
      </c>
      <c r="F5001" s="29" t="s">
        <v>8973</v>
      </c>
    </row>
    <row r="5002" spans="1:6" ht="43.5" x14ac:dyDescent="0.35">
      <c r="A5002" s="26" t="s">
        <v>8968</v>
      </c>
      <c r="B5002" s="26" t="s">
        <v>1182</v>
      </c>
      <c r="C5002" s="26" t="s">
        <v>5</v>
      </c>
      <c r="D5002" s="28" t="s">
        <v>9993</v>
      </c>
      <c r="E5002" s="26">
        <v>0.74</v>
      </c>
      <c r="F5002" s="29" t="s">
        <v>8975</v>
      </c>
    </row>
    <row r="5003" spans="1:6" ht="43.5" x14ac:dyDescent="0.35">
      <c r="A5003" s="26" t="s">
        <v>8968</v>
      </c>
      <c r="B5003" s="26" t="s">
        <v>9994</v>
      </c>
      <c r="C5003" s="26" t="s">
        <v>1</v>
      </c>
      <c r="D5003" s="28" t="s">
        <v>9995</v>
      </c>
      <c r="E5003" s="26">
        <v>0</v>
      </c>
      <c r="F5003" s="29" t="s">
        <v>8978</v>
      </c>
    </row>
    <row r="5004" spans="1:6" ht="43.5" x14ac:dyDescent="0.35">
      <c r="A5004" s="26" t="s">
        <v>8968</v>
      </c>
      <c r="B5004" s="26" t="s">
        <v>9996</v>
      </c>
      <c r="C5004" s="26" t="s">
        <v>7</v>
      </c>
      <c r="D5004" s="28" t="s">
        <v>9997</v>
      </c>
      <c r="E5004" s="26">
        <v>0</v>
      </c>
      <c r="F5004" s="29" t="s">
        <v>8981</v>
      </c>
    </row>
    <row r="5005" spans="1:6" ht="29" x14ac:dyDescent="0.35">
      <c r="A5005" s="26" t="s">
        <v>8968</v>
      </c>
      <c r="B5005" s="26" t="s">
        <v>1184</v>
      </c>
      <c r="C5005" s="26" t="s">
        <v>4</v>
      </c>
      <c r="D5005" s="28" t="s">
        <v>9998</v>
      </c>
      <c r="E5005" s="26">
        <v>0</v>
      </c>
      <c r="F5005" s="29" t="s">
        <v>8983</v>
      </c>
    </row>
    <row r="5006" spans="1:6" ht="43.5" x14ac:dyDescent="0.35">
      <c r="A5006" s="26" t="s">
        <v>8968</v>
      </c>
      <c r="B5006" s="26" t="s">
        <v>9999</v>
      </c>
      <c r="C5006" s="26" t="s">
        <v>8</v>
      </c>
      <c r="D5006" s="28" t="s">
        <v>10000</v>
      </c>
      <c r="E5006" s="26">
        <v>0.51</v>
      </c>
      <c r="F5006" s="29" t="s">
        <v>8985</v>
      </c>
    </row>
    <row r="5007" spans="1:6" ht="43.5" x14ac:dyDescent="0.35">
      <c r="A5007" s="26" t="s">
        <v>8968</v>
      </c>
      <c r="B5007" s="26" t="s">
        <v>10001</v>
      </c>
      <c r="C5007" s="26" t="s">
        <v>2</v>
      </c>
      <c r="D5007" s="28" t="s">
        <v>10002</v>
      </c>
      <c r="E5007" s="26">
        <v>29778</v>
      </c>
      <c r="F5007" s="29" t="s">
        <v>8988</v>
      </c>
    </row>
    <row r="5008" spans="1:6" ht="43.5" x14ac:dyDescent="0.35">
      <c r="A5008" s="26" t="s">
        <v>8968</v>
      </c>
      <c r="B5008" s="26" t="s">
        <v>1192</v>
      </c>
      <c r="C5008" s="26" t="s">
        <v>6</v>
      </c>
      <c r="D5008" s="28" t="s">
        <v>10003</v>
      </c>
      <c r="E5008" s="26">
        <v>0</v>
      </c>
      <c r="F5008" s="29" t="s">
        <v>8970</v>
      </c>
    </row>
    <row r="5009" spans="1:6" ht="29" x14ac:dyDescent="0.35">
      <c r="A5009" s="26" t="s">
        <v>8968</v>
      </c>
      <c r="B5009" s="26" t="s">
        <v>10004</v>
      </c>
      <c r="C5009" s="26" t="s">
        <v>3</v>
      </c>
      <c r="D5009" s="28" t="s">
        <v>10005</v>
      </c>
      <c r="E5009" s="26">
        <v>0</v>
      </c>
      <c r="F5009" s="29" t="s">
        <v>8973</v>
      </c>
    </row>
    <row r="5010" spans="1:6" ht="43.5" x14ac:dyDescent="0.35">
      <c r="A5010" s="26" t="s">
        <v>8968</v>
      </c>
      <c r="B5010" s="26" t="s">
        <v>1194</v>
      </c>
      <c r="C5010" s="26" t="s">
        <v>5</v>
      </c>
      <c r="D5010" s="28" t="s">
        <v>10006</v>
      </c>
      <c r="E5010" s="26">
        <v>0.74</v>
      </c>
      <c r="F5010" s="29" t="s">
        <v>8975</v>
      </c>
    </row>
    <row r="5011" spans="1:6" ht="43.5" x14ac:dyDescent="0.35">
      <c r="A5011" s="26" t="s">
        <v>8968</v>
      </c>
      <c r="B5011" s="26" t="s">
        <v>10007</v>
      </c>
      <c r="C5011" s="26" t="s">
        <v>1</v>
      </c>
      <c r="D5011" s="28" t="s">
        <v>10008</v>
      </c>
      <c r="E5011" s="26">
        <v>0</v>
      </c>
      <c r="F5011" s="29" t="s">
        <v>8978</v>
      </c>
    </row>
    <row r="5012" spans="1:6" ht="43.5" x14ac:dyDescent="0.35">
      <c r="A5012" s="26" t="s">
        <v>8968</v>
      </c>
      <c r="B5012" s="26" t="s">
        <v>10009</v>
      </c>
      <c r="C5012" s="26" t="s">
        <v>7</v>
      </c>
      <c r="D5012" s="28" t="s">
        <v>10010</v>
      </c>
      <c r="E5012" s="26">
        <v>0</v>
      </c>
      <c r="F5012" s="29" t="s">
        <v>8981</v>
      </c>
    </row>
    <row r="5013" spans="1:6" ht="29" x14ac:dyDescent="0.35">
      <c r="A5013" s="26" t="s">
        <v>8968</v>
      </c>
      <c r="B5013" s="26" t="s">
        <v>1196</v>
      </c>
      <c r="C5013" s="26" t="s">
        <v>4</v>
      </c>
      <c r="D5013" s="28" t="s">
        <v>10011</v>
      </c>
      <c r="E5013" s="26">
        <v>0</v>
      </c>
      <c r="F5013" s="29" t="s">
        <v>8983</v>
      </c>
    </row>
    <row r="5014" spans="1:6" ht="43.5" x14ac:dyDescent="0.35">
      <c r="A5014" s="26" t="s">
        <v>8968</v>
      </c>
      <c r="B5014" s="26" t="s">
        <v>10012</v>
      </c>
      <c r="C5014" s="26" t="s">
        <v>8</v>
      </c>
      <c r="D5014" s="28" t="s">
        <v>10013</v>
      </c>
      <c r="E5014" s="26">
        <v>0.51</v>
      </c>
      <c r="F5014" s="29" t="s">
        <v>8985</v>
      </c>
    </row>
    <row r="5015" spans="1:6" ht="43.5" x14ac:dyDescent="0.35">
      <c r="A5015" s="26" t="s">
        <v>8968</v>
      </c>
      <c r="B5015" s="26" t="s">
        <v>10014</v>
      </c>
      <c r="C5015" s="26" t="s">
        <v>2</v>
      </c>
      <c r="D5015" s="28" t="s">
        <v>10015</v>
      </c>
      <c r="E5015" s="26">
        <v>29778</v>
      </c>
      <c r="F5015" s="29" t="s">
        <v>8988</v>
      </c>
    </row>
    <row r="5016" spans="1:6" ht="43.5" x14ac:dyDescent="0.35">
      <c r="A5016" s="26" t="s">
        <v>8968</v>
      </c>
      <c r="B5016" s="26" t="s">
        <v>1204</v>
      </c>
      <c r="C5016" s="26" t="s">
        <v>6</v>
      </c>
      <c r="D5016" s="28" t="s">
        <v>10016</v>
      </c>
      <c r="E5016" s="26">
        <v>0</v>
      </c>
      <c r="F5016" s="29" t="s">
        <v>8970</v>
      </c>
    </row>
    <row r="5017" spans="1:6" ht="29" x14ac:dyDescent="0.35">
      <c r="A5017" s="26" t="s">
        <v>8968</v>
      </c>
      <c r="B5017" s="26" t="s">
        <v>10017</v>
      </c>
      <c r="C5017" s="26" t="s">
        <v>3</v>
      </c>
      <c r="D5017" s="28" t="s">
        <v>10018</v>
      </c>
      <c r="E5017" s="26">
        <v>0</v>
      </c>
      <c r="F5017" s="29" t="s">
        <v>8973</v>
      </c>
    </row>
    <row r="5018" spans="1:6" ht="43.5" x14ac:dyDescent="0.35">
      <c r="A5018" s="26" t="s">
        <v>8968</v>
      </c>
      <c r="B5018" s="26" t="s">
        <v>1206</v>
      </c>
      <c r="C5018" s="26" t="s">
        <v>5</v>
      </c>
      <c r="D5018" s="28" t="s">
        <v>10019</v>
      </c>
      <c r="E5018" s="26">
        <v>0.74</v>
      </c>
      <c r="F5018" s="29" t="s">
        <v>8975</v>
      </c>
    </row>
    <row r="5019" spans="1:6" ht="43.5" x14ac:dyDescent="0.35">
      <c r="A5019" s="26" t="s">
        <v>8968</v>
      </c>
      <c r="B5019" s="26" t="s">
        <v>10020</v>
      </c>
      <c r="C5019" s="26" t="s">
        <v>1</v>
      </c>
      <c r="D5019" s="28" t="s">
        <v>10021</v>
      </c>
      <c r="E5019" s="26">
        <v>0</v>
      </c>
      <c r="F5019" s="29" t="s">
        <v>8978</v>
      </c>
    </row>
    <row r="5020" spans="1:6" ht="43.5" x14ac:dyDescent="0.35">
      <c r="A5020" s="26" t="s">
        <v>8968</v>
      </c>
      <c r="B5020" s="26" t="s">
        <v>10022</v>
      </c>
      <c r="C5020" s="26" t="s">
        <v>7</v>
      </c>
      <c r="D5020" s="28" t="s">
        <v>10023</v>
      </c>
      <c r="E5020" s="26">
        <v>0</v>
      </c>
      <c r="F5020" s="29" t="s">
        <v>8981</v>
      </c>
    </row>
    <row r="5021" spans="1:6" ht="29" x14ac:dyDescent="0.35">
      <c r="A5021" s="26" t="s">
        <v>8968</v>
      </c>
      <c r="B5021" s="26" t="s">
        <v>1208</v>
      </c>
      <c r="C5021" s="26" t="s">
        <v>4</v>
      </c>
      <c r="D5021" s="28" t="s">
        <v>10024</v>
      </c>
      <c r="E5021" s="26">
        <v>0</v>
      </c>
      <c r="F5021" s="29" t="s">
        <v>8983</v>
      </c>
    </row>
    <row r="5022" spans="1:6" ht="43.5" x14ac:dyDescent="0.35">
      <c r="A5022" s="26" t="s">
        <v>8968</v>
      </c>
      <c r="B5022" s="26" t="s">
        <v>10025</v>
      </c>
      <c r="C5022" s="26" t="s">
        <v>8</v>
      </c>
      <c r="D5022" s="28" t="s">
        <v>10026</v>
      </c>
      <c r="E5022" s="26">
        <v>0.51</v>
      </c>
      <c r="F5022" s="29" t="s">
        <v>8985</v>
      </c>
    </row>
    <row r="5023" spans="1:6" ht="43.5" x14ac:dyDescent="0.35">
      <c r="A5023" s="26" t="s">
        <v>8968</v>
      </c>
      <c r="B5023" s="26" t="s">
        <v>10027</v>
      </c>
      <c r="C5023" s="26" t="s">
        <v>2</v>
      </c>
      <c r="D5023" s="28" t="s">
        <v>10028</v>
      </c>
      <c r="E5023" s="26">
        <v>29778</v>
      </c>
      <c r="F5023" s="29" t="s">
        <v>8988</v>
      </c>
    </row>
    <row r="5024" spans="1:6" ht="43.5" x14ac:dyDescent="0.35">
      <c r="A5024" s="26" t="s">
        <v>8968</v>
      </c>
      <c r="B5024" s="26" t="s">
        <v>1216</v>
      </c>
      <c r="C5024" s="26" t="s">
        <v>6</v>
      </c>
      <c r="D5024" s="28" t="s">
        <v>10029</v>
      </c>
      <c r="E5024" s="26">
        <v>0</v>
      </c>
      <c r="F5024" s="29" t="s">
        <v>8970</v>
      </c>
    </row>
    <row r="5025" spans="1:6" ht="29" x14ac:dyDescent="0.35">
      <c r="A5025" s="26" t="s">
        <v>8968</v>
      </c>
      <c r="B5025" s="26" t="s">
        <v>10030</v>
      </c>
      <c r="C5025" s="26" t="s">
        <v>3</v>
      </c>
      <c r="D5025" s="28" t="s">
        <v>10031</v>
      </c>
      <c r="E5025" s="26">
        <v>0</v>
      </c>
      <c r="F5025" s="29" t="s">
        <v>8973</v>
      </c>
    </row>
    <row r="5026" spans="1:6" ht="43.5" x14ac:dyDescent="0.35">
      <c r="A5026" s="26" t="s">
        <v>8968</v>
      </c>
      <c r="B5026" s="26" t="s">
        <v>1218</v>
      </c>
      <c r="C5026" s="26" t="s">
        <v>5</v>
      </c>
      <c r="D5026" s="28" t="s">
        <v>10032</v>
      </c>
      <c r="E5026" s="26">
        <v>0.74</v>
      </c>
      <c r="F5026" s="29" t="s">
        <v>8975</v>
      </c>
    </row>
    <row r="5027" spans="1:6" ht="43.5" x14ac:dyDescent="0.35">
      <c r="A5027" s="26" t="s">
        <v>8968</v>
      </c>
      <c r="B5027" s="26" t="s">
        <v>10033</v>
      </c>
      <c r="C5027" s="26" t="s">
        <v>1</v>
      </c>
      <c r="D5027" s="28" t="s">
        <v>10034</v>
      </c>
      <c r="E5027" s="26">
        <v>0</v>
      </c>
      <c r="F5027" s="29" t="s">
        <v>8978</v>
      </c>
    </row>
    <row r="5028" spans="1:6" ht="43.5" x14ac:dyDescent="0.35">
      <c r="A5028" s="26" t="s">
        <v>8968</v>
      </c>
      <c r="B5028" s="26" t="s">
        <v>10035</v>
      </c>
      <c r="C5028" s="26" t="s">
        <v>7</v>
      </c>
      <c r="D5028" s="28" t="s">
        <v>10036</v>
      </c>
      <c r="E5028" s="26">
        <v>0</v>
      </c>
      <c r="F5028" s="29" t="s">
        <v>8981</v>
      </c>
    </row>
    <row r="5029" spans="1:6" ht="29" x14ac:dyDescent="0.35">
      <c r="A5029" s="26" t="s">
        <v>8968</v>
      </c>
      <c r="B5029" s="26" t="s">
        <v>1220</v>
      </c>
      <c r="C5029" s="26" t="s">
        <v>4</v>
      </c>
      <c r="D5029" s="28" t="s">
        <v>10037</v>
      </c>
      <c r="E5029" s="26">
        <v>0</v>
      </c>
      <c r="F5029" s="29" t="s">
        <v>8983</v>
      </c>
    </row>
    <row r="5030" spans="1:6" ht="43.5" x14ac:dyDescent="0.35">
      <c r="A5030" s="26" t="s">
        <v>8968</v>
      </c>
      <c r="B5030" s="26" t="s">
        <v>10038</v>
      </c>
      <c r="C5030" s="26" t="s">
        <v>8</v>
      </c>
      <c r="D5030" s="28" t="s">
        <v>10039</v>
      </c>
      <c r="E5030" s="26">
        <v>0.51</v>
      </c>
      <c r="F5030" s="29" t="s">
        <v>8985</v>
      </c>
    </row>
    <row r="5031" spans="1:6" ht="43.5" x14ac:dyDescent="0.35">
      <c r="A5031" s="26" t="s">
        <v>8968</v>
      </c>
      <c r="B5031" s="26" t="s">
        <v>1242</v>
      </c>
      <c r="C5031" s="26" t="s">
        <v>5</v>
      </c>
      <c r="D5031" s="28" t="s">
        <v>10040</v>
      </c>
      <c r="E5031" s="26">
        <v>0.51</v>
      </c>
      <c r="F5031" s="29" t="s">
        <v>8975</v>
      </c>
    </row>
    <row r="5032" spans="1:6" ht="43.5" x14ac:dyDescent="0.35">
      <c r="A5032" s="26" t="s">
        <v>8968</v>
      </c>
      <c r="B5032" s="26" t="s">
        <v>1254</v>
      </c>
      <c r="C5032" s="26" t="s">
        <v>5</v>
      </c>
      <c r="D5032" s="28" t="s">
        <v>10041</v>
      </c>
      <c r="E5032" s="26">
        <v>0.74</v>
      </c>
      <c r="F5032" s="29" t="s">
        <v>8975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flock performance sheet</vt:lpstr>
      <vt:lpstr>Sheet3</vt:lpstr>
      <vt:lpstr>Sheet4</vt:lpstr>
      <vt:lpstr>Sheet1</vt:lpstr>
      <vt:lpstr>Sheet2</vt:lpstr>
      <vt:lpstr>formula and explination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J Sujith Reddy</dc:creator>
  <cp:lastModifiedBy>Kalivarapu, Vastav Chandrakesh</cp:lastModifiedBy>
  <cp:lastPrinted>2024-03-26T15:19:00Z</cp:lastPrinted>
  <dcterms:created xsi:type="dcterms:W3CDTF">2023-03-09T11:48:26Z</dcterms:created>
  <dcterms:modified xsi:type="dcterms:W3CDTF">2026-08-15T13:49:29Z</dcterms:modified>
</cp:coreProperties>
</file>